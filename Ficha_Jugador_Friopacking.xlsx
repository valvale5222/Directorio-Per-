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rodriguez\Desktop\Directorio J\"/>
    </mc:Choice>
  </mc:AlternateContent>
  <xr:revisionPtr revIDLastSave="0" documentId="13_ncr:1_{2AF769FB-7E13-4409-ACC2-9CD9700DC2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aluacion" sheetId="1" r:id="rId1"/>
    <sheet name="Resultados" sheetId="2" r:id="rId2"/>
    <sheet name="Gui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4" i="1" l="1"/>
  <c r="G12" i="2" s="1"/>
  <c r="U14" i="1"/>
  <c r="F12" i="2" s="1"/>
  <c r="T14" i="1"/>
  <c r="E12" i="2" s="1"/>
  <c r="S14" i="1"/>
  <c r="D12" i="2" s="1"/>
  <c r="R14" i="1"/>
  <c r="C12" i="2"/>
  <c r="B12" i="2"/>
  <c r="A12" i="2"/>
  <c r="T13" i="1"/>
  <c r="E11" i="2" s="1"/>
  <c r="R13" i="1"/>
  <c r="C11" i="2" s="1"/>
  <c r="B11" i="2"/>
  <c r="A11" i="2"/>
  <c r="V12" i="1"/>
  <c r="G10" i="2" s="1"/>
  <c r="B10" i="2"/>
  <c r="A10" i="2"/>
  <c r="R11" i="1"/>
  <c r="B9" i="2"/>
  <c r="A9" i="2"/>
  <c r="B8" i="2"/>
  <c r="A8" i="2"/>
  <c r="B7" i="2"/>
  <c r="A7" i="2"/>
  <c r="R8" i="1"/>
  <c r="C6" i="2" s="1"/>
  <c r="B6" i="2"/>
  <c r="A6" i="2"/>
  <c r="T7" i="1"/>
  <c r="E5" i="2"/>
  <c r="S7" i="1"/>
  <c r="D5" i="2" s="1"/>
  <c r="R7" i="1"/>
  <c r="C5" i="2" s="1"/>
  <c r="B5" i="2"/>
  <c r="A5" i="2"/>
  <c r="V6" i="1"/>
  <c r="G4" i="2"/>
  <c r="U6" i="1"/>
  <c r="F4" i="2" s="1"/>
  <c r="T6" i="1"/>
  <c r="E4" i="2"/>
  <c r="S6" i="1"/>
  <c r="D4" i="2"/>
  <c r="B4" i="2"/>
  <c r="A4" i="2"/>
  <c r="V13" i="1"/>
  <c r="G11" i="2" s="1"/>
  <c r="U13" i="1"/>
  <c r="F11" i="2" s="1"/>
  <c r="S13" i="1"/>
  <c r="D11" i="2" s="1"/>
  <c r="U12" i="1"/>
  <c r="F10" i="2" s="1"/>
  <c r="T12" i="1"/>
  <c r="E10" i="2" s="1"/>
  <c r="S12" i="1"/>
  <c r="D10" i="2" s="1"/>
  <c r="R12" i="1"/>
  <c r="C10" i="2" s="1"/>
  <c r="V11" i="1"/>
  <c r="G9" i="2" s="1"/>
  <c r="U11" i="1"/>
  <c r="F9" i="2" s="1"/>
  <c r="T11" i="1"/>
  <c r="E9" i="2" s="1"/>
  <c r="S11" i="1"/>
  <c r="D9" i="2" s="1"/>
  <c r="V10" i="1"/>
  <c r="G8" i="2" s="1"/>
  <c r="U10" i="1"/>
  <c r="F8" i="2" s="1"/>
  <c r="T10" i="1"/>
  <c r="E8" i="2" s="1"/>
  <c r="S10" i="1"/>
  <c r="D8" i="2" s="1"/>
  <c r="R10" i="1"/>
  <c r="V9" i="1"/>
  <c r="G7" i="2" s="1"/>
  <c r="U9" i="1"/>
  <c r="F7" i="2" s="1"/>
  <c r="R9" i="1"/>
  <c r="T9" i="1"/>
  <c r="E7" i="2" s="1"/>
  <c r="S9" i="1"/>
  <c r="D7" i="2" s="1"/>
  <c r="V8" i="1"/>
  <c r="G6" i="2" s="1"/>
  <c r="U8" i="1"/>
  <c r="F6" i="2" s="1"/>
  <c r="T8" i="1"/>
  <c r="E6" i="2" s="1"/>
  <c r="S8" i="1"/>
  <c r="D6" i="2" s="1"/>
  <c r="V7" i="1"/>
  <c r="G5" i="2"/>
  <c r="U7" i="1"/>
  <c r="F5" i="2" s="1"/>
  <c r="R6" i="1"/>
  <c r="W14" i="1" l="1"/>
  <c r="H12" i="2" s="1"/>
  <c r="W13" i="1"/>
  <c r="X14" i="1"/>
  <c r="I12" i="2" s="1"/>
  <c r="W12" i="1"/>
  <c r="W7" i="1"/>
  <c r="H5" i="2" s="1"/>
  <c r="W6" i="1"/>
  <c r="H4" i="2" s="1"/>
  <c r="C4" i="2"/>
  <c r="G14" i="2"/>
  <c r="F14" i="2"/>
  <c r="E14" i="2"/>
  <c r="W11" i="1"/>
  <c r="X11" i="1" s="1"/>
  <c r="I9" i="2" s="1"/>
  <c r="W10" i="1"/>
  <c r="X10" i="1" s="1"/>
  <c r="I8" i="2" s="1"/>
  <c r="D14" i="2"/>
  <c r="W9" i="1"/>
  <c r="H7" i="2" s="1"/>
  <c r="C9" i="2"/>
  <c r="W8" i="1"/>
  <c r="X8" i="1" s="1"/>
  <c r="I6" i="2" s="1"/>
  <c r="C7" i="2"/>
  <c r="C8" i="2"/>
  <c r="H11" i="2" l="1"/>
  <c r="X13" i="1"/>
  <c r="I11" i="2" s="1"/>
  <c r="X12" i="1"/>
  <c r="I10" i="2" s="1"/>
  <c r="H10" i="2"/>
  <c r="X7" i="1"/>
  <c r="I5" i="2" s="1"/>
  <c r="X6" i="1"/>
  <c r="I4" i="2" s="1"/>
  <c r="H9" i="2"/>
  <c r="X9" i="1"/>
  <c r="I7" i="2" s="1"/>
  <c r="H8" i="2"/>
  <c r="H6" i="2"/>
  <c r="C14" i="2"/>
  <c r="H14" i="2" l="1"/>
</calcChain>
</file>

<file path=xl/sharedStrings.xml><?xml version="1.0" encoding="utf-8"?>
<sst xmlns="http://schemas.openxmlformats.org/spreadsheetml/2006/main" count="90" uniqueCount="75">
  <si>
    <t>FICHA DE JUGADOR - EVALUACION DE CAPACIDADES</t>
  </si>
  <si>
    <t>Escala: 1 Requiere desarrollar | 2 En desarrollo | 3 Nivel esperado | 4 Nivel destacado | 5 Fortaleza consolidada</t>
  </si>
  <si>
    <t>Dominio de su funcion</t>
  </si>
  <si>
    <t>Analisis y resolucion</t>
  </si>
  <si>
    <t>Ejecucion y organizacion</t>
  </si>
  <si>
    <t>Comunicacion y trabajo en equipo</t>
  </si>
  <si>
    <t>Iniciativa y desarrollo</t>
  </si>
  <si>
    <t>Colaborador</t>
  </si>
  <si>
    <t>Area / Perfil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</si>
  <si>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</si>
  <si>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</si>
  <si>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</si>
  <si>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</si>
  <si>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</si>
  <si>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</si>
  <si>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</si>
  <si>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</si>
  <si>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</si>
  <si>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</si>
  <si>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</si>
  <si>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</si>
  <si>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</si>
  <si>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</si>
  <si>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</si>
  <si>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Puntaje final</t>
  </si>
  <si>
    <t>Nivel final</t>
  </si>
  <si>
    <t>Demuestra conocimiento y seguridad en las funciones propias de su puesto.</t>
  </si>
  <si>
    <t>Comprende los procesos en los que participa y como se relacionan con otras areas.</t>
  </si>
  <si>
    <t>Aplica correctamente sus conocimientos en las situaciones del dia a dia.</t>
  </si>
  <si>
    <t>Identifica con claridad los problemas o situaciones que requieren atencion.</t>
  </si>
  <si>
    <t>Analiza antes de actuar y propone alternativas de solucion.</t>
  </si>
  <si>
    <t>Resuelve situaciones con criterio sin depender siempre de otras personas.</t>
  </si>
  <si>
    <t>Cumple los compromisos y responsabilidades que asume.</t>
  </si>
  <si>
    <t>Organiza adecuadamente sus prioridades y tiempos de trabajo.</t>
  </si>
  <si>
    <t>Realiza seguimiento hasta completar sus pendientes o entregables.</t>
  </si>
  <si>
    <t>Comunica la informacion de forma clara y oportuna.</t>
  </si>
  <si>
    <t>Se coordina adecuadamente con sus compañeros y otras areas.</t>
  </si>
  <si>
    <t>Escucha, acepta diferentes puntos de vista y aporta al trabajo en equipo.</t>
  </si>
  <si>
    <t>Toma iniciativa sin esperar constantemente indicaciones.</t>
  </si>
  <si>
    <t>Se anticipa a necesidades, dificultades u oportunidades.</t>
  </si>
  <si>
    <t>Muestra disposicion para aprender, mejorar y asumir nuevos retos.</t>
  </si>
  <si>
    <t>Valeria Rodriguez</t>
  </si>
  <si>
    <t>Soporte</t>
  </si>
  <si>
    <t>Jesus Chavez</t>
  </si>
  <si>
    <t>Arquitectura</t>
  </si>
  <si>
    <t>Diego Morales</t>
  </si>
  <si>
    <t>Piero Añanca</t>
  </si>
  <si>
    <t>Tiffany Ollero</t>
  </si>
  <si>
    <t>Lizeth Arevalo</t>
  </si>
  <si>
    <t>Jhon Rojas</t>
  </si>
  <si>
    <t>Ejecutivo comercial</t>
  </si>
  <si>
    <t>Hugo Escobar</t>
  </si>
  <si>
    <t>Victor Ramirez</t>
  </si>
  <si>
    <t>Interpretacion sugerida: el puntaje final es el promedio simple de las 5 dimensiones. Cada dimension es el promedio de sus 3 criterios.</t>
  </si>
  <si>
    <t>RESUMEN - FICHA DE JUGADOR</t>
  </si>
  <si>
    <t>Dominio</t>
  </si>
  <si>
    <t>Analisis</t>
  </si>
  <si>
    <t>Ejecucion</t>
  </si>
  <si>
    <t>Comunicacion</t>
  </si>
  <si>
    <t>Iniciativa</t>
  </si>
  <si>
    <t>PROMEDIO EQUIPO</t>
  </si>
  <si>
    <t>GUIA DE USO - FICHA DE JUGADOR</t>
  </si>
  <si>
    <t>Escala</t>
  </si>
  <si>
    <t>Interpretacion</t>
  </si>
  <si>
    <t>Requiere desarrollar - necesita acompañamiento frecuente.</t>
  </si>
  <si>
    <t>En desarrollo - demuestra la capacidad de forma parcial o inconsistente.</t>
  </si>
  <si>
    <t>Nivel esperado - cumple adecuadamente con lo esperado para su rol.</t>
  </si>
  <si>
    <t>Nivel destacado - demuestra la capacidad con consistencia y por encima de lo esperado.</t>
  </si>
  <si>
    <t>Fortaleza consolidada - es una capacidad claramente desarrollada y referente para otros.</t>
  </si>
  <si>
    <t>Como usar</t>
  </si>
  <si>
    <t>1. En la hoja Evaluacion, ingresa una nota del 1 al 5 en cada criterio.</t>
  </si>
  <si>
    <t>2. Las 5 dimensiones se calculan automaticamente como promedio de sus 3 criterios.</t>
  </si>
  <si>
    <t>3. El Puntaje final es el promedio simple de las 5 dimensiones.</t>
  </si>
  <si>
    <t>4. La hoja Resultados consolida automaticamente las puntuaciones de todo el equipo.</t>
  </si>
  <si>
    <t>5. Usa la escala como referencia comun y evita comparar personas solo por una diferencia decimal.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</si>
</sst>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i/>
      <sz val="10"/>
      <color rgb="FF1F2937"/>
      <name val="Calibri"/>
      <family val="2"/>
    </font>
    <font>
      <b/>
      <sz val="10"/>
      <color rgb="FFFFFFFF"/>
      <name val="Calibri"/>
      <family val="2"/>
    </font>
    <font>
      <sz val="9"/>
      <color rgb="FF1F2937"/>
      <name val="Calibri"/>
      <family val="2"/>
    </font>
    <font>
      <b/>
      <sz val="10"/>
      <color rgb="FF1F2937"/>
      <name val="Calibri"/>
      <family val="2"/>
    </font>
    <font>
      <b/>
      <sz val="11"/>
      <color rgb="FF1F2937"/>
      <name val="Calibri"/>
      <family val="2"/>
    </font>
    <font>
      <sz val="11"/>
      <color rgb="FF6B7280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i/>
      <sz val="9"/>
      <color rgb="FF6B728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0F6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11" borderId="1" xfId="0" applyFont="1" applyFill="1" applyBorder="1"/>
    <xf numFmtId="0" fontId="7" fillId="11" borderId="1" xfId="0" applyFont="1" applyFill="1" applyBorder="1"/>
    <xf numFmtId="0" fontId="8" fillId="0" borderId="1" xfId="0" applyFont="1" applyBorder="1" applyAlignment="1">
      <alignment horizontal="center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12" fillId="5" borderId="0" xfId="0" applyNumberFormat="1" applyFont="1" applyFill="1" applyAlignment="1">
      <alignment horizontal="center"/>
    </xf>
    <xf numFmtId="0" fontId="0" fillId="5" borderId="0" xfId="0" applyFill="1"/>
    <xf numFmtId="0" fontId="11" fillId="4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5" fillId="6" borderId="0" xfId="0" applyFont="1" applyFill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0" fillId="0" borderId="0" xfId="0" applyFont="1" applyAlignment="1">
      <alignment wrapText="1"/>
    </xf>
    <xf numFmtId="0" fontId="1" fillId="2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1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PE"/>
              <a:t>Puntaje final por colaborador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Resultados!$H$3</c:f>
              <c:strCache>
                <c:ptCount val="1"/>
                <c:pt idx="0">
                  <c:v>Puntaje final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Resultados!$A$4:$A$12</c:f>
              <c:strCache>
                <c:ptCount val="9"/>
                <c:pt idx="0">
                  <c:v>Valeria Rodriguez</c:v>
                </c:pt>
                <c:pt idx="1">
                  <c:v>Jesus Chavez</c:v>
                </c:pt>
                <c:pt idx="2">
                  <c:v>Diego Morales</c:v>
                </c:pt>
                <c:pt idx="3">
                  <c:v>Piero Añanca</c:v>
                </c:pt>
                <c:pt idx="4">
                  <c:v>Tiffany Ollero</c:v>
                </c:pt>
                <c:pt idx="5">
                  <c:v>Lizeth Arevalo</c:v>
                </c:pt>
                <c:pt idx="6">
                  <c:v>Jhon Rojas</c:v>
                </c:pt>
                <c:pt idx="7">
                  <c:v>Hugo Escobar</c:v>
                </c:pt>
                <c:pt idx="8">
                  <c:v>Victor Ramirez</c:v>
                </c:pt>
              </c:strCache>
            </c:strRef>
          </c:cat>
          <c:val>
            <c:numRef>
              <c:f>Resultados!$H$4:$H$12</c:f>
              <c:numCache>
                <c:formatCode>0.00</c:formatCode>
                <c:ptCount val="9"/>
                <c:pt idx="0">
                  <c:v>4.1333333333333329</c:v>
                </c:pt>
                <c:pt idx="1">
                  <c:v>4.333333333333333</c:v>
                </c:pt>
                <c:pt idx="2">
                  <c:v>3.8666666666666663</c:v>
                </c:pt>
                <c:pt idx="3">
                  <c:v>3.4666666666666663</c:v>
                </c:pt>
                <c:pt idx="4">
                  <c:v>3.5333333333333337</c:v>
                </c:pt>
                <c:pt idx="5">
                  <c:v>3.2666666666666666</c:v>
                </c:pt>
                <c:pt idx="6">
                  <c:v>3.5333333333333337</c:v>
                </c:pt>
                <c:pt idx="7">
                  <c:v>3.2</c:v>
                </c:pt>
                <c:pt idx="8">
                  <c:v>3.2666666666666666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B0-4B1A-9A7E-0B8B3B073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  <c:max val="5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Puntaje (1-5)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Colaborador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"/>
  <sheetViews>
    <sheetView showGridLines="0" tabSelected="1" zoomScale="93" workbookViewId="0">
      <pane xSplit="2" ySplit="5" topLeftCell="C6" activePane="bottomRight" state="frozen"/>
      <selection pane="topRight"/>
      <selection pane="bottomLeft"/>
      <selection pane="bottomRight" activeCell="T13" sqref="T13"/>
    </sheetView>
  </sheetViews>
  <sheetFormatPr baseColWidth="10" defaultColWidth="8.88671875" defaultRowHeight="14.4" x14ac:dyDescent="0.3"/>
  <cols>
    <col min="1" max="1" width="24" customWidth="1"/>
    <col min="2" max="2" width="22" customWidth="1"/>
    <col min="3" max="17" width="10.88671875" customWidth="1"/>
    <col min="18" max="23" width="18" customWidth="1"/>
    <col min="24" max="24" width="24" customWidth="1"/>
  </cols>
  <sheetData>
    <row r="1" spans="1:24" ht="30" customHeight="1" x14ac:dyDescent="0.3">
      <c r="A1" s="22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4" ht="24" customHeight="1" x14ac:dyDescent="0.3">
      <c r="A2" s="27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</row>
    <row r="3" spans="1:24" ht="22.05" customHeight="1" x14ac:dyDescent="0.3">
      <c r="C3" s="17" t="s">
        <v>2</v>
      </c>
      <c r="D3" s="18"/>
      <c r="E3" s="18"/>
      <c r="F3" s="24" t="s">
        <v>3</v>
      </c>
      <c r="G3" s="18"/>
      <c r="H3" s="18"/>
      <c r="I3" s="23" t="s">
        <v>4</v>
      </c>
      <c r="J3" s="18"/>
      <c r="K3" s="18"/>
      <c r="L3" s="25" t="s">
        <v>5</v>
      </c>
      <c r="M3" s="18"/>
      <c r="N3" s="18"/>
      <c r="O3" s="26" t="s">
        <v>6</v>
      </c>
      <c r="P3" s="18"/>
      <c r="Q3" s="18"/>
    </row>
    <row r="4" spans="1:24" ht="37.950000000000003" customHeight="1" x14ac:dyDescent="0.3">
      <c r="A4" s="19" t="s">
        <v>7</v>
      </c>
      <c r="B4" s="19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</v>
      </c>
      <c r="M4" s="1" t="s">
        <v>19</v>
      </c>
      <c r="N4" s="1" t="s">
        <v>20</v>
      </c>
      <c r="O4" s="1" t="s">
        <v>21</v>
      </c>
      <c r="P4" s="1" t="s">
        <v>22</v>
      </c>
      <c r="Q4" s="1" t="s">
        <v>23</v>
      </c>
      <c r="R4" s="19" t="s">
        <v>2</v>
      </c>
      <c r="S4" s="19" t="s">
        <v>3</v>
      </c>
      <c r="T4" s="19" t="s">
        <v>4</v>
      </c>
      <c r="U4" s="19" t="s">
        <v>5</v>
      </c>
      <c r="V4" s="19" t="s">
        <v>6</v>
      </c>
      <c r="W4" s="19" t="s">
        <v>24</v>
      </c>
      <c r="X4" s="19" t="s">
        <v>25</v>
      </c>
    </row>
    <row r="5" spans="1:24" ht="102.45" customHeight="1" x14ac:dyDescent="0.3">
      <c r="A5" s="20"/>
      <c r="B5" s="20"/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31</v>
      </c>
      <c r="I5" s="2" t="s">
        <v>32</v>
      </c>
      <c r="J5" s="2" t="s">
        <v>33</v>
      </c>
      <c r="K5" s="2" t="s">
        <v>34</v>
      </c>
      <c r="L5" s="2" t="s">
        <v>35</v>
      </c>
      <c r="M5" s="2" t="s">
        <v>36</v>
      </c>
      <c r="N5" s="2" t="s">
        <v>37</v>
      </c>
      <c r="O5" s="2" t="s">
        <v>38</v>
      </c>
      <c r="P5" s="2" t="s">
        <v>39</v>
      </c>
      <c r="Q5" s="2" t="s">
        <v>40</v>
      </c>
      <c r="R5" s="20"/>
      <c r="S5" s="20"/>
      <c r="T5" s="20"/>
      <c r="U5" s="20"/>
      <c r="V5" s="20"/>
      <c r="W5" s="20"/>
      <c r="X5" s="20"/>
    </row>
    <row r="6" spans="1:24" ht="28.05" customHeight="1" x14ac:dyDescent="0.3">
      <c r="A6" s="3" t="s">
        <v>41</v>
      </c>
      <c r="B6" s="4" t="s">
        <v>42</v>
      </c>
      <c r="C6" s="5">
        <v>5</v>
      </c>
      <c r="D6" s="5">
        <v>3</v>
      </c>
      <c r="E6" s="5">
        <v>3</v>
      </c>
      <c r="F6" s="5">
        <v>4</v>
      </c>
      <c r="G6" s="5">
        <v>4</v>
      </c>
      <c r="H6" s="5">
        <v>4</v>
      </c>
      <c r="I6" s="5">
        <v>5</v>
      </c>
      <c r="J6" s="5">
        <v>4</v>
      </c>
      <c r="K6" s="5">
        <v>4</v>
      </c>
      <c r="L6" s="5">
        <v>4</v>
      </c>
      <c r="M6" s="5">
        <v>4</v>
      </c>
      <c r="N6" s="5">
        <v>5</v>
      </c>
      <c r="O6" s="5">
        <v>4</v>
      </c>
      <c r="P6" s="5">
        <v>4</v>
      </c>
      <c r="Q6" s="5">
        <v>5</v>
      </c>
      <c r="R6" s="6">
        <f t="shared" ref="R6:R14" si="0">IF(COUNT(C6:E6)=0,"",AVERAGE(C6:E6))</f>
        <v>3.6666666666666665</v>
      </c>
      <c r="S6" s="6">
        <f t="shared" ref="S6:S14" si="1">IF(COUNT(F6:H6)=0,"",AVERAGE(F6:H6))</f>
        <v>4</v>
      </c>
      <c r="T6" s="6">
        <f t="shared" ref="T6:T14" si="2">IF(COUNT(I6:K6)=0,"",AVERAGE(I6:K6))</f>
        <v>4.333333333333333</v>
      </c>
      <c r="U6" s="6">
        <f t="shared" ref="U6:U14" si="3">IF(COUNT(L6:N6)=0,"",AVERAGE(L6:N6))</f>
        <v>4.333333333333333</v>
      </c>
      <c r="V6" s="6">
        <f t="shared" ref="V6:V14" si="4">IF(COUNT(O6:Q6)=0,"",AVERAGE(O6:Q6))</f>
        <v>4.333333333333333</v>
      </c>
      <c r="W6" s="6">
        <f t="shared" ref="W6:W14" si="5">IF(COUNT(R6:V6)=0,"",AVERAGE(R6:V6))</f>
        <v>4.1333333333333329</v>
      </c>
      <c r="X6" s="7" t="str">
        <f t="shared" ref="X6:X14" si="6">IF(W6="","",IF(W6&lt;1.5,"Requiere desarrollar",IF(W6&lt;2.5,"En desarrollo",IF(W6&lt;3.5,"Nivel esperado",IF(W6&lt;4.5,"Nivel destacado","Fortaleza consolidada")))))</f>
        <v>Nivel destacado</v>
      </c>
    </row>
    <row r="7" spans="1:24" ht="28.05" customHeight="1" x14ac:dyDescent="0.3">
      <c r="A7" s="3" t="s">
        <v>43</v>
      </c>
      <c r="B7" s="4" t="s">
        <v>44</v>
      </c>
      <c r="C7" s="5">
        <v>4</v>
      </c>
      <c r="D7" s="5">
        <v>4</v>
      </c>
      <c r="E7" s="5">
        <v>5</v>
      </c>
      <c r="F7" s="5">
        <v>4</v>
      </c>
      <c r="G7" s="5">
        <v>4</v>
      </c>
      <c r="H7" s="5">
        <v>4</v>
      </c>
      <c r="I7" s="5">
        <v>5</v>
      </c>
      <c r="J7" s="5">
        <v>4</v>
      </c>
      <c r="K7" s="5">
        <v>4</v>
      </c>
      <c r="L7" s="5">
        <v>4</v>
      </c>
      <c r="M7" s="5">
        <v>5</v>
      </c>
      <c r="N7" s="5">
        <v>5</v>
      </c>
      <c r="O7" s="5">
        <v>4</v>
      </c>
      <c r="P7" s="5">
        <v>4</v>
      </c>
      <c r="Q7" s="5">
        <v>5</v>
      </c>
      <c r="R7" s="6">
        <f t="shared" si="0"/>
        <v>4.333333333333333</v>
      </c>
      <c r="S7" s="6">
        <f t="shared" si="1"/>
        <v>4</v>
      </c>
      <c r="T7" s="6">
        <f t="shared" si="2"/>
        <v>4.333333333333333</v>
      </c>
      <c r="U7" s="6">
        <f t="shared" si="3"/>
        <v>4.666666666666667</v>
      </c>
      <c r="V7" s="6">
        <f t="shared" si="4"/>
        <v>4.333333333333333</v>
      </c>
      <c r="W7" s="6">
        <f t="shared" si="5"/>
        <v>4.333333333333333</v>
      </c>
      <c r="X7" s="7" t="str">
        <f t="shared" si="6"/>
        <v>Nivel destacado</v>
      </c>
    </row>
    <row r="8" spans="1:24" ht="28.05" customHeight="1" x14ac:dyDescent="0.3">
      <c r="A8" s="3" t="s">
        <v>45</v>
      </c>
      <c r="B8" s="4" t="s">
        <v>44</v>
      </c>
      <c r="C8" s="5">
        <v>4</v>
      </c>
      <c r="D8" s="5">
        <v>5</v>
      </c>
      <c r="E8" s="5">
        <v>4</v>
      </c>
      <c r="F8" s="5">
        <v>4</v>
      </c>
      <c r="G8" s="5">
        <v>4</v>
      </c>
      <c r="H8" s="5">
        <v>3</v>
      </c>
      <c r="I8" s="5">
        <v>4</v>
      </c>
      <c r="J8" s="5">
        <v>3</v>
      </c>
      <c r="K8" s="5">
        <v>4</v>
      </c>
      <c r="L8" s="5">
        <v>3</v>
      </c>
      <c r="M8" s="5">
        <v>4</v>
      </c>
      <c r="N8" s="5">
        <v>4</v>
      </c>
      <c r="O8" s="5">
        <v>4</v>
      </c>
      <c r="P8" s="5">
        <v>4</v>
      </c>
      <c r="Q8" s="5">
        <v>4</v>
      </c>
      <c r="R8" s="6">
        <f t="shared" si="0"/>
        <v>4.333333333333333</v>
      </c>
      <c r="S8" s="6">
        <f t="shared" si="1"/>
        <v>3.6666666666666665</v>
      </c>
      <c r="T8" s="6">
        <f t="shared" si="2"/>
        <v>3.6666666666666665</v>
      </c>
      <c r="U8" s="6">
        <f t="shared" si="3"/>
        <v>3.6666666666666665</v>
      </c>
      <c r="V8" s="6">
        <f t="shared" si="4"/>
        <v>4</v>
      </c>
      <c r="W8" s="6">
        <f t="shared" si="5"/>
        <v>3.8666666666666663</v>
      </c>
      <c r="X8" s="7" t="str">
        <f t="shared" si="6"/>
        <v>Nivel destacado</v>
      </c>
    </row>
    <row r="9" spans="1:24" ht="28.05" customHeight="1" x14ac:dyDescent="0.3">
      <c r="A9" s="3" t="s">
        <v>46</v>
      </c>
      <c r="B9" s="4" t="s">
        <v>44</v>
      </c>
      <c r="C9" s="5">
        <v>4</v>
      </c>
      <c r="D9" s="5">
        <v>4</v>
      </c>
      <c r="E9" s="5">
        <v>5</v>
      </c>
      <c r="F9" s="5">
        <v>3</v>
      </c>
      <c r="G9" s="5">
        <v>3</v>
      </c>
      <c r="H9" s="5">
        <v>3</v>
      </c>
      <c r="I9" s="5">
        <v>4</v>
      </c>
      <c r="J9" s="5">
        <v>3</v>
      </c>
      <c r="K9" s="5">
        <v>3</v>
      </c>
      <c r="L9" s="5">
        <v>3</v>
      </c>
      <c r="M9" s="5">
        <v>4</v>
      </c>
      <c r="N9" s="5">
        <v>3</v>
      </c>
      <c r="O9" s="5">
        <v>3</v>
      </c>
      <c r="P9" s="5">
        <v>3</v>
      </c>
      <c r="Q9" s="5">
        <v>4</v>
      </c>
      <c r="R9" s="6">
        <f t="shared" si="0"/>
        <v>4.333333333333333</v>
      </c>
      <c r="S9" s="6">
        <f t="shared" si="1"/>
        <v>3</v>
      </c>
      <c r="T9" s="6">
        <f t="shared" si="2"/>
        <v>3.3333333333333335</v>
      </c>
      <c r="U9" s="6">
        <f t="shared" si="3"/>
        <v>3.3333333333333335</v>
      </c>
      <c r="V9" s="6">
        <f t="shared" si="4"/>
        <v>3.3333333333333335</v>
      </c>
      <c r="W9" s="6">
        <f t="shared" si="5"/>
        <v>3.4666666666666663</v>
      </c>
      <c r="X9" s="7" t="str">
        <f t="shared" si="6"/>
        <v>Nivel esperado</v>
      </c>
    </row>
    <row r="10" spans="1:24" ht="28.05" customHeight="1" x14ac:dyDescent="0.3">
      <c r="A10" s="3" t="s">
        <v>47</v>
      </c>
      <c r="B10" s="4" t="s">
        <v>44</v>
      </c>
      <c r="C10" s="5">
        <v>4</v>
      </c>
      <c r="D10" s="5">
        <v>5</v>
      </c>
      <c r="E10" s="5">
        <v>4</v>
      </c>
      <c r="F10" s="5">
        <v>4</v>
      </c>
      <c r="G10" s="5">
        <v>3</v>
      </c>
      <c r="H10" s="5">
        <v>3</v>
      </c>
      <c r="I10" s="5">
        <v>4</v>
      </c>
      <c r="J10" s="5">
        <v>2</v>
      </c>
      <c r="K10" s="5">
        <v>3</v>
      </c>
      <c r="L10" s="5">
        <v>3</v>
      </c>
      <c r="M10" s="5">
        <v>4</v>
      </c>
      <c r="N10" s="5">
        <v>3</v>
      </c>
      <c r="O10" s="5">
        <v>4</v>
      </c>
      <c r="P10" s="5">
        <v>3</v>
      </c>
      <c r="Q10" s="5">
        <v>4</v>
      </c>
      <c r="R10" s="6">
        <f t="shared" si="0"/>
        <v>4.333333333333333</v>
      </c>
      <c r="S10" s="6">
        <f t="shared" si="1"/>
        <v>3.3333333333333335</v>
      </c>
      <c r="T10" s="6">
        <f t="shared" si="2"/>
        <v>3</v>
      </c>
      <c r="U10" s="6">
        <f t="shared" si="3"/>
        <v>3.3333333333333335</v>
      </c>
      <c r="V10" s="6">
        <f t="shared" si="4"/>
        <v>3.6666666666666665</v>
      </c>
      <c r="W10" s="6">
        <f t="shared" si="5"/>
        <v>3.5333333333333337</v>
      </c>
      <c r="X10" s="7" t="str">
        <f t="shared" si="6"/>
        <v>Nivel destacado</v>
      </c>
    </row>
    <row r="11" spans="1:24" ht="28.05" customHeight="1" x14ac:dyDescent="0.3">
      <c r="A11" s="3" t="s">
        <v>48</v>
      </c>
      <c r="B11" s="4" t="s">
        <v>44</v>
      </c>
      <c r="C11" s="5">
        <v>3</v>
      </c>
      <c r="D11" s="5">
        <v>4</v>
      </c>
      <c r="E11" s="5">
        <v>4</v>
      </c>
      <c r="F11" s="5">
        <v>3</v>
      </c>
      <c r="G11" s="5">
        <v>2</v>
      </c>
      <c r="H11" s="5">
        <v>3</v>
      </c>
      <c r="I11" s="5">
        <v>4</v>
      </c>
      <c r="J11" s="5">
        <v>3</v>
      </c>
      <c r="K11" s="5">
        <v>4</v>
      </c>
      <c r="L11" s="5">
        <v>2</v>
      </c>
      <c r="M11" s="5">
        <v>4</v>
      </c>
      <c r="N11" s="5">
        <v>3</v>
      </c>
      <c r="O11" s="5">
        <v>4</v>
      </c>
      <c r="P11" s="5">
        <v>3</v>
      </c>
      <c r="Q11" s="5">
        <v>3</v>
      </c>
      <c r="R11" s="6">
        <f t="shared" si="0"/>
        <v>3.6666666666666665</v>
      </c>
      <c r="S11" s="6">
        <f t="shared" si="1"/>
        <v>2.6666666666666665</v>
      </c>
      <c r="T11" s="6">
        <f t="shared" si="2"/>
        <v>3.6666666666666665</v>
      </c>
      <c r="U11" s="6">
        <f t="shared" si="3"/>
        <v>3</v>
      </c>
      <c r="V11" s="6">
        <f t="shared" si="4"/>
        <v>3.3333333333333335</v>
      </c>
      <c r="W11" s="6">
        <f t="shared" si="5"/>
        <v>3.2666666666666666</v>
      </c>
      <c r="X11" s="7" t="str">
        <f t="shared" si="6"/>
        <v>Nivel esperado</v>
      </c>
    </row>
    <row r="12" spans="1:24" ht="28.05" customHeight="1" x14ac:dyDescent="0.3">
      <c r="A12" s="3" t="s">
        <v>49</v>
      </c>
      <c r="B12" s="4" t="s">
        <v>50</v>
      </c>
      <c r="C12" s="5">
        <v>4</v>
      </c>
      <c r="D12" s="5">
        <v>3</v>
      </c>
      <c r="E12" s="5">
        <v>4</v>
      </c>
      <c r="F12" s="5">
        <v>4</v>
      </c>
      <c r="G12" s="5">
        <v>4</v>
      </c>
      <c r="H12" s="5">
        <v>4</v>
      </c>
      <c r="I12" s="5">
        <v>3</v>
      </c>
      <c r="J12" s="5">
        <v>3</v>
      </c>
      <c r="K12" s="5">
        <v>3</v>
      </c>
      <c r="L12" s="5">
        <v>3</v>
      </c>
      <c r="M12" s="5">
        <v>3</v>
      </c>
      <c r="N12" s="5">
        <v>4</v>
      </c>
      <c r="O12" s="5">
        <v>4</v>
      </c>
      <c r="P12" s="5">
        <v>4</v>
      </c>
      <c r="Q12" s="5">
        <v>3</v>
      </c>
      <c r="R12" s="6">
        <f t="shared" si="0"/>
        <v>3.6666666666666665</v>
      </c>
      <c r="S12" s="6">
        <f t="shared" si="1"/>
        <v>4</v>
      </c>
      <c r="T12" s="6">
        <f t="shared" si="2"/>
        <v>3</v>
      </c>
      <c r="U12" s="6">
        <f t="shared" si="3"/>
        <v>3.3333333333333335</v>
      </c>
      <c r="V12" s="6">
        <f t="shared" si="4"/>
        <v>3.6666666666666665</v>
      </c>
      <c r="W12" s="6">
        <f t="shared" si="5"/>
        <v>3.5333333333333337</v>
      </c>
      <c r="X12" s="7" t="str">
        <f t="shared" si="6"/>
        <v>Nivel destacado</v>
      </c>
    </row>
    <row r="13" spans="1:24" ht="28.05" customHeight="1" x14ac:dyDescent="0.3">
      <c r="A13" s="3" t="s">
        <v>51</v>
      </c>
      <c r="B13" s="4" t="s">
        <v>50</v>
      </c>
      <c r="C13" s="5">
        <v>3</v>
      </c>
      <c r="D13" s="5">
        <v>4</v>
      </c>
      <c r="E13" s="5">
        <v>3</v>
      </c>
      <c r="F13" s="5">
        <v>4</v>
      </c>
      <c r="G13" s="5">
        <v>3</v>
      </c>
      <c r="H13" s="5">
        <v>3</v>
      </c>
      <c r="I13" s="5">
        <v>3</v>
      </c>
      <c r="J13" s="5">
        <v>3</v>
      </c>
      <c r="K13" s="5">
        <v>3</v>
      </c>
      <c r="L13" s="5">
        <v>2</v>
      </c>
      <c r="M13" s="5">
        <v>2</v>
      </c>
      <c r="N13" s="5">
        <v>4</v>
      </c>
      <c r="O13" s="5">
        <v>4</v>
      </c>
      <c r="P13" s="5">
        <v>4</v>
      </c>
      <c r="Q13" s="5">
        <v>3</v>
      </c>
      <c r="R13" s="6">
        <f t="shared" si="0"/>
        <v>3.3333333333333335</v>
      </c>
      <c r="S13" s="6">
        <f t="shared" si="1"/>
        <v>3.3333333333333335</v>
      </c>
      <c r="T13" s="6">
        <f t="shared" si="2"/>
        <v>3</v>
      </c>
      <c r="U13" s="6">
        <f t="shared" si="3"/>
        <v>2.6666666666666665</v>
      </c>
      <c r="V13" s="6">
        <f t="shared" si="4"/>
        <v>3.6666666666666665</v>
      </c>
      <c r="W13" s="6">
        <f t="shared" si="5"/>
        <v>3.2</v>
      </c>
      <c r="X13" s="7" t="str">
        <f t="shared" si="6"/>
        <v>Nivel esperado</v>
      </c>
    </row>
    <row r="14" spans="1:24" ht="28.05" customHeight="1" x14ac:dyDescent="0.3">
      <c r="A14" s="3" t="s">
        <v>52</v>
      </c>
      <c r="B14" s="4" t="s">
        <v>50</v>
      </c>
      <c r="C14" s="5">
        <v>3</v>
      </c>
      <c r="D14" s="5">
        <v>3</v>
      </c>
      <c r="E14" s="5">
        <v>4</v>
      </c>
      <c r="F14" s="5">
        <v>4</v>
      </c>
      <c r="G14" s="5">
        <v>4</v>
      </c>
      <c r="H14" s="5">
        <v>4</v>
      </c>
      <c r="I14" s="5">
        <v>3</v>
      </c>
      <c r="J14" s="5">
        <v>3</v>
      </c>
      <c r="K14" s="5">
        <v>2</v>
      </c>
      <c r="L14" s="5">
        <v>2</v>
      </c>
      <c r="M14" s="5">
        <v>2</v>
      </c>
      <c r="N14" s="5">
        <v>4</v>
      </c>
      <c r="O14" s="5">
        <v>4</v>
      </c>
      <c r="P14" s="5">
        <v>4</v>
      </c>
      <c r="Q14" s="5">
        <v>3</v>
      </c>
      <c r="R14" s="6">
        <f t="shared" si="0"/>
        <v>3.3333333333333335</v>
      </c>
      <c r="S14" s="6">
        <f t="shared" si="1"/>
        <v>4</v>
      </c>
      <c r="T14" s="6">
        <f t="shared" si="2"/>
        <v>2.6666666666666665</v>
      </c>
      <c r="U14" s="6">
        <f t="shared" si="3"/>
        <v>2.6666666666666665</v>
      </c>
      <c r="V14" s="6">
        <f t="shared" si="4"/>
        <v>3.6666666666666665</v>
      </c>
      <c r="W14" s="6">
        <f t="shared" si="5"/>
        <v>3.2666666666666666</v>
      </c>
      <c r="X14" s="7" t="str">
        <f t="shared" si="6"/>
        <v>Nivel esperado</v>
      </c>
    </row>
    <row r="17" spans="1:24" x14ac:dyDescent="0.3">
      <c r="A17" s="21" t="s">
        <v>53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</row>
  </sheetData>
  <mergeCells count="17">
    <mergeCell ref="X4:X5"/>
    <mergeCell ref="C3:E3"/>
    <mergeCell ref="S4:S5"/>
    <mergeCell ref="A17:X17"/>
    <mergeCell ref="A1:X1"/>
    <mergeCell ref="U4:U5"/>
    <mergeCell ref="I3:K3"/>
    <mergeCell ref="F3:H3"/>
    <mergeCell ref="L3:N3"/>
    <mergeCell ref="O3:Q3"/>
    <mergeCell ref="R4:R5"/>
    <mergeCell ref="B4:B5"/>
    <mergeCell ref="T4:T5"/>
    <mergeCell ref="A4:A5"/>
    <mergeCell ref="A2:X2"/>
    <mergeCell ref="V4:V5"/>
    <mergeCell ref="W4:W5"/>
  </mergeCells>
  <conditionalFormatting sqref="C6:Q14">
    <cfRule type="colorScale" priority="1">
      <colorScale>
        <cfvo type="num" val="1"/>
        <cfvo type="num" val="3"/>
        <cfvo type="num" val="5"/>
        <color rgb="FFF4CCCC"/>
        <color rgb="FFFFF2CC"/>
        <color rgb="FFD9EAD3"/>
      </colorScale>
    </cfRule>
  </conditionalFormatting>
  <conditionalFormatting sqref="R6:W14">
    <cfRule type="colorScale" priority="2">
      <colorScale>
        <cfvo type="num" val="1"/>
        <cfvo type="num" val="3"/>
        <cfvo type="num" val="5"/>
        <color rgb="FFF4CCCC"/>
        <color rgb="FFFFF2CC"/>
        <color rgb="FFD9EAD3"/>
      </colorScale>
    </cfRule>
  </conditionalFormatting>
  <dataValidations count="1">
    <dataValidation type="whole" allowBlank="1" errorTitle="Nota no valida" error="Solo se permiten valores enteros del 1 al 5." promptTitle="Escala 1-5" prompt="Ingrese una nota del 1 al 5." sqref="C6:Q14" xr:uid="{00000000-0002-0000-0000-000000000000}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H6" sqref="H6"/>
    </sheetView>
  </sheetViews>
  <sheetFormatPr baseColWidth="10" defaultColWidth="8.88671875" defaultRowHeight="14.4" x14ac:dyDescent="0.3"/>
  <cols>
    <col min="1" max="1" width="24" customWidth="1"/>
    <col min="2" max="2" width="22" customWidth="1"/>
    <col min="3" max="8" width="15" customWidth="1"/>
    <col min="9" max="9" width="24" customWidth="1"/>
  </cols>
  <sheetData>
    <row r="1" spans="1:9" ht="30" customHeight="1" x14ac:dyDescent="0.45">
      <c r="A1" s="29" t="s">
        <v>54</v>
      </c>
      <c r="B1" s="18"/>
      <c r="C1" s="18"/>
      <c r="D1" s="18"/>
      <c r="E1" s="18"/>
      <c r="F1" s="18"/>
      <c r="G1" s="18"/>
      <c r="H1" s="18"/>
      <c r="I1" s="18"/>
    </row>
    <row r="3" spans="1:9" x14ac:dyDescent="0.3">
      <c r="A3" s="8" t="s">
        <v>7</v>
      </c>
      <c r="B3" s="8" t="s">
        <v>8</v>
      </c>
      <c r="C3" s="8" t="s">
        <v>55</v>
      </c>
      <c r="D3" s="8" t="s">
        <v>56</v>
      </c>
      <c r="E3" s="8" t="s">
        <v>57</v>
      </c>
      <c r="F3" s="8" t="s">
        <v>58</v>
      </c>
      <c r="G3" s="8" t="s">
        <v>59</v>
      </c>
      <c r="H3" s="8" t="s">
        <v>24</v>
      </c>
      <c r="I3" s="8" t="s">
        <v>25</v>
      </c>
    </row>
    <row r="4" spans="1:9" x14ac:dyDescent="0.3">
      <c r="A4" s="9" t="str">
        <f>Evaluacion!A6</f>
        <v>Valeria Rodriguez</v>
      </c>
      <c r="B4" s="9" t="str">
        <f>Evaluacion!B6</f>
        <v>Soporte</v>
      </c>
      <c r="C4" s="10">
        <f>Evaluacion!R6</f>
        <v>3.6666666666666665</v>
      </c>
      <c r="D4" s="10">
        <f>Evaluacion!S6</f>
        <v>4</v>
      </c>
      <c r="E4" s="10">
        <f>Evaluacion!T6</f>
        <v>4.333333333333333</v>
      </c>
      <c r="F4" s="10">
        <f>Evaluacion!U6</f>
        <v>4.333333333333333</v>
      </c>
      <c r="G4" s="10">
        <f>Evaluacion!V6</f>
        <v>4.333333333333333</v>
      </c>
      <c r="H4" s="10">
        <f>Evaluacion!W6</f>
        <v>4.1333333333333329</v>
      </c>
      <c r="I4" s="11" t="str">
        <f>Evaluacion!X6</f>
        <v>Nivel destacado</v>
      </c>
    </row>
    <row r="5" spans="1:9" x14ac:dyDescent="0.3">
      <c r="A5" s="9" t="str">
        <f>Evaluacion!A7</f>
        <v>Jesus Chavez</v>
      </c>
      <c r="B5" s="9" t="str">
        <f>Evaluacion!B7</f>
        <v>Arquitectura</v>
      </c>
      <c r="C5" s="10">
        <f>Evaluacion!R7</f>
        <v>4.333333333333333</v>
      </c>
      <c r="D5" s="10">
        <f>Evaluacion!S7</f>
        <v>4</v>
      </c>
      <c r="E5" s="10">
        <f>Evaluacion!T7</f>
        <v>4.333333333333333</v>
      </c>
      <c r="F5" s="10">
        <f>Evaluacion!U7</f>
        <v>4.666666666666667</v>
      </c>
      <c r="G5" s="10">
        <f>Evaluacion!V7</f>
        <v>4.333333333333333</v>
      </c>
      <c r="H5" s="10">
        <f>Evaluacion!W7</f>
        <v>4.333333333333333</v>
      </c>
      <c r="I5" s="11" t="str">
        <f>Evaluacion!X7</f>
        <v>Nivel destacado</v>
      </c>
    </row>
    <row r="6" spans="1:9" x14ac:dyDescent="0.3">
      <c r="A6" s="9" t="str">
        <f>Evaluacion!A8</f>
        <v>Diego Morales</v>
      </c>
      <c r="B6" s="9" t="str">
        <f>Evaluacion!B8</f>
        <v>Arquitectura</v>
      </c>
      <c r="C6" s="10">
        <f>Evaluacion!R8</f>
        <v>4.333333333333333</v>
      </c>
      <c r="D6" s="10">
        <f>Evaluacion!S8</f>
        <v>3.6666666666666665</v>
      </c>
      <c r="E6" s="10">
        <f>Evaluacion!T8</f>
        <v>3.6666666666666665</v>
      </c>
      <c r="F6" s="10">
        <f>Evaluacion!U8</f>
        <v>3.6666666666666665</v>
      </c>
      <c r="G6" s="10">
        <f>Evaluacion!V8</f>
        <v>4</v>
      </c>
      <c r="H6" s="10">
        <f>Evaluacion!W8</f>
        <v>3.8666666666666663</v>
      </c>
      <c r="I6" s="11" t="str">
        <f>Evaluacion!X8</f>
        <v>Nivel destacado</v>
      </c>
    </row>
    <row r="7" spans="1:9" x14ac:dyDescent="0.3">
      <c r="A7" s="9" t="str">
        <f>Evaluacion!A9</f>
        <v>Piero Añanca</v>
      </c>
      <c r="B7" s="9" t="str">
        <f>Evaluacion!B9</f>
        <v>Arquitectura</v>
      </c>
      <c r="C7" s="10">
        <f>Evaluacion!R9</f>
        <v>4.333333333333333</v>
      </c>
      <c r="D7" s="10">
        <f>Evaluacion!S9</f>
        <v>3</v>
      </c>
      <c r="E7" s="10">
        <f>Evaluacion!T9</f>
        <v>3.3333333333333335</v>
      </c>
      <c r="F7" s="10">
        <f>Evaluacion!U9</f>
        <v>3.3333333333333335</v>
      </c>
      <c r="G7" s="10">
        <f>Evaluacion!V9</f>
        <v>3.3333333333333335</v>
      </c>
      <c r="H7" s="10">
        <f>Evaluacion!W9</f>
        <v>3.4666666666666663</v>
      </c>
      <c r="I7" s="11" t="str">
        <f>Evaluacion!X9</f>
        <v>Nivel esperado</v>
      </c>
    </row>
    <row r="8" spans="1:9" x14ac:dyDescent="0.3">
      <c r="A8" s="9" t="str">
        <f>Evaluacion!A10</f>
        <v>Tiffany Ollero</v>
      </c>
      <c r="B8" s="9" t="str">
        <f>Evaluacion!B10</f>
        <v>Arquitectura</v>
      </c>
      <c r="C8" s="10">
        <f>Evaluacion!R10</f>
        <v>4.333333333333333</v>
      </c>
      <c r="D8" s="10">
        <f>Evaluacion!S10</f>
        <v>3.3333333333333335</v>
      </c>
      <c r="E8" s="10">
        <f>Evaluacion!T10</f>
        <v>3</v>
      </c>
      <c r="F8" s="10">
        <f>Evaluacion!U10</f>
        <v>3.3333333333333335</v>
      </c>
      <c r="G8" s="10">
        <f>Evaluacion!V10</f>
        <v>3.6666666666666665</v>
      </c>
      <c r="H8" s="10">
        <f>Evaluacion!W10</f>
        <v>3.5333333333333337</v>
      </c>
      <c r="I8" s="11" t="str">
        <f>Evaluacion!X10</f>
        <v>Nivel destacado</v>
      </c>
    </row>
    <row r="9" spans="1:9" x14ac:dyDescent="0.3">
      <c r="A9" s="9" t="str">
        <f>Evaluacion!A11</f>
        <v>Lizeth Arevalo</v>
      </c>
      <c r="B9" s="9" t="str">
        <f>Evaluacion!B11</f>
        <v>Arquitectura</v>
      </c>
      <c r="C9" s="10">
        <f>Evaluacion!R11</f>
        <v>3.6666666666666665</v>
      </c>
      <c r="D9" s="10">
        <f>Evaluacion!S11</f>
        <v>2.6666666666666665</v>
      </c>
      <c r="E9" s="10">
        <f>Evaluacion!T11</f>
        <v>3.6666666666666665</v>
      </c>
      <c r="F9" s="10">
        <f>Evaluacion!U11</f>
        <v>3</v>
      </c>
      <c r="G9" s="10">
        <f>Evaluacion!V11</f>
        <v>3.3333333333333335</v>
      </c>
      <c r="H9" s="10">
        <f>Evaluacion!W11</f>
        <v>3.2666666666666666</v>
      </c>
      <c r="I9" s="11" t="str">
        <f>Evaluacion!X11</f>
        <v>Nivel esperado</v>
      </c>
    </row>
    <row r="10" spans="1:9" x14ac:dyDescent="0.3">
      <c r="A10" s="9" t="str">
        <f>Evaluacion!A12</f>
        <v>Jhon Rojas</v>
      </c>
      <c r="B10" s="9" t="str">
        <f>Evaluacion!B12</f>
        <v>Ejecutivo comercial</v>
      </c>
      <c r="C10" s="10">
        <f>Evaluacion!R12</f>
        <v>3.6666666666666665</v>
      </c>
      <c r="D10" s="10">
        <f>Evaluacion!S12</f>
        <v>4</v>
      </c>
      <c r="E10" s="10">
        <f>Evaluacion!T12</f>
        <v>3</v>
      </c>
      <c r="F10" s="10">
        <f>Evaluacion!U12</f>
        <v>3.3333333333333335</v>
      </c>
      <c r="G10" s="10">
        <f>Evaluacion!V12</f>
        <v>3.6666666666666665</v>
      </c>
      <c r="H10" s="10">
        <f>Evaluacion!W12</f>
        <v>3.5333333333333337</v>
      </c>
      <c r="I10" s="11" t="str">
        <f>Evaluacion!X12</f>
        <v>Nivel destacado</v>
      </c>
    </row>
    <row r="11" spans="1:9" x14ac:dyDescent="0.3">
      <c r="A11" s="9" t="str">
        <f>Evaluacion!A13</f>
        <v>Hugo Escobar</v>
      </c>
      <c r="B11" s="9" t="str">
        <f>Evaluacion!B13</f>
        <v>Ejecutivo comercial</v>
      </c>
      <c r="C11" s="10">
        <f>Evaluacion!R13</f>
        <v>3.3333333333333335</v>
      </c>
      <c r="D11" s="10">
        <f>Evaluacion!S13</f>
        <v>3.3333333333333335</v>
      </c>
      <c r="E11" s="10">
        <f>Evaluacion!T13</f>
        <v>3</v>
      </c>
      <c r="F11" s="10">
        <f>Evaluacion!U13</f>
        <v>2.6666666666666665</v>
      </c>
      <c r="G11" s="10">
        <f>Evaluacion!V13</f>
        <v>3.6666666666666665</v>
      </c>
      <c r="H11" s="10">
        <f>Evaluacion!W13</f>
        <v>3.2</v>
      </c>
      <c r="I11" s="11" t="str">
        <f>Evaluacion!X13</f>
        <v>Nivel esperado</v>
      </c>
    </row>
    <row r="12" spans="1:9" x14ac:dyDescent="0.3">
      <c r="A12" s="9" t="str">
        <f>Evaluacion!A14</f>
        <v>Victor Ramirez</v>
      </c>
      <c r="B12" s="9" t="str">
        <f>Evaluacion!B14</f>
        <v>Ejecutivo comercial</v>
      </c>
      <c r="C12" s="10">
        <f>Evaluacion!R14</f>
        <v>3.3333333333333335</v>
      </c>
      <c r="D12" s="10">
        <f>Evaluacion!S14</f>
        <v>4</v>
      </c>
      <c r="E12" s="10">
        <f>Evaluacion!T14</f>
        <v>2.6666666666666665</v>
      </c>
      <c r="F12" s="10">
        <f>Evaluacion!U14</f>
        <v>2.6666666666666665</v>
      </c>
      <c r="G12" s="10">
        <f>Evaluacion!V14</f>
        <v>3.6666666666666665</v>
      </c>
      <c r="H12" s="10">
        <f>Evaluacion!W14</f>
        <v>3.2666666666666666</v>
      </c>
      <c r="I12" s="11" t="str">
        <f>Evaluacion!X14</f>
        <v>Nivel esperado</v>
      </c>
    </row>
    <row r="14" spans="1:9" x14ac:dyDescent="0.3">
      <c r="A14" s="30" t="s">
        <v>60</v>
      </c>
      <c r="B14" s="18"/>
      <c r="C14" s="12">
        <f t="shared" ref="C14:H14" si="0">AVERAGE(C4:C12)</f>
        <v>3.8888888888888888</v>
      </c>
      <c r="D14" s="12">
        <f t="shared" si="0"/>
        <v>3.5555555555555554</v>
      </c>
      <c r="E14" s="12">
        <f t="shared" si="0"/>
        <v>3.4444444444444446</v>
      </c>
      <c r="F14" s="12">
        <f t="shared" si="0"/>
        <v>3.4444444444444446</v>
      </c>
      <c r="G14" s="12">
        <f t="shared" si="0"/>
        <v>3.7777777777777777</v>
      </c>
      <c r="H14" s="12">
        <f t="shared" si="0"/>
        <v>3.6222222222222222</v>
      </c>
      <c r="I14" s="13"/>
    </row>
  </sheetData>
  <mergeCells count="2">
    <mergeCell ref="A1:I1"/>
    <mergeCell ref="A14:B14"/>
  </mergeCells>
  <conditionalFormatting sqref="C4:H12">
    <cfRule type="colorScale" priority="1">
      <colorScale>
        <cfvo type="num" val="1"/>
        <cfvo type="num" val="3"/>
        <cfvo type="num" val="5"/>
        <color rgb="FFF4CCCC"/>
        <color rgb="FFFFF2CC"/>
        <color rgb="FFD9EAD3"/>
      </colorScale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showGridLines="0" workbookViewId="0">
      <selection sqref="A1:F1"/>
    </sheetView>
  </sheetViews>
  <sheetFormatPr baseColWidth="10" defaultColWidth="8.88671875" defaultRowHeight="14.4" x14ac:dyDescent="0.3"/>
  <cols>
    <col min="1" max="1" width="14" customWidth="1"/>
    <col min="2" max="2" width="90" customWidth="1"/>
    <col min="3" max="6" width="12" customWidth="1"/>
  </cols>
  <sheetData>
    <row r="1" spans="1:6" ht="23.4" x14ac:dyDescent="0.45">
      <c r="A1" s="29" t="s">
        <v>61</v>
      </c>
      <c r="B1" s="18"/>
      <c r="C1" s="18"/>
      <c r="D1" s="18"/>
      <c r="E1" s="18"/>
      <c r="F1" s="18"/>
    </row>
    <row r="3" spans="1:6" x14ac:dyDescent="0.3">
      <c r="A3" s="14" t="s">
        <v>62</v>
      </c>
      <c r="B3" s="14" t="s">
        <v>63</v>
      </c>
    </row>
    <row r="4" spans="1:6" ht="34.950000000000003" customHeight="1" x14ac:dyDescent="0.3">
      <c r="A4" s="15">
        <v>1</v>
      </c>
      <c r="B4" s="16" t="s">
        <v>64</v>
      </c>
    </row>
    <row r="5" spans="1:6" ht="34.950000000000003" customHeight="1" x14ac:dyDescent="0.3">
      <c r="A5" s="15">
        <v>2</v>
      </c>
      <c r="B5" s="16" t="s">
        <v>65</v>
      </c>
    </row>
    <row r="6" spans="1:6" ht="34.950000000000003" customHeight="1" x14ac:dyDescent="0.3">
      <c r="A6" s="15">
        <v>3</v>
      </c>
      <c r="B6" s="16" t="s">
        <v>66</v>
      </c>
    </row>
    <row r="7" spans="1:6" ht="34.950000000000003" customHeight="1" x14ac:dyDescent="0.3">
      <c r="A7" s="15">
        <v>4</v>
      </c>
      <c r="B7" s="16" t="s">
        <v>67</v>
      </c>
    </row>
    <row r="8" spans="1:6" ht="34.950000000000003" customHeight="1" x14ac:dyDescent="0.3">
      <c r="A8" s="15">
        <v>5</v>
      </c>
      <c r="B8" s="16" t="s">
        <v>68</v>
      </c>
    </row>
    <row r="11" spans="1:6" x14ac:dyDescent="0.3">
      <c r="A11" s="14" t="s">
        <v>69</v>
      </c>
    </row>
    <row r="12" spans="1:6" x14ac:dyDescent="0.3">
      <c r="A12" s="31" t="s">
        <v>70</v>
      </c>
      <c r="B12" s="18"/>
      <c r="C12" s="18"/>
      <c r="D12" s="18"/>
      <c r="E12" s="18"/>
      <c r="F12" s="18"/>
    </row>
    <row r="13" spans="1:6" x14ac:dyDescent="0.3">
      <c r="A13" s="31" t="s">
        <v>71</v>
      </c>
      <c r="B13" s="18"/>
      <c r="C13" s="18"/>
      <c r="D13" s="18"/>
      <c r="E13" s="18"/>
      <c r="F13" s="18"/>
    </row>
    <row r="14" spans="1:6" x14ac:dyDescent="0.3">
      <c r="A14" s="31" t="s">
        <v>72</v>
      </c>
      <c r="B14" s="18"/>
      <c r="C14" s="18"/>
      <c r="D14" s="18"/>
      <c r="E14" s="18"/>
      <c r="F14" s="18"/>
    </row>
    <row r="15" spans="1:6" x14ac:dyDescent="0.3">
      <c r="A15" s="31" t="s">
        <v>73</v>
      </c>
      <c r="B15" s="18"/>
      <c r="C15" s="18"/>
      <c r="D15" s="18"/>
      <c r="E15" s="18"/>
      <c r="F15" s="18"/>
    </row>
    <row r="16" spans="1:6" x14ac:dyDescent="0.3">
      <c r="A16" s="31" t="s">
        <v>74</v>
      </c>
      <c r="B16" s="18"/>
      <c r="C16" s="18"/>
      <c r="D16" s="18"/>
      <c r="E16" s="18"/>
      <c r="F16" s="18"/>
    </row>
  </sheetData>
  <mergeCells count="6">
    <mergeCell ref="A16:F16"/>
    <mergeCell ref="A13:F13"/>
    <mergeCell ref="A14:F14"/>
    <mergeCell ref="A1:F1"/>
    <mergeCell ref="A12:F12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Evaluacion</vt:lpstr>
      <vt:lpstr>Resultados</vt:lpstr>
      <vt:lpstr>Guia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Valeria Rodriguez Allca</cp:lastModifiedBy>
  <dcterms:created xsi:type="dcterms:W3CDTF">2026-09-21T23:49:39Z</dcterms:created>
  <dcterms:modified xsi:type="dcterms:W3CDTF">2026-09-22T17:39:14Z</dcterms:modified>
</cp:coreProperties>
</file>