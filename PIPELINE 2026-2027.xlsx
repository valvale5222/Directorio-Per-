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odriguez\Desktop\Directorio J\"/>
    </mc:Choice>
  </mc:AlternateContent>
  <xr:revisionPtr revIDLastSave="0" documentId="13_ncr:1_{A26F5027-074F-4182-B4C7-B3FE7498D777}" xr6:coauthVersionLast="47" xr6:coauthVersionMax="47" xr10:uidLastSave="{00000000-0000-0000-0000-000000000000}"/>
  <bookViews>
    <workbookView xWindow="22932" yWindow="-108" windowWidth="23256" windowHeight="13896" xr2:uid="{00A14261-C0D4-4AD8-9D5C-73D2E7CCEB70}"/>
  </bookViews>
  <sheets>
    <sheet name="PIPELINE" sheetId="1" r:id="rId1"/>
  </sheets>
  <definedNames>
    <definedName name="_xlnm._FilterDatabase" localSheetId="0" hidden="1">PIPELINE!$A$1:$M$112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17" i="1" l="1"/>
  <c r="O114" i="1"/>
  <c r="O115" i="1" s="1"/>
  <c r="O107" i="1"/>
  <c r="O109" i="1" s="1"/>
  <c r="C29" i="1"/>
  <c r="C30" i="1"/>
</calcChain>
</file>

<file path=xl/sharedStrings.xml><?xml version="1.0" encoding="utf-8"?>
<sst xmlns="http://schemas.openxmlformats.org/spreadsheetml/2006/main" count="872" uniqueCount="273">
  <si>
    <t>CLIENTE</t>
  </si>
  <si>
    <t>REQUERIMIENTO</t>
  </si>
  <si>
    <t xml:space="preserve">STATUS
</t>
  </si>
  <si>
    <t>ZONA</t>
  </si>
  <si>
    <t>PAIS</t>
  </si>
  <si>
    <t>REFRIGERANTE</t>
  </si>
  <si>
    <t>COMERCIAL</t>
  </si>
  <si>
    <t>COTIZADOR</t>
  </si>
  <si>
    <t>% PROBABILIDAD DE ÉXITO</t>
  </si>
  <si>
    <t xml:space="preserve">MES ESTIMADO DE CIERRE
</t>
  </si>
  <si>
    <t>DURACIÓN</t>
  </si>
  <si>
    <t>AÑO</t>
  </si>
  <si>
    <t>Vitafoods</t>
  </si>
  <si>
    <t>Planta de congelado multiproposito</t>
  </si>
  <si>
    <t>En análisis del cliente</t>
  </si>
  <si>
    <t>Norte</t>
  </si>
  <si>
    <t>Perú</t>
  </si>
  <si>
    <t>NH3/GLICOL</t>
  </si>
  <si>
    <t>Jesus Chavez</t>
  </si>
  <si>
    <t>Sebastian Flores</t>
  </si>
  <si>
    <t>Frutos Tropicales</t>
  </si>
  <si>
    <t>Planta de congelado de Mango</t>
  </si>
  <si>
    <t>Postpuesto</t>
  </si>
  <si>
    <t>Centro</t>
  </si>
  <si>
    <t>NH3</t>
  </si>
  <si>
    <t>Hugo</t>
  </si>
  <si>
    <t>Manuel Henriquez</t>
  </si>
  <si>
    <t>Medlog Ica</t>
  </si>
  <si>
    <t>Planta empacadora de Uva y Arandanos</t>
  </si>
  <si>
    <t>Sur</t>
  </si>
  <si>
    <t>Jhon</t>
  </si>
  <si>
    <t>Paolo Villa</t>
  </si>
  <si>
    <t>Maestranza</t>
  </si>
  <si>
    <t>EQUIPOS DE REFRIGERACION</t>
  </si>
  <si>
    <t>Misael</t>
  </si>
  <si>
    <t>Prospecto</t>
  </si>
  <si>
    <t>Ricardo</t>
  </si>
  <si>
    <t>Avocado Packing Company (Mission Produce)</t>
  </si>
  <si>
    <t>Layout base planta congelado APC Chao</t>
  </si>
  <si>
    <t>Gloria</t>
  </si>
  <si>
    <t>Jesús Chavez</t>
  </si>
  <si>
    <t>Medlog Cayalti</t>
  </si>
  <si>
    <t>Planta empacadora de Arandanos</t>
  </si>
  <si>
    <t>YAMBOLI</t>
  </si>
  <si>
    <t>Camaras de congelado de helado (sistema de frio) : C02 y Freon</t>
  </si>
  <si>
    <t>En proceso de cotización</t>
  </si>
  <si>
    <t>CO2</t>
  </si>
  <si>
    <t>Jose Perez</t>
  </si>
  <si>
    <t>RAPEL</t>
  </si>
  <si>
    <t>10/14 tuneles de planta de  uva - Piura</t>
  </si>
  <si>
    <t>HIJUELAS</t>
  </si>
  <si>
    <t>Laboratorio de crecimiento de Arandanos</t>
  </si>
  <si>
    <t>INFRAESTRUCTURA</t>
  </si>
  <si>
    <t>San Fernando</t>
  </si>
  <si>
    <t>IMPLEMENTACIÓN DEL SISTEMA DE REFRIGERACION - PPPC HUARAL</t>
  </si>
  <si>
    <t>Perdido</t>
  </si>
  <si>
    <t>Broom Frio</t>
  </si>
  <si>
    <t>3 Camaras y pasillo de despacho</t>
  </si>
  <si>
    <t>HASS PERU</t>
  </si>
  <si>
    <t>Planta Olmos</t>
  </si>
  <si>
    <t>Ricardo Flores</t>
  </si>
  <si>
    <t>RANSA</t>
  </si>
  <si>
    <t>planta de congelado - callao ó Paita</t>
  </si>
  <si>
    <t>Delice</t>
  </si>
  <si>
    <t>Planta procesadora de lacteos y derivados (sistema de frio)</t>
  </si>
  <si>
    <t>Negociación</t>
  </si>
  <si>
    <t>FREÓN</t>
  </si>
  <si>
    <t>Agroextiende</t>
  </si>
  <si>
    <t>Jesus Chavez - Daniel Fuentes</t>
  </si>
  <si>
    <t>FROZEN PROCESSED FRUITS SAC</t>
  </si>
  <si>
    <t>Camara de congelados</t>
  </si>
  <si>
    <t>VANGUARD - ICA</t>
  </si>
  <si>
    <t>Ampliación de sala de procesos 3 y 4: 02 Túneles californianos y 1 de cámara terminado</t>
  </si>
  <si>
    <t>Savia Corp</t>
  </si>
  <si>
    <t xml:space="preserve">Planta empacadora de fruta multiproposito </t>
  </si>
  <si>
    <t>Proagro Nazca</t>
  </si>
  <si>
    <t>Sur Export</t>
  </si>
  <si>
    <t>Acopio de arandanos</t>
  </si>
  <si>
    <t>NGR - NUTRA</t>
  </si>
  <si>
    <t>implementación de cámaras de frio para Planta de producción Proyecto Chronos (freon)</t>
  </si>
  <si>
    <t>Quelen</t>
  </si>
  <si>
    <t>AXION LOG</t>
  </si>
  <si>
    <t>CD TRUJILLO</t>
  </si>
  <si>
    <t>La grama</t>
  </si>
  <si>
    <t>Cámara y tunel de congelado (CO2)</t>
  </si>
  <si>
    <t>Perupez</t>
  </si>
  <si>
    <t>Ampliación de planta pesquera</t>
  </si>
  <si>
    <t>REITER</t>
  </si>
  <si>
    <t>AMPLIACIÓN PLANTA</t>
  </si>
  <si>
    <t>FRUGLOBE</t>
  </si>
  <si>
    <t xml:space="preserve">PLANTA DE PALTA </t>
  </si>
  <si>
    <t>SUR</t>
  </si>
  <si>
    <t>PROLAN</t>
  </si>
  <si>
    <t>Ampliacion de la planta San fernando - Chincha</t>
  </si>
  <si>
    <t>Inka Select Fruit - Ica</t>
  </si>
  <si>
    <t>Suministro de sistema de frio</t>
  </si>
  <si>
    <t>Pura Fruits</t>
  </si>
  <si>
    <t>Ampliación de planta de arandanos</t>
  </si>
  <si>
    <t>Jesus</t>
  </si>
  <si>
    <t>PROSEMBRA (VANGUARD) - PISCO</t>
  </si>
  <si>
    <t>Ampliacion de camara de arandanos</t>
  </si>
  <si>
    <t>Pesquera Altair-Oceano</t>
  </si>
  <si>
    <t xml:space="preserve">Camara de congelado y Anden de congelado </t>
  </si>
  <si>
    <t xml:space="preserve">Emergent Cold </t>
  </si>
  <si>
    <t>Ingeneria</t>
  </si>
  <si>
    <t>Servicio Ingeniería</t>
  </si>
  <si>
    <t>PAMPA BAJA - AREQUIPA</t>
  </si>
  <si>
    <t>Ampliacion de planta de arandanos</t>
  </si>
  <si>
    <t>SOCIEDAD AGRICOLA DROKASA S.A.</t>
  </si>
  <si>
    <t>Planta antigua de esparragos - mejoras</t>
  </si>
  <si>
    <t>Jhon Rojas</t>
  </si>
  <si>
    <t>San Efisio Sac</t>
  </si>
  <si>
    <t>SUNSHINE EXPORT S.A.C</t>
  </si>
  <si>
    <t>NUEVA CÁMARA DE CONGELADO</t>
  </si>
  <si>
    <t>Victor Ramirez</t>
  </si>
  <si>
    <t>AGROLATINA - NAZCA</t>
  </si>
  <si>
    <t>Climatizacion de sala de procesos - camara de materia prima</t>
  </si>
  <si>
    <t>CAMPOSOL</t>
  </si>
  <si>
    <t>ACOPIO NUEVO</t>
  </si>
  <si>
    <t xml:space="preserve">AGRICOLA CHAPI </t>
  </si>
  <si>
    <t>Ampliacion de tunel de materia prima y producto terminado. Camara de producto terminado y sala de despacho. (multifruta)</t>
  </si>
  <si>
    <t>AIB MOTUPE</t>
  </si>
  <si>
    <t>Planta de congelado de fruta multiproposito  (Motupe)</t>
  </si>
  <si>
    <t xml:space="preserve">PRODUCTOS NATURALES DE EXPORTACION S.A. - PRONEX S.A.
</t>
  </si>
  <si>
    <t>CÁMARA + ESCLUSA (RECEPCIÓN/DESPACHO)</t>
  </si>
  <si>
    <t>Frutos De Oro</t>
  </si>
  <si>
    <t>02 tuneles de maduracion</t>
  </si>
  <si>
    <t>Don Ricardo</t>
  </si>
  <si>
    <t>Ampliacion de planta "Casa Chica" - Procesamiento de Uva</t>
  </si>
  <si>
    <t>Frutos de Oro</t>
  </si>
  <si>
    <t>Camaras de C02 y Freon</t>
  </si>
  <si>
    <t>El Parque Alaya Packing Sac</t>
  </si>
  <si>
    <t xml:space="preserve">Implementación de campamento </t>
  </si>
  <si>
    <t>Ampliación de Packing Palta</t>
  </si>
  <si>
    <t xml:space="preserve">PV2 - NH3
</t>
  </si>
  <si>
    <t>2M</t>
  </si>
  <si>
    <t>Ampliacion RECEPCIÓN, CMP, SP</t>
  </si>
  <si>
    <t>CAMSAC</t>
  </si>
  <si>
    <t>Ampliacion de planta de arandanos 2 TMP, 1 CPT, 1 DESPACHO</t>
  </si>
  <si>
    <t>Torre Blanca</t>
  </si>
  <si>
    <t>Proyecto 1 túnel, pasillo )</t>
  </si>
  <si>
    <t>Pablo Y</t>
  </si>
  <si>
    <t>Agropecuarios del Sur</t>
  </si>
  <si>
    <t>PLANTA DE EMBUTIDOS</t>
  </si>
  <si>
    <t>Agrofloral</t>
  </si>
  <si>
    <t xml:space="preserve">Ampliacion de camara de producto terminado </t>
  </si>
  <si>
    <t>Don Packing</t>
  </si>
  <si>
    <t xml:space="preserve">Planta empacadaora de fruta multiproposito </t>
  </si>
  <si>
    <t>PRIZE</t>
  </si>
  <si>
    <t xml:space="preserve">Oficinas </t>
  </si>
  <si>
    <t>Grupo Rocío: Noraves Santa Elena (Virú)</t>
  </si>
  <si>
    <t>Sistema de respaldo (backup) de refrigeración</t>
  </si>
  <si>
    <t>Arturo Rodriguez</t>
  </si>
  <si>
    <t>Tyt</t>
  </si>
  <si>
    <t>Proyecto de 03 tuneles y 01 camara de proudcto terminado</t>
  </si>
  <si>
    <t>Zedina</t>
  </si>
  <si>
    <t>Planta de carnicos</t>
  </si>
  <si>
    <t>AGRICOLA HUARMEY</t>
  </si>
  <si>
    <t>Deshumidificadores, 4 esclusas</t>
  </si>
  <si>
    <t>Limatambo</t>
  </si>
  <si>
    <t>Camara 140 ps y 1 tunel de 20 pallets (freon)</t>
  </si>
  <si>
    <t>Pedregal Ica</t>
  </si>
  <si>
    <t>Ampliación de túneles en PK1 y PK2</t>
  </si>
  <si>
    <t>Country Home</t>
  </si>
  <si>
    <t xml:space="preserve"> Cámara de almacenamiento de producto terminado - Limon</t>
  </si>
  <si>
    <t>Europan - San Antonio</t>
  </si>
  <si>
    <t>Uvas Del Sur</t>
  </si>
  <si>
    <t>Planta empacadora de Uva</t>
  </si>
  <si>
    <t>EXTERIOR</t>
  </si>
  <si>
    <t>RD</t>
  </si>
  <si>
    <t>Kamuk</t>
  </si>
  <si>
    <t>Suministro e instalación de compresor (3er para back up)</t>
  </si>
  <si>
    <t>Agro Develop</t>
  </si>
  <si>
    <t>Packing de Jengibre</t>
  </si>
  <si>
    <t>Cementos Pacasmayo</t>
  </si>
  <si>
    <t>Instalacion de 2 Chilleres - Ecuador</t>
  </si>
  <si>
    <t>Hayduk</t>
  </si>
  <si>
    <t>Suministro e instalación de compresor</t>
  </si>
  <si>
    <t>Agroberries</t>
  </si>
  <si>
    <t>TUNEL 02 - adicional para materia prima</t>
  </si>
  <si>
    <t>Sistema de frio IQF</t>
  </si>
  <si>
    <t xml:space="preserve">Molitalia </t>
  </si>
  <si>
    <t>Suministro de Chiller</t>
  </si>
  <si>
    <t>Agricola La Joya</t>
  </si>
  <si>
    <t>Servicio de Ingeneria</t>
  </si>
  <si>
    <t xml:space="preserve">3P </t>
  </si>
  <si>
    <t>instalacion y puesta en marcha - Chiller</t>
  </si>
  <si>
    <t>Ampliacion del despacho (multifruta)</t>
  </si>
  <si>
    <t>SAFCO</t>
  </si>
  <si>
    <t>Suministros e instalación de de Condensador Frioraf</t>
  </si>
  <si>
    <t>Agrofutura</t>
  </si>
  <si>
    <t>ampliación de planta multiproposito - uva</t>
  </si>
  <si>
    <t>Jordy Acosta</t>
  </si>
  <si>
    <t xml:space="preserve"> evaporador para tunel IQF</t>
  </si>
  <si>
    <t xml:space="preserve"> evaporador para tunel estatico 2 (Chincha)</t>
  </si>
  <si>
    <t>Climatización de prefrio</t>
  </si>
  <si>
    <t xml:space="preserve"> AGROFUTURA</t>
  </si>
  <si>
    <t xml:space="preserve"> INST. CAMARAS DE GASIFICADO ACOPIOS 1Y2</t>
  </si>
  <si>
    <t>Talma</t>
  </si>
  <si>
    <t>TRICAO</t>
  </si>
  <si>
    <t>Plan de arquitectura, diseño de 3 plantas</t>
  </si>
  <si>
    <t>Servicio Arquitectura</t>
  </si>
  <si>
    <t>Expediente técnico</t>
  </si>
  <si>
    <t>Agrovisión</t>
  </si>
  <si>
    <t>Camara de gasificado</t>
  </si>
  <si>
    <t>Marruecos</t>
  </si>
  <si>
    <r>
      <t>Planta empacadora de Arandanos</t>
    </r>
    <r>
      <rPr>
        <b/>
        <sz val="14"/>
        <color theme="1"/>
        <rFont val="Calibri"/>
        <family val="2"/>
      </rPr>
      <t xml:space="preserve"> - 2da etapa</t>
    </r>
  </si>
  <si>
    <t>VENTA</t>
  </si>
  <si>
    <t>Vendido</t>
  </si>
  <si>
    <t>Danper</t>
  </si>
  <si>
    <t>AMPLIACIÓN MUCHIK</t>
  </si>
  <si>
    <t>Termometria  Planta Kamuk</t>
  </si>
  <si>
    <t>Vanguard</t>
  </si>
  <si>
    <t>JRM - Pesquera Diamante</t>
  </si>
  <si>
    <t>Ampliación de una cámara de congelado</t>
  </si>
  <si>
    <t>Amoniaco</t>
  </si>
  <si>
    <t/>
  </si>
  <si>
    <t>Jesús Chávez</t>
  </si>
  <si>
    <t>Misael Estrada</t>
  </si>
  <si>
    <t>Freon</t>
  </si>
  <si>
    <t>Hugo Escobar</t>
  </si>
  <si>
    <t>Víctor Ramírez</t>
  </si>
  <si>
    <t>Rinti SA</t>
  </si>
  <si>
    <t>Camara para alimentos de mascotas 0 - 8° (Huachipa)</t>
  </si>
  <si>
    <t>Agro Fruit Export SAC</t>
  </si>
  <si>
    <t>Cámara de congelado</t>
  </si>
  <si>
    <t>Blueway</t>
  </si>
  <si>
    <t>COTIZACIÓN DE NAVE INDUSTRIAL (OBRAS CIVILES Y METALMECANICA) Y SISTEMA DE FRIO</t>
  </si>
  <si>
    <t>Smartpacking</t>
  </si>
  <si>
    <t>Sala de procesos de Arandanos y Palta</t>
  </si>
  <si>
    <t>Family Farms</t>
  </si>
  <si>
    <t>2 Gasificados</t>
  </si>
  <si>
    <t>Rapel</t>
  </si>
  <si>
    <t>2 salas de procesos</t>
  </si>
  <si>
    <t>Frutibien</t>
  </si>
  <si>
    <t>Packing de arandanos</t>
  </si>
  <si>
    <t>ALLPA FARMS</t>
  </si>
  <si>
    <t>ACOPIO</t>
  </si>
  <si>
    <t>POMICA</t>
  </si>
  <si>
    <t>AMPLIACIÓN DE SALA DE PROCESOS</t>
  </si>
  <si>
    <t>Cámara de congelado 180 posiciones</t>
  </si>
  <si>
    <t>Mission Produce</t>
  </si>
  <si>
    <t>Campamento de operarios</t>
  </si>
  <si>
    <t>GREENBE PERU</t>
  </si>
  <si>
    <t>CÁMARA DE CONSERVACIÓN (llave en mano)</t>
  </si>
  <si>
    <t>CAMARA FRIO MATERIA PRIMA ENVASADOS</t>
  </si>
  <si>
    <t>Cancelado</t>
  </si>
  <si>
    <t>Cámara y antecámara de yogurt</t>
  </si>
  <si>
    <t>Freón</t>
  </si>
  <si>
    <t>Ingeneria de planta</t>
  </si>
  <si>
    <t>Greenfield ECLA Amoniaco/Glicol (Sistema de Frio)</t>
  </si>
  <si>
    <t>Arquitectura e Ingeniería</t>
  </si>
  <si>
    <t>Planta de procesamiento de Arandanos (Piura)</t>
  </si>
  <si>
    <t>Planta de procesamiento de Arandanos (Olmos)</t>
  </si>
  <si>
    <t xml:space="preserve">Planta de Uva (Olmos) </t>
  </si>
  <si>
    <t>Tababuela</t>
  </si>
  <si>
    <t>Planta de Arandanos en Ecuador</t>
  </si>
  <si>
    <t xml:space="preserve">Ecuador </t>
  </si>
  <si>
    <t>freon</t>
  </si>
  <si>
    <t>Pacasmayo</t>
  </si>
  <si>
    <t>Planta multiproposito</t>
  </si>
  <si>
    <t xml:space="preserve">Jesus </t>
  </si>
  <si>
    <t>AMPLIACIÓN PACKING 2026 (ICA)</t>
  </si>
  <si>
    <t>Túnel congelado</t>
  </si>
  <si>
    <t>$824,838</t>
  </si>
  <si>
    <t>FREON</t>
  </si>
  <si>
    <t>otros</t>
  </si>
  <si>
    <t>ATGRO (Ingeniería)</t>
  </si>
  <si>
    <t>ATGRO (Olmos)</t>
  </si>
  <si>
    <t>ATGRO (Piura)</t>
  </si>
  <si>
    <t>AIB CHINCHA</t>
  </si>
  <si>
    <t>Q Pack</t>
  </si>
  <si>
    <t>Ampliación de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</si>
</sst>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_ * #,##0.00_ ;_ * \-#,##0.00_ ;_ * &quot;-&quot;??_ ;_ @_ "/>
    <numFmt numFmtId="166" formatCode="&quot;$&quot;#,##0.00"/>
    <numFmt numFmtId="167" formatCode="[$$-540A]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4"/>
      <color rgb="FF000000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theme="4"/>
      </right>
      <top/>
      <bottom/>
      <diagonal/>
    </border>
    <border>
      <left style="thin">
        <color theme="4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8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6" xfId="2" applyNumberFormat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9" fontId="3" fillId="0" borderId="2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" fontId="3" fillId="0" borderId="10" xfId="2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9" fontId="3" fillId="0" borderId="12" xfId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" fontId="3" fillId="0" borderId="14" xfId="2" applyNumberFormat="1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9" fontId="3" fillId="0" borderId="5" xfId="1" applyFont="1" applyBorder="1" applyAlignment="1">
      <alignment horizontal="center" vertical="center" wrapText="1"/>
    </xf>
    <xf numFmtId="1" fontId="3" fillId="0" borderId="5" xfId="2" applyNumberFormat="1" applyFont="1" applyBorder="1" applyAlignment="1">
      <alignment horizontal="center" vertical="center" wrapText="1"/>
    </xf>
    <xf numFmtId="1" fontId="3" fillId="0" borderId="8" xfId="2" applyNumberFormat="1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167" fontId="4" fillId="0" borderId="4" xfId="0" applyNumberFormat="1" applyFont="1" applyBorder="1" applyAlignment="1">
      <alignment horizontal="center" vertical="center" wrapText="1"/>
    </xf>
    <xf numFmtId="167" fontId="3" fillId="0" borderId="5" xfId="0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7" fontId="4" fillId="0" borderId="9" xfId="0" applyNumberFormat="1" applyFont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9" fontId="3" fillId="0" borderId="8" xfId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" fontId="3" fillId="0" borderId="20" xfId="2" applyNumberFormat="1" applyFont="1" applyBorder="1" applyAlignment="1">
      <alignment horizontal="center" vertical="center" wrapText="1"/>
    </xf>
    <xf numFmtId="9" fontId="3" fillId="0" borderId="19" xfId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9" fontId="3" fillId="0" borderId="11" xfId="1" applyFont="1" applyBorder="1" applyAlignment="1">
      <alignment horizontal="center" vertical="center" wrapText="1"/>
    </xf>
    <xf numFmtId="1" fontId="3" fillId="0" borderId="11" xfId="2" applyNumberFormat="1" applyFont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1" fontId="3" fillId="0" borderId="18" xfId="2" applyNumberFormat="1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9" fontId="3" fillId="0" borderId="18" xfId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7" fontId="4" fillId="0" borderId="17" xfId="0" applyNumberFormat="1" applyFont="1" applyBorder="1" applyAlignment="1">
      <alignment horizontal="center" vertical="center" wrapText="1"/>
    </xf>
    <xf numFmtId="0" fontId="5" fillId="10" borderId="18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167" fontId="4" fillId="0" borderId="5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7" fontId="3" fillId="0" borderId="13" xfId="0" applyNumberFormat="1" applyFont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 wrapText="1"/>
    </xf>
    <xf numFmtId="167" fontId="3" fillId="0" borderId="17" xfId="0" applyNumberFormat="1" applyFont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67" fontId="3" fillId="0" borderId="18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7" fontId="3" fillId="4" borderId="0" xfId="0" applyNumberFormat="1" applyFont="1" applyFill="1" applyAlignment="1">
      <alignment horizontal="center" vertical="center" wrapText="1"/>
    </xf>
  </cellXfs>
  <cellStyles count="3">
    <cellStyle name="Millares 2" xfId="2" xr:uid="{E380549B-E39E-4835-8220-8AA1E307163B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7A9D-27B5-4EE5-98A5-0CA4F5163512}">
  <sheetPr filterMode="1"/>
  <dimension ref="A1:P117"/>
  <sheetViews>
    <sheetView tabSelected="1" topLeftCell="A61" zoomScale="70" workbookViewId="0">
      <selection activeCell="A113" sqref="A113:M113"/>
    </sheetView>
  </sheetViews>
  <sheetFormatPr baseColWidth="10" defaultColWidth="21.109375" defaultRowHeight="28.8" customHeight="1" x14ac:dyDescent="0.3"/>
  <cols>
    <col min="1" max="1" width="21.109375" style="14"/>
    <col min="2" max="2" width="28.44140625" style="14" customWidth="1"/>
    <col min="3" max="3" width="21.109375" style="47"/>
    <col min="4" max="9" width="21.109375" style="14" customWidth="1"/>
    <col min="10" max="16384" width="21.109375" style="14"/>
  </cols>
  <sheetData>
    <row r="1" spans="1:13" ht="37.799999999999997" customHeight="1" x14ac:dyDescent="0.3">
      <c r="A1" s="48" t="s">
        <v>0</v>
      </c>
      <c r="B1" s="48" t="s">
        <v>1</v>
      </c>
      <c r="C1" s="49" t="s">
        <v>207</v>
      </c>
      <c r="D1" s="48" t="s">
        <v>2</v>
      </c>
      <c r="E1" s="48" t="s">
        <v>3</v>
      </c>
      <c r="F1" s="48" t="s">
        <v>4</v>
      </c>
      <c r="G1" s="48" t="s">
        <v>5</v>
      </c>
      <c r="H1" s="48" t="s">
        <v>6</v>
      </c>
      <c r="I1" s="48" t="s">
        <v>7</v>
      </c>
      <c r="J1" s="48" t="s">
        <v>8</v>
      </c>
      <c r="K1" s="48" t="s">
        <v>9</v>
      </c>
      <c r="L1" s="48" t="s">
        <v>10</v>
      </c>
      <c r="M1" s="1" t="s">
        <v>11</v>
      </c>
    </row>
    <row r="2" spans="1:13" ht="28.8" hidden="1" customHeight="1" x14ac:dyDescent="0.3">
      <c r="A2" s="10" t="s">
        <v>12</v>
      </c>
      <c r="B2" s="10" t="s">
        <v>13</v>
      </c>
      <c r="C2" s="11">
        <v>6304645.3499999996</v>
      </c>
      <c r="D2" s="85" t="s">
        <v>14</v>
      </c>
      <c r="E2" s="15" t="s">
        <v>15</v>
      </c>
      <c r="F2" s="15" t="s">
        <v>16</v>
      </c>
      <c r="G2" s="15" t="s">
        <v>17</v>
      </c>
      <c r="H2" s="10" t="s">
        <v>18</v>
      </c>
      <c r="I2" s="86" t="s">
        <v>19</v>
      </c>
      <c r="J2" s="10">
        <v>60</v>
      </c>
      <c r="K2" s="15">
        <v>2</v>
      </c>
      <c r="L2" s="15">
        <v>7</v>
      </c>
      <c r="M2" s="41">
        <v>2027</v>
      </c>
    </row>
    <row r="3" spans="1:13" ht="28.8" hidden="1" customHeight="1" x14ac:dyDescent="0.3">
      <c r="A3" s="60" t="s">
        <v>20</v>
      </c>
      <c r="B3" s="61" t="s">
        <v>21</v>
      </c>
      <c r="C3" s="62">
        <v>5986141.9100000001</v>
      </c>
      <c r="D3" s="63" t="s">
        <v>22</v>
      </c>
      <c r="E3" s="64" t="s">
        <v>23</v>
      </c>
      <c r="F3" s="65" t="s">
        <v>16</v>
      </c>
      <c r="G3" s="64" t="s">
        <v>24</v>
      </c>
      <c r="H3" s="66" t="s">
        <v>25</v>
      </c>
      <c r="I3" s="66" t="s">
        <v>26</v>
      </c>
      <c r="J3" s="61">
        <v>5</v>
      </c>
      <c r="K3" s="64">
        <v>4</v>
      </c>
      <c r="L3" s="64">
        <v>6</v>
      </c>
      <c r="M3" s="67">
        <v>2027</v>
      </c>
    </row>
    <row r="4" spans="1:13" ht="28.8" hidden="1" customHeight="1" x14ac:dyDescent="0.3">
      <c r="A4" s="2" t="s">
        <v>32</v>
      </c>
      <c r="B4" s="3" t="s">
        <v>33</v>
      </c>
      <c r="C4" s="4">
        <v>5139992</v>
      </c>
      <c r="D4" s="6" t="s">
        <v>22</v>
      </c>
      <c r="E4" s="15" t="s">
        <v>15</v>
      </c>
      <c r="F4" s="16" t="s">
        <v>16</v>
      </c>
      <c r="G4" s="15" t="s">
        <v>17</v>
      </c>
      <c r="H4" s="18" t="s">
        <v>34</v>
      </c>
      <c r="I4" s="5" t="s">
        <v>31</v>
      </c>
      <c r="J4" s="3">
        <v>5</v>
      </c>
      <c r="K4" s="15">
        <v>1</v>
      </c>
      <c r="L4" s="15">
        <v>9</v>
      </c>
      <c r="M4" s="17">
        <v>2027</v>
      </c>
    </row>
    <row r="5" spans="1:13" ht="28.8" hidden="1" customHeight="1" x14ac:dyDescent="0.3">
      <c r="A5" s="10" t="s">
        <v>37</v>
      </c>
      <c r="B5" s="10" t="s">
        <v>38</v>
      </c>
      <c r="C5" s="11">
        <v>4589259</v>
      </c>
      <c r="D5" s="85" t="s">
        <v>14</v>
      </c>
      <c r="E5" s="15" t="s">
        <v>15</v>
      </c>
      <c r="F5" s="15" t="s">
        <v>16</v>
      </c>
      <c r="G5" s="15" t="s">
        <v>17</v>
      </c>
      <c r="H5" s="40" t="s">
        <v>34</v>
      </c>
      <c r="I5" s="12" t="s">
        <v>31</v>
      </c>
      <c r="J5" s="10">
        <v>20</v>
      </c>
      <c r="K5" s="15">
        <v>1</v>
      </c>
      <c r="L5" s="15">
        <v>8</v>
      </c>
      <c r="M5" s="41">
        <v>2027</v>
      </c>
    </row>
    <row r="6" spans="1:13" ht="28.8" hidden="1" customHeight="1" x14ac:dyDescent="0.3">
      <c r="A6" s="60" t="s">
        <v>39</v>
      </c>
      <c r="B6" s="61" t="s">
        <v>13</v>
      </c>
      <c r="C6" s="62">
        <v>4000000</v>
      </c>
      <c r="D6" s="63" t="s">
        <v>22</v>
      </c>
      <c r="E6" s="64" t="s">
        <v>15</v>
      </c>
      <c r="F6" s="65" t="s">
        <v>16</v>
      </c>
      <c r="G6" s="64" t="s">
        <v>17</v>
      </c>
      <c r="H6" s="68" t="s">
        <v>40</v>
      </c>
      <c r="I6" s="66" t="s">
        <v>31</v>
      </c>
      <c r="J6" s="61">
        <v>5</v>
      </c>
      <c r="K6" s="61">
        <v>4</v>
      </c>
      <c r="L6" s="64">
        <v>7</v>
      </c>
      <c r="M6" s="67">
        <v>2027</v>
      </c>
    </row>
    <row r="7" spans="1:13" ht="28.8" hidden="1" customHeight="1" x14ac:dyDescent="0.3">
      <c r="A7" s="50" t="s">
        <v>43</v>
      </c>
      <c r="B7" s="30" t="s">
        <v>44</v>
      </c>
      <c r="C7" s="54">
        <v>789467.95</v>
      </c>
      <c r="D7" s="55" t="s">
        <v>45</v>
      </c>
      <c r="E7" s="26" t="s">
        <v>23</v>
      </c>
      <c r="F7" s="27" t="s">
        <v>16</v>
      </c>
      <c r="G7" s="26" t="s">
        <v>46</v>
      </c>
      <c r="H7" s="28" t="s">
        <v>25</v>
      </c>
      <c r="I7" s="53" t="s">
        <v>47</v>
      </c>
      <c r="J7" s="30">
        <v>20</v>
      </c>
      <c r="K7" s="30">
        <v>3</v>
      </c>
      <c r="L7" s="26">
        <v>7</v>
      </c>
      <c r="M7" s="31">
        <v>2027</v>
      </c>
    </row>
    <row r="8" spans="1:13" ht="28.8" hidden="1" customHeight="1" x14ac:dyDescent="0.3">
      <c r="A8" s="23" t="s">
        <v>48</v>
      </c>
      <c r="B8" s="23" t="s">
        <v>49</v>
      </c>
      <c r="C8" s="24">
        <v>3211211</v>
      </c>
      <c r="D8" s="90" t="s">
        <v>14</v>
      </c>
      <c r="E8" s="26" t="s">
        <v>15</v>
      </c>
      <c r="F8" s="26" t="s">
        <v>16</v>
      </c>
      <c r="G8" s="26" t="s">
        <v>24</v>
      </c>
      <c r="H8" s="59" t="s">
        <v>34</v>
      </c>
      <c r="I8" s="12" t="s">
        <v>31</v>
      </c>
      <c r="J8" s="23">
        <v>40</v>
      </c>
      <c r="K8" s="23">
        <v>1</v>
      </c>
      <c r="L8" s="26">
        <v>7</v>
      </c>
      <c r="M8" s="42">
        <v>2027</v>
      </c>
    </row>
    <row r="9" spans="1:13" ht="28.8" hidden="1" customHeight="1" x14ac:dyDescent="0.3">
      <c r="A9" s="15" t="s">
        <v>27</v>
      </c>
      <c r="B9" s="15" t="s">
        <v>28</v>
      </c>
      <c r="C9" s="15">
        <v>5800000</v>
      </c>
      <c r="D9" s="39" t="s">
        <v>55</v>
      </c>
      <c r="E9" s="15" t="s">
        <v>29</v>
      </c>
      <c r="F9" s="15" t="s">
        <v>16</v>
      </c>
      <c r="G9" s="15" t="s">
        <v>66</v>
      </c>
      <c r="H9" s="15" t="s">
        <v>30</v>
      </c>
      <c r="I9" s="129"/>
      <c r="J9" s="10">
        <v>0</v>
      </c>
      <c r="K9" s="15">
        <v>8</v>
      </c>
      <c r="L9" s="15">
        <v>5</v>
      </c>
      <c r="M9" s="41">
        <v>2026</v>
      </c>
    </row>
    <row r="10" spans="1:13" ht="28.8" hidden="1" customHeight="1" x14ac:dyDescent="0.3">
      <c r="A10" s="113" t="s">
        <v>41</v>
      </c>
      <c r="B10" s="116" t="s">
        <v>42</v>
      </c>
      <c r="C10" s="116">
        <v>3580000</v>
      </c>
      <c r="D10" s="71" t="s">
        <v>55</v>
      </c>
      <c r="E10" s="34" t="s">
        <v>29</v>
      </c>
      <c r="F10" s="35" t="s">
        <v>16</v>
      </c>
      <c r="G10" s="34" t="s">
        <v>17</v>
      </c>
      <c r="H10" s="35" t="s">
        <v>30</v>
      </c>
      <c r="I10" s="116"/>
      <c r="J10" s="37">
        <v>0</v>
      </c>
      <c r="K10" s="116">
        <v>8</v>
      </c>
      <c r="L10" s="34">
        <v>5</v>
      </c>
      <c r="M10" s="38">
        <v>2026</v>
      </c>
    </row>
    <row r="11" spans="1:13" ht="28.8" hidden="1" customHeight="1" x14ac:dyDescent="0.3">
      <c r="A11" s="10" t="s">
        <v>56</v>
      </c>
      <c r="B11" s="10" t="s">
        <v>57</v>
      </c>
      <c r="C11" s="11">
        <v>2850000</v>
      </c>
      <c r="D11" s="13" t="s">
        <v>14</v>
      </c>
      <c r="E11" s="15" t="s">
        <v>15</v>
      </c>
      <c r="F11" s="15" t="s">
        <v>16</v>
      </c>
      <c r="G11" s="15" t="s">
        <v>46</v>
      </c>
      <c r="H11" s="40" t="s">
        <v>18</v>
      </c>
      <c r="I11" s="86" t="s">
        <v>47</v>
      </c>
      <c r="J11" s="10">
        <v>40</v>
      </c>
      <c r="K11" s="10">
        <v>2</v>
      </c>
      <c r="L11" s="15">
        <v>7</v>
      </c>
      <c r="M11" s="41">
        <v>2027</v>
      </c>
    </row>
    <row r="12" spans="1:13" ht="35.4" hidden="1" customHeight="1" x14ac:dyDescent="0.3">
      <c r="A12" s="10" t="s">
        <v>269</v>
      </c>
      <c r="B12" s="10" t="s">
        <v>252</v>
      </c>
      <c r="C12" s="11">
        <v>2500000</v>
      </c>
      <c r="D12" s="13" t="s">
        <v>45</v>
      </c>
      <c r="E12" s="15" t="s">
        <v>15</v>
      </c>
      <c r="F12" s="15" t="s">
        <v>16</v>
      </c>
      <c r="G12" s="15" t="s">
        <v>24</v>
      </c>
      <c r="H12" s="40" t="s">
        <v>18</v>
      </c>
      <c r="I12" s="86"/>
      <c r="J12" s="10">
        <v>40</v>
      </c>
      <c r="K12" s="10">
        <v>1</v>
      </c>
      <c r="L12" s="15">
        <v>7</v>
      </c>
      <c r="M12" s="41">
        <v>2027</v>
      </c>
    </row>
    <row r="13" spans="1:13" ht="28.8" hidden="1" customHeight="1" x14ac:dyDescent="0.3">
      <c r="A13" s="60" t="s">
        <v>58</v>
      </c>
      <c r="B13" s="61" t="s">
        <v>59</v>
      </c>
      <c r="C13" s="62">
        <v>2000000</v>
      </c>
      <c r="D13" s="74" t="s">
        <v>35</v>
      </c>
      <c r="E13" s="64" t="s">
        <v>15</v>
      </c>
      <c r="F13" s="65" t="s">
        <v>16</v>
      </c>
      <c r="G13" s="64" t="s">
        <v>17</v>
      </c>
      <c r="H13" s="68" t="s">
        <v>60</v>
      </c>
      <c r="I13" s="66" t="s">
        <v>19</v>
      </c>
      <c r="J13" s="61">
        <v>5</v>
      </c>
      <c r="K13" s="61">
        <v>2</v>
      </c>
      <c r="L13" s="64">
        <v>7</v>
      </c>
      <c r="M13" s="67">
        <v>2027</v>
      </c>
    </row>
    <row r="14" spans="1:13" ht="28.8" hidden="1" customHeight="1" x14ac:dyDescent="0.3">
      <c r="A14" s="2" t="s">
        <v>61</v>
      </c>
      <c r="B14" s="3" t="s">
        <v>62</v>
      </c>
      <c r="C14" s="4">
        <v>1950000</v>
      </c>
      <c r="D14" s="7" t="s">
        <v>35</v>
      </c>
      <c r="E14" s="15" t="s">
        <v>23</v>
      </c>
      <c r="F14" s="16" t="s">
        <v>16</v>
      </c>
      <c r="G14" s="15" t="s">
        <v>24</v>
      </c>
      <c r="H14" s="18" t="s">
        <v>25</v>
      </c>
      <c r="I14" s="5" t="s">
        <v>19</v>
      </c>
      <c r="J14" s="3">
        <v>5</v>
      </c>
      <c r="K14" s="3">
        <v>2</v>
      </c>
      <c r="L14" s="15">
        <v>7</v>
      </c>
      <c r="M14" s="17">
        <v>2027</v>
      </c>
    </row>
    <row r="15" spans="1:13" ht="28.8" hidden="1" customHeight="1" x14ac:dyDescent="0.3">
      <c r="A15" s="114" t="s">
        <v>209</v>
      </c>
      <c r="B15" s="117" t="s">
        <v>210</v>
      </c>
      <c r="C15" s="117">
        <v>3500000</v>
      </c>
      <c r="D15" s="56" t="s">
        <v>55</v>
      </c>
      <c r="E15" s="26" t="s">
        <v>29</v>
      </c>
      <c r="F15" s="27" t="s">
        <v>16</v>
      </c>
      <c r="G15" s="26" t="s">
        <v>66</v>
      </c>
      <c r="H15" s="27" t="s">
        <v>60</v>
      </c>
      <c r="I15" s="20"/>
      <c r="J15" s="30">
        <v>0</v>
      </c>
      <c r="K15" s="117">
        <v>0</v>
      </c>
      <c r="L15" s="26">
        <v>5</v>
      </c>
      <c r="M15" s="31">
        <v>2026</v>
      </c>
    </row>
    <row r="16" spans="1:13" ht="28.8" customHeight="1" x14ac:dyDescent="0.3">
      <c r="A16" s="10" t="s">
        <v>50</v>
      </c>
      <c r="B16" s="10" t="s">
        <v>51</v>
      </c>
      <c r="C16" s="11">
        <v>3000000</v>
      </c>
      <c r="D16" s="85" t="s">
        <v>14</v>
      </c>
      <c r="E16" s="15" t="s">
        <v>23</v>
      </c>
      <c r="F16" s="15" t="s">
        <v>16</v>
      </c>
      <c r="G16" s="15" t="s">
        <v>52</v>
      </c>
      <c r="H16" s="40" t="s">
        <v>18</v>
      </c>
      <c r="I16" s="87" t="s">
        <v>47</v>
      </c>
      <c r="J16" s="10">
        <v>60</v>
      </c>
      <c r="K16" s="10">
        <v>11</v>
      </c>
      <c r="L16" s="15">
        <v>7</v>
      </c>
      <c r="M16" s="41">
        <v>2026</v>
      </c>
    </row>
    <row r="17" spans="1:13" ht="28.8" hidden="1" customHeight="1" x14ac:dyDescent="0.3">
      <c r="A17" s="69" t="s">
        <v>69</v>
      </c>
      <c r="B17" s="37" t="s">
        <v>70</v>
      </c>
      <c r="C17" s="70">
        <v>1500000</v>
      </c>
      <c r="D17" s="78" t="s">
        <v>22</v>
      </c>
      <c r="E17" s="34" t="s">
        <v>23</v>
      </c>
      <c r="F17" s="35" t="s">
        <v>16</v>
      </c>
      <c r="G17" s="34" t="s">
        <v>24</v>
      </c>
      <c r="H17" s="36" t="s">
        <v>36</v>
      </c>
      <c r="I17" s="53" t="s">
        <v>31</v>
      </c>
      <c r="J17" s="37">
        <v>5</v>
      </c>
      <c r="K17" s="37">
        <v>5</v>
      </c>
      <c r="L17" s="34">
        <v>7</v>
      </c>
      <c r="M17" s="38">
        <v>2027</v>
      </c>
    </row>
    <row r="18" spans="1:13" ht="28.8" hidden="1" customHeight="1" x14ac:dyDescent="0.3">
      <c r="A18" s="10" t="s">
        <v>71</v>
      </c>
      <c r="B18" s="10" t="s">
        <v>72</v>
      </c>
      <c r="C18" s="11">
        <v>1500000</v>
      </c>
      <c r="D18" s="85" t="s">
        <v>14</v>
      </c>
      <c r="E18" s="15" t="s">
        <v>29</v>
      </c>
      <c r="F18" s="15" t="s">
        <v>16</v>
      </c>
      <c r="G18" s="15" t="s">
        <v>24</v>
      </c>
      <c r="H18" s="40" t="s">
        <v>30</v>
      </c>
      <c r="I18" s="100"/>
      <c r="J18" s="10">
        <v>80</v>
      </c>
      <c r="K18" s="10">
        <v>1</v>
      </c>
      <c r="L18" s="15">
        <v>7</v>
      </c>
      <c r="M18" s="41">
        <v>2027</v>
      </c>
    </row>
    <row r="19" spans="1:13" ht="28.8" hidden="1" customHeight="1" x14ac:dyDescent="0.3">
      <c r="A19" s="34" t="s">
        <v>209</v>
      </c>
      <c r="B19" s="34" t="s">
        <v>254</v>
      </c>
      <c r="C19" s="121">
        <v>3000000</v>
      </c>
      <c r="D19" s="123" t="s">
        <v>45</v>
      </c>
      <c r="E19" s="34" t="s">
        <v>15</v>
      </c>
      <c r="F19" s="34" t="s">
        <v>16</v>
      </c>
      <c r="G19" s="34" t="s">
        <v>215</v>
      </c>
      <c r="H19" s="34" t="s">
        <v>218</v>
      </c>
      <c r="I19" s="15"/>
      <c r="J19" s="34">
        <v>40</v>
      </c>
      <c r="K19" s="34">
        <v>12</v>
      </c>
      <c r="L19" s="34">
        <v>8</v>
      </c>
      <c r="M19" s="82">
        <v>2026</v>
      </c>
    </row>
    <row r="20" spans="1:13" ht="28.8" hidden="1" customHeight="1" x14ac:dyDescent="0.3">
      <c r="A20" s="10" t="s">
        <v>75</v>
      </c>
      <c r="B20" s="10" t="s">
        <v>42</v>
      </c>
      <c r="C20" s="11">
        <v>1325752.5</v>
      </c>
      <c r="D20" s="98" t="s">
        <v>22</v>
      </c>
      <c r="E20" s="15" t="s">
        <v>29</v>
      </c>
      <c r="F20" s="15" t="s">
        <v>16</v>
      </c>
      <c r="G20" s="15" t="s">
        <v>17</v>
      </c>
      <c r="H20" s="40" t="s">
        <v>30</v>
      </c>
      <c r="I20" s="101" t="s">
        <v>26</v>
      </c>
      <c r="J20" s="10">
        <v>5</v>
      </c>
      <c r="K20" s="10">
        <v>1</v>
      </c>
      <c r="L20" s="15">
        <v>7</v>
      </c>
      <c r="M20" s="41">
        <v>2027</v>
      </c>
    </row>
    <row r="21" spans="1:13" ht="28.8" hidden="1" customHeight="1" x14ac:dyDescent="0.3">
      <c r="A21" s="69" t="s">
        <v>53</v>
      </c>
      <c r="B21" s="37" t="s">
        <v>54</v>
      </c>
      <c r="C21" s="70">
        <v>2934737.67</v>
      </c>
      <c r="D21" s="71" t="s">
        <v>55</v>
      </c>
      <c r="E21" s="34" t="s">
        <v>23</v>
      </c>
      <c r="F21" s="35" t="s">
        <v>16</v>
      </c>
      <c r="G21" s="72" t="s">
        <v>24</v>
      </c>
      <c r="H21" s="36" t="s">
        <v>25</v>
      </c>
      <c r="I21" s="53" t="s">
        <v>47</v>
      </c>
      <c r="J21" s="37">
        <v>0</v>
      </c>
      <c r="K21" s="37">
        <v>0</v>
      </c>
      <c r="L21" s="34">
        <v>8</v>
      </c>
      <c r="M21" s="38">
        <v>2026</v>
      </c>
    </row>
    <row r="22" spans="1:13" ht="28.8" customHeight="1" x14ac:dyDescent="0.3">
      <c r="A22" s="10" t="s">
        <v>103</v>
      </c>
      <c r="B22" s="10" t="s">
        <v>250</v>
      </c>
      <c r="C22" s="11">
        <v>2096567.37</v>
      </c>
      <c r="D22" s="99" t="s">
        <v>14</v>
      </c>
      <c r="E22" s="15" t="s">
        <v>23</v>
      </c>
      <c r="F22" s="15" t="s">
        <v>16</v>
      </c>
      <c r="G22" s="15" t="s">
        <v>46</v>
      </c>
      <c r="H22" s="40" t="s">
        <v>25</v>
      </c>
      <c r="I22" s="15"/>
      <c r="J22" s="10">
        <v>60</v>
      </c>
      <c r="K22" s="10">
        <v>10</v>
      </c>
      <c r="L22" s="15">
        <v>7</v>
      </c>
      <c r="M22" s="41">
        <v>2026</v>
      </c>
    </row>
    <row r="23" spans="1:13" ht="28.8" hidden="1" customHeight="1" x14ac:dyDescent="0.3">
      <c r="A23" s="10" t="s">
        <v>80</v>
      </c>
      <c r="B23" s="10" t="s">
        <v>206</v>
      </c>
      <c r="C23" s="11">
        <v>1024378.89</v>
      </c>
      <c r="D23" s="85" t="s">
        <v>14</v>
      </c>
      <c r="E23" s="15" t="s">
        <v>15</v>
      </c>
      <c r="F23" s="15" t="s">
        <v>16</v>
      </c>
      <c r="G23" s="15" t="s">
        <v>17</v>
      </c>
      <c r="H23" s="40" t="s">
        <v>34</v>
      </c>
      <c r="I23" s="12" t="s">
        <v>31</v>
      </c>
      <c r="J23" s="10">
        <v>40</v>
      </c>
      <c r="K23" s="10">
        <v>2</v>
      </c>
      <c r="L23" s="15">
        <v>7</v>
      </c>
      <c r="M23" s="41">
        <v>2027</v>
      </c>
    </row>
    <row r="24" spans="1:13" ht="28.8" hidden="1" customHeight="1" x14ac:dyDescent="0.3">
      <c r="A24" s="69" t="s">
        <v>81</v>
      </c>
      <c r="B24" s="37" t="s">
        <v>82</v>
      </c>
      <c r="C24" s="70">
        <v>1004484</v>
      </c>
      <c r="D24" s="75" t="s">
        <v>35</v>
      </c>
      <c r="E24" s="34" t="s">
        <v>15</v>
      </c>
      <c r="F24" s="35" t="s">
        <v>16</v>
      </c>
      <c r="G24" s="34" t="s">
        <v>46</v>
      </c>
      <c r="H24" s="36" t="s">
        <v>34</v>
      </c>
      <c r="I24" s="73" t="s">
        <v>19</v>
      </c>
      <c r="J24" s="37">
        <v>5</v>
      </c>
      <c r="K24" s="37">
        <v>2</v>
      </c>
      <c r="L24" s="34">
        <v>7</v>
      </c>
      <c r="M24" s="38">
        <v>2027</v>
      </c>
    </row>
    <row r="25" spans="1:13" ht="28.8" hidden="1" customHeight="1" x14ac:dyDescent="0.3">
      <c r="A25" s="10" t="s">
        <v>67</v>
      </c>
      <c r="B25" s="10" t="s">
        <v>42</v>
      </c>
      <c r="C25" s="11">
        <v>1545500</v>
      </c>
      <c r="D25" s="39" t="s">
        <v>55</v>
      </c>
      <c r="E25" s="15" t="s">
        <v>15</v>
      </c>
      <c r="F25" s="15" t="s">
        <v>16</v>
      </c>
      <c r="G25" s="15" t="s">
        <v>66</v>
      </c>
      <c r="H25" s="40" t="s">
        <v>68</v>
      </c>
      <c r="I25" s="12" t="s">
        <v>47</v>
      </c>
      <c r="J25" s="10">
        <v>0</v>
      </c>
      <c r="K25" s="10">
        <v>6</v>
      </c>
      <c r="L25" s="15">
        <v>6</v>
      </c>
      <c r="M25" s="41">
        <v>2026</v>
      </c>
    </row>
    <row r="26" spans="1:13" ht="28.8" hidden="1" customHeight="1" x14ac:dyDescent="0.3">
      <c r="A26" s="26" t="s">
        <v>224</v>
      </c>
      <c r="B26" s="26" t="s">
        <v>225</v>
      </c>
      <c r="C26" s="110">
        <v>1500000</v>
      </c>
      <c r="D26" s="92" t="s">
        <v>45</v>
      </c>
      <c r="E26" s="26" t="s">
        <v>23</v>
      </c>
      <c r="F26" s="26" t="s">
        <v>16</v>
      </c>
      <c r="G26" s="26" t="s">
        <v>46</v>
      </c>
      <c r="H26" s="26" t="s">
        <v>220</v>
      </c>
      <c r="I26" s="15"/>
      <c r="J26" s="26">
        <v>20</v>
      </c>
      <c r="K26" s="26">
        <v>10</v>
      </c>
      <c r="L26" s="26">
        <v>7</v>
      </c>
      <c r="M26" s="26">
        <v>2026</v>
      </c>
    </row>
    <row r="27" spans="1:13" ht="28.8" hidden="1" customHeight="1" x14ac:dyDescent="0.3">
      <c r="A27" s="10" t="s">
        <v>87</v>
      </c>
      <c r="B27" s="10" t="s">
        <v>88</v>
      </c>
      <c r="C27" s="11">
        <v>1000000</v>
      </c>
      <c r="D27" s="109" t="s">
        <v>35</v>
      </c>
      <c r="E27" s="15" t="s">
        <v>29</v>
      </c>
      <c r="F27" s="15" t="s">
        <v>16</v>
      </c>
      <c r="G27" s="19" t="s">
        <v>66</v>
      </c>
      <c r="H27" s="40" t="s">
        <v>30</v>
      </c>
      <c r="I27" s="102"/>
      <c r="J27" s="10">
        <v>40</v>
      </c>
      <c r="K27" s="10">
        <v>2</v>
      </c>
      <c r="L27" s="15">
        <v>6</v>
      </c>
      <c r="M27" s="41">
        <v>2027</v>
      </c>
    </row>
    <row r="28" spans="1:13" ht="28.8" hidden="1" customHeight="1" x14ac:dyDescent="0.3">
      <c r="A28" s="10" t="s">
        <v>73</v>
      </c>
      <c r="B28" s="10" t="s">
        <v>74</v>
      </c>
      <c r="C28" s="11">
        <v>1493776.65</v>
      </c>
      <c r="D28" s="85" t="s">
        <v>14</v>
      </c>
      <c r="E28" s="15" t="s">
        <v>15</v>
      </c>
      <c r="F28" s="15" t="s">
        <v>16</v>
      </c>
      <c r="G28" s="19" t="s">
        <v>66</v>
      </c>
      <c r="H28" s="40" t="s">
        <v>25</v>
      </c>
      <c r="I28" s="88" t="s">
        <v>26</v>
      </c>
      <c r="J28" s="10">
        <v>20</v>
      </c>
      <c r="K28" s="10">
        <v>11</v>
      </c>
      <c r="L28" s="15">
        <v>6</v>
      </c>
      <c r="M28" s="41">
        <v>2026</v>
      </c>
    </row>
    <row r="29" spans="1:13" ht="28.8" customHeight="1" x14ac:dyDescent="0.3">
      <c r="A29" s="32" t="s">
        <v>92</v>
      </c>
      <c r="B29" s="10" t="s">
        <v>93</v>
      </c>
      <c r="C29" s="33">
        <f>270361+1078666</f>
        <v>1349027</v>
      </c>
      <c r="D29" s="105" t="s">
        <v>65</v>
      </c>
      <c r="E29" s="34" t="s">
        <v>29</v>
      </c>
      <c r="F29" s="34" t="s">
        <v>16</v>
      </c>
      <c r="G29" s="72" t="s">
        <v>66</v>
      </c>
      <c r="H29" s="81" t="s">
        <v>30</v>
      </c>
      <c r="I29" s="89" t="s">
        <v>47</v>
      </c>
      <c r="J29" s="32">
        <v>80</v>
      </c>
      <c r="K29" s="32">
        <v>10</v>
      </c>
      <c r="L29" s="34">
        <v>6</v>
      </c>
      <c r="M29" s="82">
        <v>2026</v>
      </c>
    </row>
    <row r="30" spans="1:13" ht="28.8" customHeight="1" x14ac:dyDescent="0.3">
      <c r="A30" s="32" t="s">
        <v>63</v>
      </c>
      <c r="B30" s="10" t="s">
        <v>64</v>
      </c>
      <c r="C30" s="33">
        <f>1572931.74*0.8</f>
        <v>1258345.392</v>
      </c>
      <c r="D30" s="128" t="s">
        <v>45</v>
      </c>
      <c r="E30" s="34" t="s">
        <v>23</v>
      </c>
      <c r="F30" s="34" t="s">
        <v>16</v>
      </c>
      <c r="G30" s="72" t="s">
        <v>66</v>
      </c>
      <c r="H30" s="81" t="s">
        <v>25</v>
      </c>
      <c r="I30" s="12" t="s">
        <v>31</v>
      </c>
      <c r="J30" s="32">
        <v>80</v>
      </c>
      <c r="K30" s="32">
        <v>11</v>
      </c>
      <c r="L30" s="34">
        <v>7</v>
      </c>
      <c r="M30" s="82">
        <v>2026</v>
      </c>
    </row>
    <row r="31" spans="1:13" ht="28.8" hidden="1" customHeight="1" x14ac:dyDescent="0.3">
      <c r="A31" s="10" t="s">
        <v>94</v>
      </c>
      <c r="B31" s="10" t="s">
        <v>95</v>
      </c>
      <c r="C31" s="11">
        <v>877000</v>
      </c>
      <c r="D31" s="98" t="s">
        <v>22</v>
      </c>
      <c r="E31" s="15" t="s">
        <v>29</v>
      </c>
      <c r="F31" s="15" t="s">
        <v>16</v>
      </c>
      <c r="G31" s="15" t="s">
        <v>17</v>
      </c>
      <c r="H31" s="40" t="s">
        <v>30</v>
      </c>
      <c r="I31" s="101" t="s">
        <v>31</v>
      </c>
      <c r="J31" s="10">
        <v>5</v>
      </c>
      <c r="K31" s="10">
        <v>4</v>
      </c>
      <c r="L31" s="15">
        <v>7</v>
      </c>
      <c r="M31" s="41">
        <v>2027</v>
      </c>
    </row>
    <row r="32" spans="1:13" ht="28.8" hidden="1" customHeight="1" x14ac:dyDescent="0.3">
      <c r="A32" s="93" t="s">
        <v>76</v>
      </c>
      <c r="B32" s="93" t="s">
        <v>77</v>
      </c>
      <c r="C32" s="94">
        <v>1258000</v>
      </c>
      <c r="D32" s="83" t="s">
        <v>55</v>
      </c>
      <c r="E32" s="64" t="s">
        <v>29</v>
      </c>
      <c r="F32" s="64" t="s">
        <v>16</v>
      </c>
      <c r="G32" s="76" t="s">
        <v>66</v>
      </c>
      <c r="H32" s="96" t="s">
        <v>30</v>
      </c>
      <c r="I32" s="88" t="s">
        <v>31</v>
      </c>
      <c r="J32" s="93">
        <v>0</v>
      </c>
      <c r="K32" s="93">
        <v>6</v>
      </c>
      <c r="L32" s="64">
        <v>6</v>
      </c>
      <c r="M32" s="84">
        <v>2026</v>
      </c>
    </row>
    <row r="33" spans="1:13" ht="43.8" customHeight="1" x14ac:dyDescent="0.3">
      <c r="A33" s="93" t="s">
        <v>99</v>
      </c>
      <c r="B33" s="93" t="s">
        <v>100</v>
      </c>
      <c r="C33" s="94">
        <v>1034092.43</v>
      </c>
      <c r="D33" s="95" t="s">
        <v>14</v>
      </c>
      <c r="E33" s="64" t="s">
        <v>29</v>
      </c>
      <c r="F33" s="64" t="s">
        <v>16</v>
      </c>
      <c r="G33" s="64" t="s">
        <v>17</v>
      </c>
      <c r="H33" s="96" t="s">
        <v>30</v>
      </c>
      <c r="I33" s="12" t="s">
        <v>47</v>
      </c>
      <c r="J33" s="93">
        <v>60</v>
      </c>
      <c r="K33" s="93">
        <v>10</v>
      </c>
      <c r="L33" s="64">
        <v>7</v>
      </c>
      <c r="M33" s="84">
        <v>2026</v>
      </c>
    </row>
    <row r="34" spans="1:13" ht="28.8" hidden="1" customHeight="1" x14ac:dyDescent="0.3">
      <c r="A34" s="69" t="s">
        <v>85</v>
      </c>
      <c r="B34" s="37" t="s">
        <v>86</v>
      </c>
      <c r="C34" s="70">
        <v>1000000</v>
      </c>
      <c r="D34" s="125" t="s">
        <v>14</v>
      </c>
      <c r="E34" s="34" t="s">
        <v>15</v>
      </c>
      <c r="F34" s="35" t="s">
        <v>16</v>
      </c>
      <c r="G34" s="34" t="s">
        <v>24</v>
      </c>
      <c r="H34" s="36" t="s">
        <v>34</v>
      </c>
      <c r="I34" s="73" t="s">
        <v>31</v>
      </c>
      <c r="J34" s="37">
        <v>40</v>
      </c>
      <c r="K34" s="37">
        <v>11</v>
      </c>
      <c r="L34" s="34">
        <v>6</v>
      </c>
      <c r="M34" s="38">
        <v>2026</v>
      </c>
    </row>
    <row r="35" spans="1:13" ht="28.8" customHeight="1" x14ac:dyDescent="0.3">
      <c r="A35" s="23" t="s">
        <v>89</v>
      </c>
      <c r="B35" s="23" t="s">
        <v>90</v>
      </c>
      <c r="C35" s="24">
        <v>1000000</v>
      </c>
      <c r="D35" s="44" t="s">
        <v>14</v>
      </c>
      <c r="E35" s="26" t="s">
        <v>91</v>
      </c>
      <c r="F35" s="26" t="s">
        <v>16</v>
      </c>
      <c r="G35" s="26" t="s">
        <v>24</v>
      </c>
      <c r="H35" s="59" t="s">
        <v>30</v>
      </c>
      <c r="I35" s="86" t="s">
        <v>19</v>
      </c>
      <c r="J35" s="23">
        <v>60</v>
      </c>
      <c r="K35" s="23">
        <v>10</v>
      </c>
      <c r="L35" s="26">
        <v>7</v>
      </c>
      <c r="M35" s="42">
        <v>2026</v>
      </c>
    </row>
    <row r="36" spans="1:13" ht="28.8" hidden="1" customHeight="1" x14ac:dyDescent="0.3">
      <c r="A36" s="10" t="s">
        <v>106</v>
      </c>
      <c r="B36" s="10" t="s">
        <v>107</v>
      </c>
      <c r="C36" s="11">
        <v>800000</v>
      </c>
      <c r="D36" s="43" t="s">
        <v>22</v>
      </c>
      <c r="E36" s="15" t="s">
        <v>29</v>
      </c>
      <c r="F36" s="15" t="s">
        <v>16</v>
      </c>
      <c r="G36" s="15" t="s">
        <v>24</v>
      </c>
      <c r="H36" s="40" t="s">
        <v>30</v>
      </c>
      <c r="I36" s="103"/>
      <c r="J36" s="10">
        <v>60</v>
      </c>
      <c r="K36" s="10">
        <v>1</v>
      </c>
      <c r="L36" s="15">
        <v>7</v>
      </c>
      <c r="M36" s="41">
        <v>2027</v>
      </c>
    </row>
    <row r="37" spans="1:13" ht="28.8" hidden="1" customHeight="1" x14ac:dyDescent="0.3">
      <c r="A37" s="93" t="s">
        <v>78</v>
      </c>
      <c r="B37" s="93" t="s">
        <v>79</v>
      </c>
      <c r="C37" s="94">
        <v>935527.66</v>
      </c>
      <c r="D37" s="95" t="s">
        <v>14</v>
      </c>
      <c r="E37" s="64" t="s">
        <v>23</v>
      </c>
      <c r="F37" s="64" t="s">
        <v>16</v>
      </c>
      <c r="G37" s="76" t="s">
        <v>66</v>
      </c>
      <c r="H37" s="96" t="s">
        <v>25</v>
      </c>
      <c r="I37" s="12" t="s">
        <v>47</v>
      </c>
      <c r="J37" s="93">
        <v>40</v>
      </c>
      <c r="K37" s="93">
        <v>9</v>
      </c>
      <c r="L37" s="64">
        <v>6</v>
      </c>
      <c r="M37" s="84">
        <v>2026</v>
      </c>
    </row>
    <row r="38" spans="1:13" ht="28.8" hidden="1" customHeight="1" x14ac:dyDescent="0.3">
      <c r="A38" s="10" t="s">
        <v>111</v>
      </c>
      <c r="B38" s="10" t="s">
        <v>77</v>
      </c>
      <c r="C38" s="11">
        <v>772012.6</v>
      </c>
      <c r="D38" s="85" t="s">
        <v>14</v>
      </c>
      <c r="E38" s="15" t="s">
        <v>15</v>
      </c>
      <c r="F38" s="15" t="s">
        <v>16</v>
      </c>
      <c r="G38" s="19" t="s">
        <v>66</v>
      </c>
      <c r="H38" s="40" t="s">
        <v>25</v>
      </c>
      <c r="I38" s="12" t="s">
        <v>19</v>
      </c>
      <c r="J38" s="10">
        <v>60</v>
      </c>
      <c r="K38" s="10">
        <v>1</v>
      </c>
      <c r="L38" s="15">
        <v>6</v>
      </c>
      <c r="M38" s="41">
        <v>2027</v>
      </c>
    </row>
    <row r="39" spans="1:13" ht="28.8" hidden="1" customHeight="1" x14ac:dyDescent="0.3">
      <c r="A39" s="69" t="s">
        <v>112</v>
      </c>
      <c r="B39" s="37" t="s">
        <v>113</v>
      </c>
      <c r="C39" s="70">
        <v>760000</v>
      </c>
      <c r="D39" s="75" t="s">
        <v>35</v>
      </c>
      <c r="E39" s="34" t="s">
        <v>15</v>
      </c>
      <c r="F39" s="35" t="s">
        <v>16</v>
      </c>
      <c r="G39" s="34" t="s">
        <v>66</v>
      </c>
      <c r="H39" s="36" t="s">
        <v>114</v>
      </c>
      <c r="I39" s="66" t="s">
        <v>19</v>
      </c>
      <c r="J39" s="37">
        <v>5</v>
      </c>
      <c r="K39" s="37">
        <v>6</v>
      </c>
      <c r="L39" s="34">
        <v>6</v>
      </c>
      <c r="M39" s="38">
        <v>2027</v>
      </c>
    </row>
    <row r="40" spans="1:13" ht="28.8" hidden="1" customHeight="1" x14ac:dyDescent="0.3">
      <c r="A40" s="10" t="s">
        <v>115</v>
      </c>
      <c r="B40" s="10" t="s">
        <v>116</v>
      </c>
      <c r="C40" s="11">
        <v>750000</v>
      </c>
      <c r="D40" s="43" t="s">
        <v>35</v>
      </c>
      <c r="E40" s="15" t="s">
        <v>29</v>
      </c>
      <c r="F40" s="15" t="s">
        <v>16</v>
      </c>
      <c r="G40" s="15" t="s">
        <v>17</v>
      </c>
      <c r="H40" s="40" t="s">
        <v>30</v>
      </c>
      <c r="I40" s="104"/>
      <c r="J40" s="10">
        <v>40</v>
      </c>
      <c r="K40" s="10">
        <v>3</v>
      </c>
      <c r="L40" s="15">
        <v>7</v>
      </c>
      <c r="M40" s="41">
        <v>2027</v>
      </c>
    </row>
    <row r="41" spans="1:13" ht="28.8" hidden="1" customHeight="1" x14ac:dyDescent="0.3">
      <c r="A41" s="69" t="s">
        <v>83</v>
      </c>
      <c r="B41" s="37" t="s">
        <v>84</v>
      </c>
      <c r="C41" s="70">
        <v>856138</v>
      </c>
      <c r="D41" s="80" t="s">
        <v>14</v>
      </c>
      <c r="E41" s="34" t="s">
        <v>23</v>
      </c>
      <c r="F41" s="35" t="s">
        <v>16</v>
      </c>
      <c r="G41" s="72" t="s">
        <v>46</v>
      </c>
      <c r="H41" s="36" t="s">
        <v>25</v>
      </c>
      <c r="I41" s="5" t="s">
        <v>19</v>
      </c>
      <c r="J41" s="37">
        <v>20</v>
      </c>
      <c r="K41" s="37">
        <v>12</v>
      </c>
      <c r="L41" s="34">
        <v>7</v>
      </c>
      <c r="M41" s="38">
        <v>2026</v>
      </c>
    </row>
    <row r="42" spans="1:13" ht="28.8" hidden="1" customHeight="1" x14ac:dyDescent="0.3">
      <c r="A42" s="10" t="s">
        <v>96</v>
      </c>
      <c r="B42" s="10" t="s">
        <v>97</v>
      </c>
      <c r="C42" s="11">
        <v>850000</v>
      </c>
      <c r="D42" s="39" t="s">
        <v>55</v>
      </c>
      <c r="E42" s="15" t="s">
        <v>15</v>
      </c>
      <c r="F42" s="15" t="s">
        <v>16</v>
      </c>
      <c r="G42" s="19" t="s">
        <v>66</v>
      </c>
      <c r="H42" s="40" t="s">
        <v>34</v>
      </c>
      <c r="I42" s="87"/>
      <c r="J42" s="10">
        <v>0</v>
      </c>
      <c r="K42" s="10">
        <v>4</v>
      </c>
      <c r="L42" s="15">
        <v>6</v>
      </c>
      <c r="M42" s="41">
        <v>2026</v>
      </c>
    </row>
    <row r="43" spans="1:13" ht="28.8" hidden="1" customHeight="1" x14ac:dyDescent="0.3">
      <c r="A43" s="60" t="s">
        <v>101</v>
      </c>
      <c r="B43" s="61" t="s">
        <v>102</v>
      </c>
      <c r="C43" s="62">
        <v>840000</v>
      </c>
      <c r="D43" s="77" t="s">
        <v>55</v>
      </c>
      <c r="E43" s="64" t="s">
        <v>15</v>
      </c>
      <c r="F43" s="65" t="s">
        <v>16</v>
      </c>
      <c r="G43" s="76" t="s">
        <v>66</v>
      </c>
      <c r="H43" s="68" t="s">
        <v>25</v>
      </c>
      <c r="I43" s="5" t="s">
        <v>26</v>
      </c>
      <c r="J43" s="61">
        <v>0</v>
      </c>
      <c r="K43" s="61">
        <v>9</v>
      </c>
      <c r="L43" s="64">
        <v>6</v>
      </c>
      <c r="M43" s="67">
        <v>2026</v>
      </c>
    </row>
    <row r="44" spans="1:13" ht="28.8" hidden="1" customHeight="1" x14ac:dyDescent="0.3">
      <c r="A44" s="2" t="s">
        <v>123</v>
      </c>
      <c r="B44" s="3" t="s">
        <v>124</v>
      </c>
      <c r="C44" s="45">
        <v>620035.83999999997</v>
      </c>
      <c r="D44" s="8" t="s">
        <v>45</v>
      </c>
      <c r="E44" s="15" t="s">
        <v>23</v>
      </c>
      <c r="F44" s="16" t="s">
        <v>16</v>
      </c>
      <c r="G44" s="19" t="s">
        <v>66</v>
      </c>
      <c r="H44" s="18" t="s">
        <v>25</v>
      </c>
      <c r="I44" s="5" t="s">
        <v>26</v>
      </c>
      <c r="J44" s="3">
        <v>20</v>
      </c>
      <c r="K44" s="3">
        <v>11</v>
      </c>
      <c r="L44" s="15">
        <v>6</v>
      </c>
      <c r="M44" s="17">
        <v>2027</v>
      </c>
    </row>
    <row r="45" spans="1:13" ht="28.8" hidden="1" customHeight="1" x14ac:dyDescent="0.3">
      <c r="A45" s="50" t="s">
        <v>125</v>
      </c>
      <c r="B45" s="91" t="s">
        <v>126</v>
      </c>
      <c r="C45" s="51">
        <v>616364.4</v>
      </c>
      <c r="D45" s="55" t="s">
        <v>22</v>
      </c>
      <c r="E45" s="26" t="s">
        <v>15</v>
      </c>
      <c r="F45" s="27" t="s">
        <v>16</v>
      </c>
      <c r="G45" s="57" t="s">
        <v>66</v>
      </c>
      <c r="H45" s="28" t="s">
        <v>25</v>
      </c>
      <c r="I45" s="5" t="s">
        <v>26</v>
      </c>
      <c r="J45" s="30">
        <v>20</v>
      </c>
      <c r="K45" s="30">
        <v>12</v>
      </c>
      <c r="L45" s="26">
        <v>6</v>
      </c>
      <c r="M45" s="31">
        <v>2027</v>
      </c>
    </row>
    <row r="46" spans="1:13" ht="28.8" hidden="1" customHeight="1" x14ac:dyDescent="0.3">
      <c r="A46" s="10" t="s">
        <v>127</v>
      </c>
      <c r="B46" s="10" t="s">
        <v>128</v>
      </c>
      <c r="C46" s="11">
        <v>580000</v>
      </c>
      <c r="D46" s="43" t="s">
        <v>35</v>
      </c>
      <c r="E46" s="15" t="s">
        <v>29</v>
      </c>
      <c r="F46" s="15" t="s">
        <v>16</v>
      </c>
      <c r="G46" s="19" t="s">
        <v>66</v>
      </c>
      <c r="H46" s="40" t="s">
        <v>30</v>
      </c>
      <c r="I46" s="104"/>
      <c r="J46" s="10">
        <v>20</v>
      </c>
      <c r="K46" s="10">
        <v>3</v>
      </c>
      <c r="L46" s="15">
        <v>6</v>
      </c>
      <c r="M46" s="41">
        <v>2027</v>
      </c>
    </row>
    <row r="47" spans="1:13" ht="28.8" hidden="1" customHeight="1" x14ac:dyDescent="0.3">
      <c r="A47" s="69" t="s">
        <v>129</v>
      </c>
      <c r="B47" s="106" t="s">
        <v>130</v>
      </c>
      <c r="C47" s="70">
        <v>542014.85</v>
      </c>
      <c r="D47" s="80" t="s">
        <v>22</v>
      </c>
      <c r="E47" s="34" t="s">
        <v>15</v>
      </c>
      <c r="F47" s="35" t="s">
        <v>16</v>
      </c>
      <c r="G47" s="72" t="s">
        <v>66</v>
      </c>
      <c r="H47" s="36" t="s">
        <v>25</v>
      </c>
      <c r="I47" s="5" t="s">
        <v>26</v>
      </c>
      <c r="J47" s="37">
        <v>20</v>
      </c>
      <c r="K47" s="37">
        <v>12</v>
      </c>
      <c r="L47" s="34">
        <v>6</v>
      </c>
      <c r="M47" s="38">
        <v>2027</v>
      </c>
    </row>
    <row r="48" spans="1:13" ht="32.4" hidden="1" customHeight="1" x14ac:dyDescent="0.3">
      <c r="A48" s="10" t="s">
        <v>108</v>
      </c>
      <c r="B48" s="10" t="s">
        <v>109</v>
      </c>
      <c r="C48" s="11">
        <v>780000</v>
      </c>
      <c r="D48" s="85" t="s">
        <v>14</v>
      </c>
      <c r="E48" s="15" t="s">
        <v>29</v>
      </c>
      <c r="F48" s="15" t="s">
        <v>16</v>
      </c>
      <c r="G48" s="15" t="s">
        <v>24</v>
      </c>
      <c r="H48" s="40" t="s">
        <v>30</v>
      </c>
      <c r="I48" s="87" t="s">
        <v>110</v>
      </c>
      <c r="J48" s="10">
        <v>40</v>
      </c>
      <c r="K48" s="10">
        <v>10</v>
      </c>
      <c r="L48" s="15">
        <v>7</v>
      </c>
      <c r="M48" s="41">
        <v>2026</v>
      </c>
    </row>
    <row r="49" spans="1:13" ht="37.200000000000003" hidden="1" customHeight="1" x14ac:dyDescent="0.3">
      <c r="A49" s="10" t="s">
        <v>117</v>
      </c>
      <c r="B49" s="10" t="s">
        <v>118</v>
      </c>
      <c r="C49" s="11">
        <v>700000</v>
      </c>
      <c r="D49" s="39" t="s">
        <v>55</v>
      </c>
      <c r="E49" s="15" t="s">
        <v>15</v>
      </c>
      <c r="F49" s="15" t="s">
        <v>16</v>
      </c>
      <c r="G49" s="19" t="s">
        <v>66</v>
      </c>
      <c r="H49" s="40" t="s">
        <v>34</v>
      </c>
      <c r="I49" s="88" t="s">
        <v>31</v>
      </c>
      <c r="J49" s="10">
        <v>0</v>
      </c>
      <c r="K49" s="10">
        <v>3</v>
      </c>
      <c r="L49" s="15">
        <v>6</v>
      </c>
      <c r="M49" s="41">
        <v>2026</v>
      </c>
    </row>
    <row r="50" spans="1:13" ht="28.8" hidden="1" customHeight="1" x14ac:dyDescent="0.3">
      <c r="A50" s="10" t="s">
        <v>108</v>
      </c>
      <c r="B50" s="10" t="s">
        <v>134</v>
      </c>
      <c r="C50" s="11">
        <v>460000</v>
      </c>
      <c r="D50" s="85" t="s">
        <v>14</v>
      </c>
      <c r="E50" s="15" t="s">
        <v>29</v>
      </c>
      <c r="F50" s="15" t="s">
        <v>16</v>
      </c>
      <c r="G50" s="15" t="s">
        <v>24</v>
      </c>
      <c r="H50" s="40" t="s">
        <v>30</v>
      </c>
      <c r="I50" s="86" t="s">
        <v>110</v>
      </c>
      <c r="J50" s="10">
        <v>40</v>
      </c>
      <c r="K50" s="10">
        <v>1</v>
      </c>
      <c r="L50" s="15">
        <v>6</v>
      </c>
      <c r="M50" s="41">
        <v>2027</v>
      </c>
    </row>
    <row r="51" spans="1:13" ht="28.8" hidden="1" customHeight="1" x14ac:dyDescent="0.3">
      <c r="A51" s="10" t="s">
        <v>135</v>
      </c>
      <c r="B51" s="10" t="s">
        <v>136</v>
      </c>
      <c r="C51" s="11">
        <v>450000</v>
      </c>
      <c r="D51" s="85" t="s">
        <v>14</v>
      </c>
      <c r="E51" s="15" t="s">
        <v>29</v>
      </c>
      <c r="F51" s="15" t="s">
        <v>16</v>
      </c>
      <c r="G51" s="15" t="s">
        <v>17</v>
      </c>
      <c r="H51" s="40" t="s">
        <v>30</v>
      </c>
      <c r="I51" s="86" t="s">
        <v>26</v>
      </c>
      <c r="J51" s="10">
        <v>60</v>
      </c>
      <c r="K51" s="10">
        <v>1</v>
      </c>
      <c r="L51" s="15">
        <v>6</v>
      </c>
      <c r="M51" s="41">
        <v>2027</v>
      </c>
    </row>
    <row r="52" spans="1:13" ht="28.8" hidden="1" customHeight="1" x14ac:dyDescent="0.3">
      <c r="A52" s="10" t="s">
        <v>137</v>
      </c>
      <c r="B52" s="10" t="s">
        <v>138</v>
      </c>
      <c r="C52" s="11">
        <v>450000</v>
      </c>
      <c r="D52" s="43" t="s">
        <v>35</v>
      </c>
      <c r="E52" s="15" t="s">
        <v>29</v>
      </c>
      <c r="F52" s="15" t="s">
        <v>16</v>
      </c>
      <c r="G52" s="15" t="s">
        <v>66</v>
      </c>
      <c r="H52" s="40" t="s">
        <v>30</v>
      </c>
      <c r="I52" s="102"/>
      <c r="J52" s="10">
        <v>60</v>
      </c>
      <c r="K52" s="10">
        <v>2</v>
      </c>
      <c r="L52" s="15">
        <v>6</v>
      </c>
      <c r="M52" s="41">
        <v>2027</v>
      </c>
    </row>
    <row r="53" spans="1:13" ht="28.8" hidden="1" customHeight="1" x14ac:dyDescent="0.3">
      <c r="A53" s="60" t="s">
        <v>139</v>
      </c>
      <c r="B53" s="61" t="s">
        <v>140</v>
      </c>
      <c r="C53" s="107">
        <v>450000</v>
      </c>
      <c r="D53" s="79" t="s">
        <v>45</v>
      </c>
      <c r="E53" s="64" t="s">
        <v>23</v>
      </c>
      <c r="F53" s="65" t="s">
        <v>16</v>
      </c>
      <c r="G53" s="64" t="s">
        <v>24</v>
      </c>
      <c r="H53" s="68" t="s">
        <v>25</v>
      </c>
      <c r="I53" s="5" t="s">
        <v>141</v>
      </c>
      <c r="J53" s="61">
        <v>40</v>
      </c>
      <c r="K53" s="61">
        <v>1</v>
      </c>
      <c r="L53" s="64">
        <v>6</v>
      </c>
      <c r="M53" s="67">
        <v>2027</v>
      </c>
    </row>
    <row r="54" spans="1:13" ht="28.8" hidden="1" customHeight="1" x14ac:dyDescent="0.3">
      <c r="A54" s="50" t="s">
        <v>119</v>
      </c>
      <c r="B54" s="30" t="s">
        <v>120</v>
      </c>
      <c r="C54" s="51">
        <v>680000</v>
      </c>
      <c r="D54" s="52" t="s">
        <v>14</v>
      </c>
      <c r="E54" s="26" t="s">
        <v>29</v>
      </c>
      <c r="F54" s="27" t="s">
        <v>16</v>
      </c>
      <c r="G54" s="57" t="s">
        <v>66</v>
      </c>
      <c r="H54" s="28" t="s">
        <v>30</v>
      </c>
      <c r="I54" s="30"/>
      <c r="J54" s="30">
        <v>40</v>
      </c>
      <c r="K54" s="30">
        <v>10</v>
      </c>
      <c r="L54" s="26">
        <v>6</v>
      </c>
      <c r="M54" s="31">
        <v>2026</v>
      </c>
    </row>
    <row r="55" spans="1:13" ht="28.8" hidden="1" customHeight="1" x14ac:dyDescent="0.3">
      <c r="A55" s="10" t="s">
        <v>121</v>
      </c>
      <c r="B55" s="10" t="s">
        <v>122</v>
      </c>
      <c r="C55" s="11">
        <v>611603.23</v>
      </c>
      <c r="D55" s="99" t="s">
        <v>208</v>
      </c>
      <c r="E55" s="15" t="s">
        <v>15</v>
      </c>
      <c r="F55" s="15" t="s">
        <v>16</v>
      </c>
      <c r="G55" s="15" t="s">
        <v>24</v>
      </c>
      <c r="H55" s="40" t="s">
        <v>114</v>
      </c>
      <c r="I55" s="12" t="s">
        <v>31</v>
      </c>
      <c r="J55" s="10">
        <v>100</v>
      </c>
      <c r="K55" s="10">
        <v>8</v>
      </c>
      <c r="L55" s="15">
        <v>6</v>
      </c>
      <c r="M55" s="41">
        <v>2026</v>
      </c>
    </row>
    <row r="56" spans="1:13" ht="28.8" hidden="1" customHeight="1" x14ac:dyDescent="0.3">
      <c r="A56" s="60" t="s">
        <v>131</v>
      </c>
      <c r="B56" s="61" t="s">
        <v>132</v>
      </c>
      <c r="C56" s="62">
        <v>500000</v>
      </c>
      <c r="D56" s="63" t="s">
        <v>22</v>
      </c>
      <c r="E56" s="64" t="s">
        <v>15</v>
      </c>
      <c r="F56" s="65" t="s">
        <v>16</v>
      </c>
      <c r="G56" s="64" t="s">
        <v>52</v>
      </c>
      <c r="H56" s="68" t="s">
        <v>18</v>
      </c>
      <c r="I56" s="66" t="s">
        <v>31</v>
      </c>
      <c r="J56" s="61">
        <v>5</v>
      </c>
      <c r="K56" s="61">
        <v>9</v>
      </c>
      <c r="L56" s="64">
        <v>6</v>
      </c>
      <c r="M56" s="67">
        <v>2026</v>
      </c>
    </row>
    <row r="57" spans="1:13" ht="28.8" hidden="1" customHeight="1" x14ac:dyDescent="0.3">
      <c r="A57" s="50" t="s">
        <v>148</v>
      </c>
      <c r="B57" s="30" t="s">
        <v>149</v>
      </c>
      <c r="C57" s="51">
        <v>329805.2</v>
      </c>
      <c r="D57" s="58" t="s">
        <v>22</v>
      </c>
      <c r="E57" s="26" t="s">
        <v>15</v>
      </c>
      <c r="F57" s="27" t="s">
        <v>16</v>
      </c>
      <c r="G57" s="26" t="s">
        <v>52</v>
      </c>
      <c r="H57" s="28" t="s">
        <v>31</v>
      </c>
      <c r="I57" s="53" t="s">
        <v>19</v>
      </c>
      <c r="J57" s="30">
        <v>20</v>
      </c>
      <c r="K57" s="30">
        <v>2</v>
      </c>
      <c r="L57" s="26">
        <v>6</v>
      </c>
      <c r="M57" s="31">
        <v>2027</v>
      </c>
    </row>
    <row r="58" spans="1:13" ht="28.8" hidden="1" customHeight="1" x14ac:dyDescent="0.3">
      <c r="A58" s="10" t="s">
        <v>131</v>
      </c>
      <c r="B58" s="10" t="s">
        <v>133</v>
      </c>
      <c r="C58" s="112">
        <v>500000</v>
      </c>
      <c r="D58" s="13" t="s">
        <v>45</v>
      </c>
      <c r="E58" s="15" t="s">
        <v>15</v>
      </c>
      <c r="F58" s="15" t="s">
        <v>16</v>
      </c>
      <c r="G58" s="15" t="s">
        <v>17</v>
      </c>
      <c r="H58" s="40" t="s">
        <v>114</v>
      </c>
      <c r="I58" s="12" t="s">
        <v>26</v>
      </c>
      <c r="J58" s="10">
        <v>40</v>
      </c>
      <c r="K58" s="10">
        <v>10</v>
      </c>
      <c r="L58" s="15">
        <v>6</v>
      </c>
      <c r="M58" s="41">
        <v>2026</v>
      </c>
    </row>
    <row r="59" spans="1:13" ht="28.8" customHeight="1" x14ac:dyDescent="0.3">
      <c r="A59" s="113" t="s">
        <v>268</v>
      </c>
      <c r="B59" s="116" t="s">
        <v>253</v>
      </c>
      <c r="C59" s="120">
        <v>500000</v>
      </c>
      <c r="D59" s="80" t="s">
        <v>45</v>
      </c>
      <c r="E59" s="34" t="s">
        <v>15</v>
      </c>
      <c r="F59" s="35" t="s">
        <v>16</v>
      </c>
      <c r="G59" s="34" t="s">
        <v>24</v>
      </c>
      <c r="H59" s="35" t="s">
        <v>217</v>
      </c>
      <c r="I59" s="116"/>
      <c r="J59" s="116">
        <v>60</v>
      </c>
      <c r="K59" s="116">
        <v>12</v>
      </c>
      <c r="L59" s="34">
        <v>6</v>
      </c>
      <c r="M59" s="133">
        <v>2026</v>
      </c>
    </row>
    <row r="60" spans="1:13" ht="28.8" hidden="1" customHeight="1" x14ac:dyDescent="0.3">
      <c r="A60" s="10" t="s">
        <v>155</v>
      </c>
      <c r="B60" s="10" t="s">
        <v>156</v>
      </c>
      <c r="C60" s="11">
        <v>274409.84999999998</v>
      </c>
      <c r="D60" s="85" t="s">
        <v>246</v>
      </c>
      <c r="E60" s="15" t="s">
        <v>23</v>
      </c>
      <c r="F60" s="15" t="s">
        <v>16</v>
      </c>
      <c r="G60" s="15" t="s">
        <v>66</v>
      </c>
      <c r="H60" s="40" t="s">
        <v>25</v>
      </c>
      <c r="I60" s="12" t="s">
        <v>26</v>
      </c>
      <c r="J60" s="10">
        <v>0</v>
      </c>
      <c r="K60" s="10">
        <v>2</v>
      </c>
      <c r="L60" s="15">
        <v>6</v>
      </c>
      <c r="M60" s="41">
        <v>2027</v>
      </c>
    </row>
    <row r="61" spans="1:13" ht="28.8" customHeight="1" x14ac:dyDescent="0.3">
      <c r="A61" s="26" t="s">
        <v>255</v>
      </c>
      <c r="B61" s="26" t="s">
        <v>256</v>
      </c>
      <c r="C61" s="110">
        <v>467107.95</v>
      </c>
      <c r="D61" s="111" t="s">
        <v>65</v>
      </c>
      <c r="E61" s="26" t="s">
        <v>168</v>
      </c>
      <c r="F61" s="26" t="s">
        <v>257</v>
      </c>
      <c r="G61" s="26" t="s">
        <v>219</v>
      </c>
      <c r="H61" s="26" t="s">
        <v>18</v>
      </c>
      <c r="I61" s="15"/>
      <c r="J61" s="26">
        <v>80</v>
      </c>
      <c r="K61" s="26">
        <v>10</v>
      </c>
      <c r="L61" s="26">
        <v>5</v>
      </c>
      <c r="M61" s="26">
        <v>2026</v>
      </c>
    </row>
    <row r="62" spans="1:13" ht="28.8" hidden="1" customHeight="1" x14ac:dyDescent="0.3">
      <c r="A62" s="10" t="s">
        <v>159</v>
      </c>
      <c r="B62" s="10" t="s">
        <v>160</v>
      </c>
      <c r="C62" s="11">
        <v>259000</v>
      </c>
      <c r="D62" s="98" t="s">
        <v>22</v>
      </c>
      <c r="E62" s="15" t="s">
        <v>91</v>
      </c>
      <c r="F62" s="15" t="s">
        <v>16</v>
      </c>
      <c r="G62" s="15" t="s">
        <v>66</v>
      </c>
      <c r="H62" s="40" t="s">
        <v>30</v>
      </c>
      <c r="I62" s="101" t="s">
        <v>31</v>
      </c>
      <c r="J62" s="10">
        <v>5</v>
      </c>
      <c r="K62" s="10">
        <v>1</v>
      </c>
      <c r="L62" s="15">
        <v>6</v>
      </c>
      <c r="M62" s="41">
        <v>2027</v>
      </c>
    </row>
    <row r="63" spans="1:13" ht="28.8" hidden="1" customHeight="1" x14ac:dyDescent="0.3">
      <c r="A63" s="60" t="s">
        <v>185</v>
      </c>
      <c r="B63" s="61" t="s">
        <v>186</v>
      </c>
      <c r="C63" s="62">
        <v>450000</v>
      </c>
      <c r="D63" s="74" t="s">
        <v>14</v>
      </c>
      <c r="E63" s="64" t="s">
        <v>29</v>
      </c>
      <c r="F63" s="65" t="s">
        <v>16</v>
      </c>
      <c r="G63" s="64" t="s">
        <v>66</v>
      </c>
      <c r="H63" s="68" t="s">
        <v>30</v>
      </c>
      <c r="I63" s="5" t="s">
        <v>110</v>
      </c>
      <c r="J63" s="61">
        <v>40</v>
      </c>
      <c r="K63" s="61">
        <v>10</v>
      </c>
      <c r="L63" s="97">
        <v>5</v>
      </c>
      <c r="M63" s="67">
        <v>2026</v>
      </c>
    </row>
    <row r="64" spans="1:13" ht="28.8" hidden="1" customHeight="1" x14ac:dyDescent="0.3">
      <c r="A64" s="2" t="s">
        <v>142</v>
      </c>
      <c r="B64" s="3" t="s">
        <v>143</v>
      </c>
      <c r="C64" s="4">
        <v>421755.7</v>
      </c>
      <c r="D64" s="9" t="s">
        <v>55</v>
      </c>
      <c r="E64" s="15" t="s">
        <v>23</v>
      </c>
      <c r="F64" s="16" t="s">
        <v>16</v>
      </c>
      <c r="G64" s="15" t="s">
        <v>66</v>
      </c>
      <c r="H64" s="18" t="s">
        <v>25</v>
      </c>
      <c r="I64" s="5" t="s">
        <v>19</v>
      </c>
      <c r="J64" s="3">
        <v>0</v>
      </c>
      <c r="K64" s="3">
        <v>5</v>
      </c>
      <c r="L64" s="15">
        <v>6</v>
      </c>
      <c r="M64" s="17">
        <v>2026</v>
      </c>
    </row>
    <row r="65" spans="1:13" ht="28.8" hidden="1" customHeight="1" x14ac:dyDescent="0.3">
      <c r="A65" s="50" t="s">
        <v>267</v>
      </c>
      <c r="B65" s="117" t="s">
        <v>251</v>
      </c>
      <c r="C65" s="51">
        <v>400000</v>
      </c>
      <c r="D65" s="25" t="s">
        <v>14</v>
      </c>
      <c r="E65" s="26" t="s">
        <v>15</v>
      </c>
      <c r="F65" s="27" t="s">
        <v>16</v>
      </c>
      <c r="G65" s="26" t="s">
        <v>105</v>
      </c>
      <c r="H65" s="28" t="s">
        <v>18</v>
      </c>
      <c r="I65" s="53" t="s">
        <v>31</v>
      </c>
      <c r="J65" s="30">
        <v>20</v>
      </c>
      <c r="K65" s="30">
        <v>9</v>
      </c>
      <c r="L65" s="26">
        <v>6</v>
      </c>
      <c r="M65" s="31">
        <v>2026</v>
      </c>
    </row>
    <row r="66" spans="1:13" ht="28.8" hidden="1" customHeight="1" x14ac:dyDescent="0.3">
      <c r="A66" s="15" t="s">
        <v>236</v>
      </c>
      <c r="B66" s="15" t="s">
        <v>237</v>
      </c>
      <c r="C66" s="46">
        <v>400000</v>
      </c>
      <c r="D66" s="13" t="s">
        <v>45</v>
      </c>
      <c r="E66" s="15" t="s">
        <v>29</v>
      </c>
      <c r="F66" s="15" t="s">
        <v>16</v>
      </c>
      <c r="G66" s="15" t="s">
        <v>258</v>
      </c>
      <c r="H66" s="15" t="s">
        <v>110</v>
      </c>
      <c r="I66" s="15"/>
      <c r="J66" s="15">
        <v>20</v>
      </c>
      <c r="K66" s="15">
        <v>12</v>
      </c>
      <c r="L66" s="15">
        <v>5</v>
      </c>
      <c r="M66" s="15">
        <v>2026</v>
      </c>
    </row>
    <row r="67" spans="1:13" ht="37.200000000000003" customHeight="1" x14ac:dyDescent="0.3">
      <c r="A67" s="60" t="s">
        <v>144</v>
      </c>
      <c r="B67" s="61" t="s">
        <v>145</v>
      </c>
      <c r="C67" s="62">
        <v>380000</v>
      </c>
      <c r="D67" s="25" t="s">
        <v>14</v>
      </c>
      <c r="E67" s="64" t="s">
        <v>29</v>
      </c>
      <c r="F67" s="65" t="s">
        <v>16</v>
      </c>
      <c r="G67" s="64" t="s">
        <v>66</v>
      </c>
      <c r="H67" s="68" t="s">
        <v>30</v>
      </c>
      <c r="I67" s="66" t="s">
        <v>110</v>
      </c>
      <c r="J67" s="61">
        <v>60</v>
      </c>
      <c r="K67" s="61">
        <v>11</v>
      </c>
      <c r="L67" s="64">
        <v>6</v>
      </c>
      <c r="M67" s="67">
        <v>2026</v>
      </c>
    </row>
    <row r="68" spans="1:13" ht="28.8" hidden="1" customHeight="1" x14ac:dyDescent="0.3">
      <c r="A68" s="10" t="s">
        <v>174</v>
      </c>
      <c r="B68" s="10" t="s">
        <v>175</v>
      </c>
      <c r="C68" s="11">
        <v>128992.98</v>
      </c>
      <c r="D68" s="13" t="s">
        <v>22</v>
      </c>
      <c r="E68" s="15" t="s">
        <v>23</v>
      </c>
      <c r="F68" s="15" t="s">
        <v>16</v>
      </c>
      <c r="G68" s="15" t="s">
        <v>66</v>
      </c>
      <c r="H68" s="40" t="s">
        <v>25</v>
      </c>
      <c r="I68" s="101" t="s">
        <v>47</v>
      </c>
      <c r="J68" s="10">
        <v>10</v>
      </c>
      <c r="K68" s="10">
        <v>2</v>
      </c>
      <c r="L68" s="15">
        <v>5</v>
      </c>
      <c r="M68" s="41">
        <v>2027</v>
      </c>
    </row>
    <row r="69" spans="1:13" ht="28.8" hidden="1" customHeight="1" x14ac:dyDescent="0.3">
      <c r="A69" s="69" t="s">
        <v>146</v>
      </c>
      <c r="B69" s="37" t="s">
        <v>147</v>
      </c>
      <c r="C69" s="70">
        <v>372462.18</v>
      </c>
      <c r="D69" s="71" t="s">
        <v>55</v>
      </c>
      <c r="E69" s="34" t="s">
        <v>15</v>
      </c>
      <c r="F69" s="35" t="s">
        <v>16</v>
      </c>
      <c r="G69" s="34" t="s">
        <v>66</v>
      </c>
      <c r="H69" s="36" t="s">
        <v>25</v>
      </c>
      <c r="I69" s="53" t="s">
        <v>26</v>
      </c>
      <c r="J69" s="37">
        <v>0</v>
      </c>
      <c r="K69" s="37">
        <v>4</v>
      </c>
      <c r="L69" s="34">
        <v>6</v>
      </c>
      <c r="M69" s="38">
        <v>2026</v>
      </c>
    </row>
    <row r="70" spans="1:13" ht="28.8" hidden="1" customHeight="1" x14ac:dyDescent="0.3">
      <c r="A70" s="10" t="s">
        <v>178</v>
      </c>
      <c r="B70" s="10" t="s">
        <v>179</v>
      </c>
      <c r="C70" s="11">
        <v>103694.6</v>
      </c>
      <c r="D70" s="85" t="s">
        <v>14</v>
      </c>
      <c r="E70" s="15" t="s">
        <v>15</v>
      </c>
      <c r="F70" s="15" t="s">
        <v>16</v>
      </c>
      <c r="G70" s="15" t="s">
        <v>66</v>
      </c>
      <c r="H70" s="40" t="s">
        <v>34</v>
      </c>
      <c r="I70" s="12" t="s">
        <v>26</v>
      </c>
      <c r="J70" s="10">
        <v>80</v>
      </c>
      <c r="K70" s="10">
        <v>1</v>
      </c>
      <c r="L70" s="15">
        <v>5</v>
      </c>
      <c r="M70" s="41">
        <v>2027</v>
      </c>
    </row>
    <row r="71" spans="1:13" ht="28.8" hidden="1" customHeight="1" x14ac:dyDescent="0.3">
      <c r="A71" s="69" t="s">
        <v>125</v>
      </c>
      <c r="B71" s="37" t="s">
        <v>180</v>
      </c>
      <c r="C71" s="70">
        <v>806804</v>
      </c>
      <c r="D71" s="80" t="s">
        <v>22</v>
      </c>
      <c r="E71" s="34" t="s">
        <v>15</v>
      </c>
      <c r="F71" s="35" t="s">
        <v>16</v>
      </c>
      <c r="G71" s="34" t="s">
        <v>24</v>
      </c>
      <c r="H71" s="36" t="s">
        <v>25</v>
      </c>
      <c r="I71" s="73" t="s">
        <v>47</v>
      </c>
      <c r="J71" s="37">
        <v>20</v>
      </c>
      <c r="K71" s="37">
        <v>12</v>
      </c>
      <c r="L71" s="34">
        <v>6</v>
      </c>
      <c r="M71" s="38">
        <v>2027</v>
      </c>
    </row>
    <row r="72" spans="1:13" ht="28.8" hidden="1" customHeight="1" x14ac:dyDescent="0.3">
      <c r="A72" s="23" t="s">
        <v>181</v>
      </c>
      <c r="B72" s="23" t="s">
        <v>182</v>
      </c>
      <c r="C72" s="24">
        <v>100000</v>
      </c>
      <c r="D72" s="90" t="s">
        <v>246</v>
      </c>
      <c r="E72" s="26" t="s">
        <v>23</v>
      </c>
      <c r="F72" s="26" t="s">
        <v>16</v>
      </c>
      <c r="G72" s="26" t="s">
        <v>66</v>
      </c>
      <c r="H72" s="59" t="s">
        <v>25</v>
      </c>
      <c r="I72" s="12" t="s">
        <v>25</v>
      </c>
      <c r="J72" s="23">
        <v>0</v>
      </c>
      <c r="K72" s="23">
        <v>1</v>
      </c>
      <c r="L72" s="26">
        <v>5</v>
      </c>
      <c r="M72" s="42">
        <v>2027</v>
      </c>
    </row>
    <row r="73" spans="1:13" ht="28.8" hidden="1" customHeight="1" x14ac:dyDescent="0.3">
      <c r="A73" s="10" t="s">
        <v>183</v>
      </c>
      <c r="B73" s="10" t="s">
        <v>167</v>
      </c>
      <c r="C73" s="11">
        <v>98000</v>
      </c>
      <c r="D73" s="98" t="s">
        <v>22</v>
      </c>
      <c r="E73" s="15" t="s">
        <v>29</v>
      </c>
      <c r="F73" s="15" t="s">
        <v>16</v>
      </c>
      <c r="G73" s="15" t="s">
        <v>66</v>
      </c>
      <c r="H73" s="40" t="s">
        <v>30</v>
      </c>
      <c r="I73" s="101" t="s">
        <v>31</v>
      </c>
      <c r="J73" s="10">
        <v>5</v>
      </c>
      <c r="K73" s="10">
        <v>1</v>
      </c>
      <c r="L73" s="15">
        <v>5</v>
      </c>
      <c r="M73" s="41">
        <v>2027</v>
      </c>
    </row>
    <row r="74" spans="1:13" ht="28.8" customHeight="1" x14ac:dyDescent="0.3">
      <c r="A74" s="93" t="s">
        <v>39</v>
      </c>
      <c r="B74" s="93" t="s">
        <v>247</v>
      </c>
      <c r="C74" s="94">
        <v>365000</v>
      </c>
      <c r="D74" s="126" t="s">
        <v>65</v>
      </c>
      <c r="E74" s="64" t="s">
        <v>15</v>
      </c>
      <c r="F74" s="64" t="s">
        <v>16</v>
      </c>
      <c r="G74" s="64" t="s">
        <v>248</v>
      </c>
      <c r="H74" s="96" t="s">
        <v>40</v>
      </c>
      <c r="I74" s="132"/>
      <c r="J74" s="93">
        <v>80</v>
      </c>
      <c r="K74" s="93">
        <v>9</v>
      </c>
      <c r="L74" s="64">
        <v>4</v>
      </c>
      <c r="M74" s="84">
        <v>2026</v>
      </c>
    </row>
    <row r="75" spans="1:13" ht="28.8" hidden="1" customHeight="1" x14ac:dyDescent="0.3">
      <c r="A75" s="69" t="s">
        <v>150</v>
      </c>
      <c r="B75" s="37" t="s">
        <v>151</v>
      </c>
      <c r="C75" s="70">
        <v>328879.93</v>
      </c>
      <c r="D75" s="25" t="s">
        <v>14</v>
      </c>
      <c r="E75" s="34" t="s">
        <v>15</v>
      </c>
      <c r="F75" s="35" t="s">
        <v>16</v>
      </c>
      <c r="G75" s="34" t="s">
        <v>24</v>
      </c>
      <c r="H75" s="36" t="s">
        <v>152</v>
      </c>
      <c r="I75" s="73" t="s">
        <v>19</v>
      </c>
      <c r="J75" s="37">
        <v>20</v>
      </c>
      <c r="K75" s="37">
        <v>10</v>
      </c>
      <c r="L75" s="34">
        <v>6</v>
      </c>
      <c r="M75" s="38">
        <v>2026</v>
      </c>
    </row>
    <row r="76" spans="1:13" ht="28.8" hidden="1" customHeight="1" x14ac:dyDescent="0.3">
      <c r="A76" s="10" t="s">
        <v>153</v>
      </c>
      <c r="B76" s="10" t="s">
        <v>154</v>
      </c>
      <c r="C76" s="11">
        <v>300000</v>
      </c>
      <c r="D76" s="98" t="s">
        <v>22</v>
      </c>
      <c r="E76" s="15" t="s">
        <v>23</v>
      </c>
      <c r="F76" s="15" t="s">
        <v>16</v>
      </c>
      <c r="G76" s="15" t="s">
        <v>66</v>
      </c>
      <c r="H76" s="40" t="s">
        <v>25</v>
      </c>
      <c r="I76" s="12" t="s">
        <v>26</v>
      </c>
      <c r="J76" s="10">
        <v>20</v>
      </c>
      <c r="K76" s="10">
        <v>12</v>
      </c>
      <c r="L76" s="15">
        <v>6</v>
      </c>
      <c r="M76" s="41">
        <v>2026</v>
      </c>
    </row>
    <row r="77" spans="1:13" ht="28.8" hidden="1" customHeight="1" x14ac:dyDescent="0.3">
      <c r="A77" s="15" t="s">
        <v>176</v>
      </c>
      <c r="B77" s="15" t="s">
        <v>177</v>
      </c>
      <c r="C77" s="46">
        <v>300000</v>
      </c>
      <c r="D77" s="13" t="s">
        <v>45</v>
      </c>
      <c r="E77" s="15" t="s">
        <v>23</v>
      </c>
      <c r="F77" s="15" t="s">
        <v>16</v>
      </c>
      <c r="G77" s="15" t="s">
        <v>215</v>
      </c>
      <c r="H77" s="15" t="s">
        <v>220</v>
      </c>
      <c r="I77" s="15"/>
      <c r="J77" s="15">
        <v>20</v>
      </c>
      <c r="K77" s="15">
        <v>11</v>
      </c>
      <c r="L77" s="15">
        <v>7</v>
      </c>
      <c r="M77" s="15">
        <v>2026</v>
      </c>
    </row>
    <row r="78" spans="1:13" ht="28.8" hidden="1" customHeight="1" x14ac:dyDescent="0.3">
      <c r="A78" s="69" t="s">
        <v>157</v>
      </c>
      <c r="B78" s="37" t="s">
        <v>158</v>
      </c>
      <c r="C78" s="70">
        <v>272704.88</v>
      </c>
      <c r="D78" s="125" t="s">
        <v>208</v>
      </c>
      <c r="E78" s="34" t="s">
        <v>15</v>
      </c>
      <c r="F78" s="35" t="s">
        <v>16</v>
      </c>
      <c r="G78" s="34" t="s">
        <v>24</v>
      </c>
      <c r="H78" s="36" t="s">
        <v>114</v>
      </c>
      <c r="I78" s="73" t="s">
        <v>26</v>
      </c>
      <c r="J78" s="37">
        <v>20</v>
      </c>
      <c r="K78" s="37">
        <v>9</v>
      </c>
      <c r="L78" s="34">
        <v>6</v>
      </c>
      <c r="M78" s="38">
        <v>2026</v>
      </c>
    </row>
    <row r="79" spans="1:13" ht="28.8" hidden="1" customHeight="1" x14ac:dyDescent="0.3">
      <c r="A79" s="10" t="s">
        <v>161</v>
      </c>
      <c r="B79" s="10" t="s">
        <v>162</v>
      </c>
      <c r="C79" s="11">
        <v>256000</v>
      </c>
      <c r="D79" s="39" t="s">
        <v>55</v>
      </c>
      <c r="E79" s="15" t="s">
        <v>91</v>
      </c>
      <c r="F79" s="15" t="s">
        <v>16</v>
      </c>
      <c r="G79" s="15" t="s">
        <v>66</v>
      </c>
      <c r="H79" s="40" t="s">
        <v>30</v>
      </c>
      <c r="I79" s="12" t="s">
        <v>31</v>
      </c>
      <c r="J79" s="10">
        <v>0</v>
      </c>
      <c r="K79" s="10">
        <v>5</v>
      </c>
      <c r="L79" s="15">
        <v>6</v>
      </c>
      <c r="M79" s="41">
        <v>2026</v>
      </c>
    </row>
    <row r="80" spans="1:13" ht="28.8" hidden="1" customHeight="1" x14ac:dyDescent="0.3">
      <c r="A80" s="10" t="s">
        <v>163</v>
      </c>
      <c r="B80" s="10" t="s">
        <v>164</v>
      </c>
      <c r="C80" s="11">
        <v>250000</v>
      </c>
      <c r="D80" s="98" t="s">
        <v>22</v>
      </c>
      <c r="E80" s="15" t="s">
        <v>23</v>
      </c>
      <c r="F80" s="15" t="s">
        <v>16</v>
      </c>
      <c r="G80" s="15" t="s">
        <v>66</v>
      </c>
      <c r="H80" s="40" t="s">
        <v>25</v>
      </c>
      <c r="I80" s="12" t="s">
        <v>26</v>
      </c>
      <c r="J80" s="10">
        <v>20</v>
      </c>
      <c r="K80" s="10">
        <v>12</v>
      </c>
      <c r="L80" s="15">
        <v>5</v>
      </c>
      <c r="M80" s="41">
        <v>2026</v>
      </c>
    </row>
    <row r="81" spans="1:13" ht="28.8" hidden="1" customHeight="1" x14ac:dyDescent="0.3">
      <c r="A81" s="115" t="s">
        <v>92</v>
      </c>
      <c r="B81" s="119" t="s">
        <v>245</v>
      </c>
      <c r="C81" s="122">
        <v>250000</v>
      </c>
      <c r="D81" s="55" t="s">
        <v>45</v>
      </c>
      <c r="E81" s="64" t="s">
        <v>29</v>
      </c>
      <c r="F81" s="65" t="s">
        <v>16</v>
      </c>
      <c r="G81" s="76" t="s">
        <v>66</v>
      </c>
      <c r="H81" s="65" t="s">
        <v>110</v>
      </c>
      <c r="I81" s="119"/>
      <c r="J81" s="119">
        <v>40</v>
      </c>
      <c r="K81" s="119">
        <v>11</v>
      </c>
      <c r="L81" s="64">
        <v>5</v>
      </c>
      <c r="M81" s="134">
        <v>2026</v>
      </c>
    </row>
    <row r="82" spans="1:13" ht="28.8" hidden="1" customHeight="1" x14ac:dyDescent="0.3">
      <c r="A82" s="22" t="s">
        <v>166</v>
      </c>
      <c r="B82" s="23" t="s">
        <v>167</v>
      </c>
      <c r="C82" s="24">
        <v>200000</v>
      </c>
      <c r="D82" s="55" t="s">
        <v>208</v>
      </c>
      <c r="E82" s="26" t="s">
        <v>168</v>
      </c>
      <c r="F82" s="27" t="s">
        <v>169</v>
      </c>
      <c r="G82" s="26" t="s">
        <v>66</v>
      </c>
      <c r="H82" s="28" t="s">
        <v>34</v>
      </c>
      <c r="I82" s="29" t="s">
        <v>31</v>
      </c>
      <c r="J82" s="30">
        <v>20</v>
      </c>
      <c r="K82" s="30">
        <v>8</v>
      </c>
      <c r="L82" s="26">
        <v>5</v>
      </c>
      <c r="M82" s="31">
        <v>2026</v>
      </c>
    </row>
    <row r="83" spans="1:13" ht="28.8" customHeight="1" x14ac:dyDescent="0.3">
      <c r="A83" s="10" t="s">
        <v>103</v>
      </c>
      <c r="B83" s="10" t="s">
        <v>171</v>
      </c>
      <c r="C83" s="11">
        <v>167000</v>
      </c>
      <c r="D83" s="99" t="s">
        <v>65</v>
      </c>
      <c r="E83" s="15" t="s">
        <v>23</v>
      </c>
      <c r="F83" s="15" t="s">
        <v>16</v>
      </c>
      <c r="G83" s="15" t="s">
        <v>46</v>
      </c>
      <c r="H83" s="40" t="s">
        <v>25</v>
      </c>
      <c r="I83" s="12" t="s">
        <v>26</v>
      </c>
      <c r="J83" s="10">
        <v>80</v>
      </c>
      <c r="K83" s="10">
        <v>9</v>
      </c>
      <c r="L83" s="15">
        <v>7</v>
      </c>
      <c r="M83" s="41">
        <v>2026</v>
      </c>
    </row>
    <row r="84" spans="1:13" ht="28.8" hidden="1" customHeight="1" x14ac:dyDescent="0.3">
      <c r="A84" s="64" t="s">
        <v>172</v>
      </c>
      <c r="B84" s="64" t="s">
        <v>173</v>
      </c>
      <c r="C84" s="135">
        <v>150000</v>
      </c>
      <c r="D84" s="124" t="s">
        <v>45</v>
      </c>
      <c r="E84" s="64" t="s">
        <v>23</v>
      </c>
      <c r="F84" s="64" t="s">
        <v>16</v>
      </c>
      <c r="G84" s="64" t="s">
        <v>219</v>
      </c>
      <c r="H84" s="64" t="s">
        <v>220</v>
      </c>
      <c r="I84" s="129"/>
      <c r="J84" s="64">
        <v>20</v>
      </c>
      <c r="K84" s="64">
        <v>10</v>
      </c>
      <c r="L84" s="64">
        <v>3</v>
      </c>
      <c r="M84" s="64">
        <v>2026</v>
      </c>
    </row>
    <row r="85" spans="1:13" ht="28.8" customHeight="1" x14ac:dyDescent="0.3">
      <c r="A85" s="93" t="s">
        <v>12</v>
      </c>
      <c r="B85" s="93" t="s">
        <v>184</v>
      </c>
      <c r="C85" s="94">
        <v>90928</v>
      </c>
      <c r="D85" s="108" t="s">
        <v>14</v>
      </c>
      <c r="E85" s="64" t="s">
        <v>15</v>
      </c>
      <c r="F85" s="64" t="s">
        <v>16</v>
      </c>
      <c r="G85" s="64" t="s">
        <v>52</v>
      </c>
      <c r="H85" s="96" t="s">
        <v>18</v>
      </c>
      <c r="I85" s="12" t="s">
        <v>31</v>
      </c>
      <c r="J85" s="93">
        <v>80</v>
      </c>
      <c r="K85" s="93">
        <v>10</v>
      </c>
      <c r="L85" s="64">
        <v>5</v>
      </c>
      <c r="M85" s="84">
        <v>2026</v>
      </c>
    </row>
    <row r="86" spans="1:13" ht="28.8" hidden="1" customHeight="1" x14ac:dyDescent="0.3">
      <c r="A86" s="93" t="s">
        <v>135</v>
      </c>
      <c r="B86" s="93" t="s">
        <v>187</v>
      </c>
      <c r="C86" s="94">
        <v>78297</v>
      </c>
      <c r="D86" s="108" t="s">
        <v>14</v>
      </c>
      <c r="E86" s="64" t="s">
        <v>29</v>
      </c>
      <c r="F86" s="64" t="s">
        <v>16</v>
      </c>
      <c r="G86" s="64" t="s">
        <v>66</v>
      </c>
      <c r="H86" s="96" t="s">
        <v>30</v>
      </c>
      <c r="I86" s="130" t="s">
        <v>110</v>
      </c>
      <c r="J86" s="61">
        <v>40</v>
      </c>
      <c r="K86" s="93">
        <v>12</v>
      </c>
      <c r="L86" s="64">
        <v>5</v>
      </c>
      <c r="M86" s="84">
        <v>2026</v>
      </c>
    </row>
    <row r="87" spans="1:13" ht="28.8" customHeight="1" x14ac:dyDescent="0.3">
      <c r="A87" s="23" t="s">
        <v>188</v>
      </c>
      <c r="B87" s="23" t="s">
        <v>189</v>
      </c>
      <c r="C87" s="24">
        <v>78000</v>
      </c>
      <c r="D87" s="90" t="s">
        <v>14</v>
      </c>
      <c r="E87" s="26" t="s">
        <v>29</v>
      </c>
      <c r="F87" s="26" t="s">
        <v>16</v>
      </c>
      <c r="G87" s="26" t="s">
        <v>24</v>
      </c>
      <c r="H87" s="59" t="s">
        <v>30</v>
      </c>
      <c r="I87" s="12" t="s">
        <v>110</v>
      </c>
      <c r="J87" s="30">
        <v>80</v>
      </c>
      <c r="K87" s="23">
        <v>8</v>
      </c>
      <c r="L87" s="26">
        <v>5</v>
      </c>
      <c r="M87" s="42">
        <v>2026</v>
      </c>
    </row>
    <row r="88" spans="1:13" ht="34.200000000000003" hidden="1" customHeight="1" x14ac:dyDescent="0.3">
      <c r="A88" s="10" t="s">
        <v>190</v>
      </c>
      <c r="B88" s="10" t="s">
        <v>191</v>
      </c>
      <c r="C88" s="11">
        <v>75000</v>
      </c>
      <c r="D88" s="85" t="s">
        <v>14</v>
      </c>
      <c r="E88" s="15" t="s">
        <v>15</v>
      </c>
      <c r="F88" s="15" t="s">
        <v>16</v>
      </c>
      <c r="G88" s="15" t="s">
        <v>52</v>
      </c>
      <c r="H88" s="40" t="s">
        <v>192</v>
      </c>
      <c r="I88" s="131" t="s">
        <v>31</v>
      </c>
      <c r="J88" s="10">
        <v>40</v>
      </c>
      <c r="K88" s="10">
        <v>10</v>
      </c>
      <c r="L88" s="15">
        <v>5</v>
      </c>
      <c r="M88" s="41">
        <v>2026</v>
      </c>
    </row>
    <row r="89" spans="1:13" ht="36.6" hidden="1" customHeight="1" x14ac:dyDescent="0.3">
      <c r="A89" s="93" t="s">
        <v>270</v>
      </c>
      <c r="B89" s="93" t="s">
        <v>193</v>
      </c>
      <c r="C89" s="94">
        <v>60000</v>
      </c>
      <c r="D89" s="124" t="s">
        <v>208</v>
      </c>
      <c r="E89" s="64" t="s">
        <v>29</v>
      </c>
      <c r="F89" s="65" t="s">
        <v>16</v>
      </c>
      <c r="G89" s="64" t="s">
        <v>66</v>
      </c>
      <c r="H89" s="68" t="s">
        <v>30</v>
      </c>
      <c r="I89" s="12" t="s">
        <v>110</v>
      </c>
      <c r="J89" s="93">
        <v>40</v>
      </c>
      <c r="K89" s="93">
        <v>8</v>
      </c>
      <c r="L89" s="64">
        <v>5</v>
      </c>
      <c r="M89" s="84">
        <v>2026</v>
      </c>
    </row>
    <row r="90" spans="1:13" ht="34.799999999999997" customHeight="1" x14ac:dyDescent="0.3">
      <c r="A90" s="93" t="s">
        <v>270</v>
      </c>
      <c r="B90" s="23" t="s">
        <v>194</v>
      </c>
      <c r="C90" s="24">
        <v>60000</v>
      </c>
      <c r="D90" s="90" t="s">
        <v>14</v>
      </c>
      <c r="E90" s="26" t="s">
        <v>29</v>
      </c>
      <c r="F90" s="27" t="s">
        <v>16</v>
      </c>
      <c r="G90" s="26" t="s">
        <v>66</v>
      </c>
      <c r="H90" s="59" t="s">
        <v>30</v>
      </c>
      <c r="I90" s="29" t="s">
        <v>26</v>
      </c>
      <c r="J90" s="23">
        <v>60</v>
      </c>
      <c r="K90" s="23">
        <v>10</v>
      </c>
      <c r="L90" s="26">
        <v>5</v>
      </c>
      <c r="M90" s="42">
        <v>2026</v>
      </c>
    </row>
    <row r="91" spans="1:13" ht="36" hidden="1" customHeight="1" x14ac:dyDescent="0.3">
      <c r="A91" s="15" t="s">
        <v>222</v>
      </c>
      <c r="B91" s="15" t="s">
        <v>223</v>
      </c>
      <c r="C91" s="46">
        <v>60000</v>
      </c>
      <c r="D91" s="13" t="s">
        <v>45</v>
      </c>
      <c r="E91" s="15" t="s">
        <v>23</v>
      </c>
      <c r="F91" s="16" t="s">
        <v>16</v>
      </c>
      <c r="G91" s="15" t="s">
        <v>219</v>
      </c>
      <c r="H91" s="15" t="s">
        <v>220</v>
      </c>
      <c r="I91" s="15"/>
      <c r="J91" s="15">
        <v>40</v>
      </c>
      <c r="K91" s="15">
        <v>10</v>
      </c>
      <c r="L91" s="15">
        <v>3</v>
      </c>
      <c r="M91" s="15">
        <v>2026</v>
      </c>
    </row>
    <row r="92" spans="1:13" ht="28.8" hidden="1" customHeight="1" x14ac:dyDescent="0.3">
      <c r="A92" s="93" t="s">
        <v>270</v>
      </c>
      <c r="B92" s="10" t="s">
        <v>195</v>
      </c>
      <c r="C92" s="11">
        <v>54334</v>
      </c>
      <c r="D92" s="85" t="s">
        <v>14</v>
      </c>
      <c r="E92" s="15" t="s">
        <v>29</v>
      </c>
      <c r="F92" s="16" t="s">
        <v>16</v>
      </c>
      <c r="G92" s="15" t="s">
        <v>66</v>
      </c>
      <c r="H92" s="40" t="s">
        <v>30</v>
      </c>
      <c r="I92" s="12" t="s">
        <v>110</v>
      </c>
      <c r="J92" s="10">
        <v>20</v>
      </c>
      <c r="K92" s="10">
        <v>10</v>
      </c>
      <c r="L92" s="15">
        <v>5</v>
      </c>
      <c r="M92" s="41">
        <v>2026</v>
      </c>
    </row>
    <row r="93" spans="1:13" ht="28.8" hidden="1" customHeight="1" x14ac:dyDescent="0.3">
      <c r="A93" s="10" t="s">
        <v>196</v>
      </c>
      <c r="B93" s="118" t="s">
        <v>197</v>
      </c>
      <c r="C93" s="11">
        <v>38534.239999999998</v>
      </c>
      <c r="D93" s="99" t="s">
        <v>14</v>
      </c>
      <c r="E93" s="15" t="s">
        <v>15</v>
      </c>
      <c r="F93" s="16" t="s">
        <v>16</v>
      </c>
      <c r="G93" s="15" t="s">
        <v>52</v>
      </c>
      <c r="H93" s="40" t="s">
        <v>114</v>
      </c>
      <c r="I93" s="10" t="s">
        <v>26</v>
      </c>
      <c r="J93" s="21">
        <v>40</v>
      </c>
      <c r="K93" s="10">
        <v>10</v>
      </c>
      <c r="L93" s="15">
        <v>5</v>
      </c>
      <c r="M93" s="41">
        <v>2026</v>
      </c>
    </row>
    <row r="94" spans="1:13" ht="28.8" hidden="1" customHeight="1" x14ac:dyDescent="0.3">
      <c r="A94" s="10" t="s">
        <v>198</v>
      </c>
      <c r="B94" s="10" t="s">
        <v>104</v>
      </c>
      <c r="C94" s="11">
        <v>35000</v>
      </c>
      <c r="D94" s="39" t="s">
        <v>55</v>
      </c>
      <c r="E94" s="15" t="s">
        <v>23</v>
      </c>
      <c r="F94" s="16" t="s">
        <v>16</v>
      </c>
      <c r="G94" s="15" t="s">
        <v>105</v>
      </c>
      <c r="H94" s="40" t="s">
        <v>25</v>
      </c>
      <c r="I94" s="12" t="s">
        <v>31</v>
      </c>
      <c r="J94" s="10">
        <v>0</v>
      </c>
      <c r="K94" s="10">
        <v>12</v>
      </c>
      <c r="L94" s="15">
        <v>3</v>
      </c>
      <c r="M94" s="41">
        <v>2026</v>
      </c>
    </row>
    <row r="95" spans="1:13" ht="28.8" hidden="1" customHeight="1" x14ac:dyDescent="0.3">
      <c r="A95" s="10" t="s">
        <v>199</v>
      </c>
      <c r="B95" s="10" t="s">
        <v>200</v>
      </c>
      <c r="C95" s="11">
        <v>32000</v>
      </c>
      <c r="D95" s="85" t="s">
        <v>14</v>
      </c>
      <c r="E95" s="15" t="s">
        <v>15</v>
      </c>
      <c r="F95" s="16" t="s">
        <v>16</v>
      </c>
      <c r="G95" s="21" t="s">
        <v>201</v>
      </c>
      <c r="H95" s="40" t="s">
        <v>18</v>
      </c>
      <c r="I95" s="12"/>
      <c r="J95" s="10">
        <v>20</v>
      </c>
      <c r="K95" s="10">
        <v>12</v>
      </c>
      <c r="L95" s="15">
        <v>4</v>
      </c>
      <c r="M95" s="41">
        <v>2026</v>
      </c>
    </row>
    <row r="96" spans="1:13" ht="37.200000000000003" customHeight="1" x14ac:dyDescent="0.3">
      <c r="A96" s="15" t="s">
        <v>226</v>
      </c>
      <c r="B96" s="15" t="s">
        <v>227</v>
      </c>
      <c r="C96" s="46">
        <v>500000</v>
      </c>
      <c r="D96" s="13" t="s">
        <v>45</v>
      </c>
      <c r="E96" s="15" t="s">
        <v>15</v>
      </c>
      <c r="F96" s="16" t="s">
        <v>16</v>
      </c>
      <c r="G96" s="15" t="s">
        <v>219</v>
      </c>
      <c r="H96" s="15" t="s">
        <v>221</v>
      </c>
      <c r="I96" s="15"/>
      <c r="J96" s="15">
        <v>60</v>
      </c>
      <c r="K96" s="15">
        <v>11</v>
      </c>
      <c r="L96" s="15">
        <v>6</v>
      </c>
      <c r="M96" s="15">
        <v>2026</v>
      </c>
    </row>
    <row r="97" spans="1:16" ht="28.8" hidden="1" customHeight="1" x14ac:dyDescent="0.3">
      <c r="A97" s="15" t="s">
        <v>228</v>
      </c>
      <c r="B97" s="15" t="s">
        <v>229</v>
      </c>
      <c r="C97" s="46">
        <v>0</v>
      </c>
      <c r="D97" s="13" t="s">
        <v>45</v>
      </c>
      <c r="E97" s="15" t="s">
        <v>15</v>
      </c>
      <c r="F97" s="16" t="s">
        <v>16</v>
      </c>
      <c r="G97" s="15" t="s">
        <v>215</v>
      </c>
      <c r="H97" s="15" t="s">
        <v>221</v>
      </c>
      <c r="I97" s="15"/>
      <c r="J97" s="15">
        <v>20</v>
      </c>
      <c r="K97" s="15">
        <v>10</v>
      </c>
      <c r="L97" s="15">
        <v>6</v>
      </c>
      <c r="M97" s="15">
        <v>2026</v>
      </c>
    </row>
    <row r="98" spans="1:16" ht="28.8" customHeight="1" x14ac:dyDescent="0.3">
      <c r="A98" s="15" t="s">
        <v>230</v>
      </c>
      <c r="B98" s="15" t="s">
        <v>231</v>
      </c>
      <c r="C98" s="46">
        <v>0</v>
      </c>
      <c r="D98" s="13" t="s">
        <v>45</v>
      </c>
      <c r="E98" s="15" t="s">
        <v>29</v>
      </c>
      <c r="F98" s="16" t="s">
        <v>16</v>
      </c>
      <c r="G98" s="15" t="s">
        <v>265</v>
      </c>
      <c r="H98" s="15" t="s">
        <v>110</v>
      </c>
      <c r="I98" s="15"/>
      <c r="J98" s="15">
        <v>60</v>
      </c>
      <c r="K98" s="15">
        <v>10</v>
      </c>
      <c r="L98" s="15">
        <v>5</v>
      </c>
      <c r="M98" s="15">
        <v>2026</v>
      </c>
    </row>
    <row r="99" spans="1:16" ht="28.8" hidden="1" customHeight="1" x14ac:dyDescent="0.3">
      <c r="A99" s="15" t="s">
        <v>232</v>
      </c>
      <c r="B99" s="15" t="s">
        <v>233</v>
      </c>
      <c r="C99" s="46">
        <v>718781.85</v>
      </c>
      <c r="D99" s="13" t="s">
        <v>45</v>
      </c>
      <c r="E99" s="15" t="s">
        <v>15</v>
      </c>
      <c r="F99" s="16" t="s">
        <v>16</v>
      </c>
      <c r="G99" s="15" t="s">
        <v>219</v>
      </c>
      <c r="H99" s="15" t="s">
        <v>221</v>
      </c>
      <c r="I99" s="15"/>
      <c r="J99" s="15">
        <v>20</v>
      </c>
      <c r="K99" s="15">
        <v>9</v>
      </c>
      <c r="L99" s="15">
        <v>5</v>
      </c>
      <c r="M99" s="15">
        <v>2026</v>
      </c>
    </row>
    <row r="100" spans="1:16" ht="28.8" hidden="1" customHeight="1" x14ac:dyDescent="0.3">
      <c r="A100" s="15" t="s">
        <v>234</v>
      </c>
      <c r="B100" s="15" t="s">
        <v>235</v>
      </c>
      <c r="C100" s="46">
        <v>0</v>
      </c>
      <c r="D100" s="13" t="s">
        <v>45</v>
      </c>
      <c r="E100" s="15" t="s">
        <v>15</v>
      </c>
      <c r="F100" s="16" t="s">
        <v>16</v>
      </c>
      <c r="G100" s="15" t="s">
        <v>216</v>
      </c>
      <c r="H100" s="15" t="s">
        <v>221</v>
      </c>
      <c r="I100" s="15"/>
      <c r="J100" s="15" t="s">
        <v>216</v>
      </c>
      <c r="K100" s="15" t="s">
        <v>216</v>
      </c>
      <c r="L100" s="15"/>
      <c r="M100" s="15">
        <v>2027</v>
      </c>
    </row>
    <row r="101" spans="1:16" ht="28.8" hidden="1" customHeight="1" x14ac:dyDescent="0.3">
      <c r="A101" s="10" t="s">
        <v>170</v>
      </c>
      <c r="B101" s="10" t="s">
        <v>211</v>
      </c>
      <c r="C101" s="11">
        <v>30939</v>
      </c>
      <c r="D101" s="43" t="s">
        <v>14</v>
      </c>
      <c r="E101" s="15" t="s">
        <v>29</v>
      </c>
      <c r="F101" s="16" t="s">
        <v>16</v>
      </c>
      <c r="G101" s="15" t="s">
        <v>66</v>
      </c>
      <c r="H101" s="40" t="s">
        <v>30</v>
      </c>
      <c r="I101" s="12" t="s">
        <v>110</v>
      </c>
      <c r="J101" s="10">
        <v>40</v>
      </c>
      <c r="K101" s="10">
        <v>9</v>
      </c>
      <c r="L101" s="15">
        <v>2</v>
      </c>
      <c r="M101" s="41">
        <v>2026</v>
      </c>
    </row>
    <row r="102" spans="1:16" ht="28.8" hidden="1" customHeight="1" x14ac:dyDescent="0.3">
      <c r="A102" s="15" t="s">
        <v>238</v>
      </c>
      <c r="B102" s="15" t="s">
        <v>239</v>
      </c>
      <c r="C102" s="46">
        <v>0</v>
      </c>
      <c r="D102" s="13" t="s">
        <v>45</v>
      </c>
      <c r="E102" s="15" t="s">
        <v>29</v>
      </c>
      <c r="F102" s="16" t="s">
        <v>16</v>
      </c>
      <c r="G102" s="15" t="s">
        <v>219</v>
      </c>
      <c r="H102" s="15" t="s">
        <v>110</v>
      </c>
      <c r="I102" s="15"/>
      <c r="J102" s="15">
        <v>40</v>
      </c>
      <c r="K102" s="15">
        <v>11</v>
      </c>
      <c r="L102" s="15">
        <v>5</v>
      </c>
      <c r="M102" s="15">
        <v>2026</v>
      </c>
    </row>
    <row r="103" spans="1:16" ht="28.8" hidden="1" customHeight="1" x14ac:dyDescent="0.3">
      <c r="A103" s="10" t="s">
        <v>165</v>
      </c>
      <c r="B103" s="10" t="s">
        <v>202</v>
      </c>
      <c r="C103" s="11">
        <v>30600</v>
      </c>
      <c r="D103" s="39" t="s">
        <v>22</v>
      </c>
      <c r="E103" s="15" t="s">
        <v>23</v>
      </c>
      <c r="F103" s="16" t="s">
        <v>16</v>
      </c>
      <c r="G103" s="21" t="s">
        <v>201</v>
      </c>
      <c r="H103" s="40" t="s">
        <v>18</v>
      </c>
      <c r="I103" s="12" t="s">
        <v>98</v>
      </c>
      <c r="J103" s="10">
        <v>10</v>
      </c>
      <c r="K103" s="10">
        <v>8</v>
      </c>
      <c r="L103" s="15">
        <v>4</v>
      </c>
      <c r="M103" s="41">
        <v>2027</v>
      </c>
    </row>
    <row r="104" spans="1:16" ht="28.8" hidden="1" customHeight="1" x14ac:dyDescent="0.3">
      <c r="A104" s="15" t="s">
        <v>241</v>
      </c>
      <c r="B104" s="15" t="s">
        <v>242</v>
      </c>
      <c r="C104" s="46">
        <v>0</v>
      </c>
      <c r="D104" s="13" t="s">
        <v>45</v>
      </c>
      <c r="E104" s="15" t="s">
        <v>15</v>
      </c>
      <c r="F104" s="16" t="s">
        <v>16</v>
      </c>
      <c r="G104" s="15" t="s">
        <v>266</v>
      </c>
      <c r="H104" s="15" t="s">
        <v>217</v>
      </c>
      <c r="I104" s="15"/>
      <c r="J104" s="15">
        <v>20</v>
      </c>
      <c r="K104" s="15">
        <v>10</v>
      </c>
      <c r="L104" s="15">
        <v>4</v>
      </c>
      <c r="M104" s="15">
        <v>2026</v>
      </c>
    </row>
    <row r="105" spans="1:16" ht="28.8" hidden="1" customHeight="1" x14ac:dyDescent="0.3">
      <c r="A105" s="15" t="s">
        <v>243</v>
      </c>
      <c r="B105" s="15" t="s">
        <v>244</v>
      </c>
      <c r="C105" s="46">
        <v>0</v>
      </c>
      <c r="D105" s="13" t="s">
        <v>45</v>
      </c>
      <c r="E105" s="15" t="s">
        <v>15</v>
      </c>
      <c r="F105" s="16" t="s">
        <v>16</v>
      </c>
      <c r="G105" s="15" t="s">
        <v>219</v>
      </c>
      <c r="H105" s="15" t="s">
        <v>221</v>
      </c>
      <c r="I105" s="15"/>
      <c r="J105" s="15">
        <v>20</v>
      </c>
      <c r="K105" s="15">
        <v>11</v>
      </c>
      <c r="L105" s="15">
        <v>5</v>
      </c>
      <c r="M105" s="15">
        <v>2026</v>
      </c>
    </row>
    <row r="106" spans="1:16" ht="28.8" hidden="1" customHeight="1" x14ac:dyDescent="0.3">
      <c r="A106" s="10" t="s">
        <v>203</v>
      </c>
      <c r="B106" s="10" t="s">
        <v>204</v>
      </c>
      <c r="C106" s="11">
        <v>28155.56</v>
      </c>
      <c r="D106" s="43" t="s">
        <v>14</v>
      </c>
      <c r="E106" s="15" t="s">
        <v>168</v>
      </c>
      <c r="F106" s="16" t="s">
        <v>205</v>
      </c>
      <c r="G106" s="34" t="s">
        <v>52</v>
      </c>
      <c r="H106" s="40" t="s">
        <v>34</v>
      </c>
      <c r="I106" s="12" t="s">
        <v>26</v>
      </c>
      <c r="J106" s="10">
        <v>20</v>
      </c>
      <c r="K106" s="10">
        <v>9</v>
      </c>
      <c r="L106" s="15">
        <v>5</v>
      </c>
      <c r="M106" s="41">
        <v>2026</v>
      </c>
    </row>
    <row r="107" spans="1:16" ht="28.8" customHeight="1" x14ac:dyDescent="0.3">
      <c r="A107" s="60" t="s">
        <v>92</v>
      </c>
      <c r="B107" s="61" t="s">
        <v>249</v>
      </c>
      <c r="C107" s="62">
        <v>18733</v>
      </c>
      <c r="D107" s="127" t="s">
        <v>65</v>
      </c>
      <c r="E107" s="64" t="s">
        <v>29</v>
      </c>
      <c r="F107" s="65" t="s">
        <v>16</v>
      </c>
      <c r="G107" s="76" t="s">
        <v>66</v>
      </c>
      <c r="H107" s="68" t="s">
        <v>30</v>
      </c>
      <c r="I107" s="89"/>
      <c r="J107" s="61">
        <v>80</v>
      </c>
      <c r="K107" s="61">
        <v>9</v>
      </c>
      <c r="L107" s="64">
        <v>6</v>
      </c>
      <c r="M107" s="67">
        <v>2026</v>
      </c>
      <c r="O107" s="47">
        <f>SUM(C29+C30+C61+C74+C83+C85+C107+C87)</f>
        <v>3794141.3420000002</v>
      </c>
      <c r="P107" s="14">
        <v>0.8</v>
      </c>
    </row>
    <row r="108" spans="1:16" ht="28.8" hidden="1" customHeight="1" x14ac:dyDescent="0.3">
      <c r="A108" s="113" t="s">
        <v>155</v>
      </c>
      <c r="B108" s="116" t="s">
        <v>240</v>
      </c>
      <c r="C108" s="120">
        <v>0</v>
      </c>
      <c r="D108" s="55" t="s">
        <v>45</v>
      </c>
      <c r="E108" s="34" t="s">
        <v>23</v>
      </c>
      <c r="F108" s="35" t="s">
        <v>16</v>
      </c>
      <c r="G108" s="34" t="s">
        <v>219</v>
      </c>
      <c r="H108" s="35" t="s">
        <v>220</v>
      </c>
      <c r="J108" s="116">
        <v>20</v>
      </c>
      <c r="K108" s="116">
        <v>10</v>
      </c>
      <c r="L108" s="34">
        <v>3</v>
      </c>
      <c r="M108" s="133">
        <v>2026</v>
      </c>
    </row>
    <row r="109" spans="1:16" ht="28.8" customHeight="1" x14ac:dyDescent="0.3">
      <c r="A109" s="26" t="s">
        <v>212</v>
      </c>
      <c r="B109" s="26" t="s">
        <v>262</v>
      </c>
      <c r="C109" s="26"/>
      <c r="D109" s="44" t="s">
        <v>35</v>
      </c>
      <c r="E109" s="26" t="s">
        <v>29</v>
      </c>
      <c r="F109" s="26" t="s">
        <v>16</v>
      </c>
      <c r="G109" s="26" t="s">
        <v>215</v>
      </c>
      <c r="H109" s="59" t="s">
        <v>30</v>
      </c>
      <c r="J109" s="26">
        <v>80</v>
      </c>
      <c r="K109" s="26">
        <v>10</v>
      </c>
      <c r="L109" s="26">
        <v>6</v>
      </c>
      <c r="M109" s="26">
        <v>2026</v>
      </c>
      <c r="O109" s="47">
        <f>O107*P107</f>
        <v>3035313.0736000002</v>
      </c>
    </row>
    <row r="110" spans="1:16" ht="28.8" hidden="1" customHeight="1" x14ac:dyDescent="0.3">
      <c r="A110" s="26" t="s">
        <v>213</v>
      </c>
      <c r="B110" s="26" t="s">
        <v>214</v>
      </c>
      <c r="C110" s="26"/>
      <c r="D110" s="44" t="s">
        <v>35</v>
      </c>
      <c r="E110" s="26" t="s">
        <v>23</v>
      </c>
      <c r="F110" s="26" t="s">
        <v>16</v>
      </c>
      <c r="G110" s="26" t="s">
        <v>215</v>
      </c>
      <c r="H110" s="26" t="s">
        <v>25</v>
      </c>
      <c r="I110" s="15"/>
      <c r="J110" s="26">
        <v>40</v>
      </c>
      <c r="K110" s="26">
        <v>10</v>
      </c>
      <c r="L110" s="26">
        <v>5</v>
      </c>
      <c r="M110" s="26">
        <v>2026</v>
      </c>
    </row>
    <row r="111" spans="1:16" ht="28.8" hidden="1" customHeight="1" x14ac:dyDescent="0.3">
      <c r="A111" s="15" t="s">
        <v>259</v>
      </c>
      <c r="B111" s="15" t="s">
        <v>260</v>
      </c>
      <c r="C111" s="46"/>
      <c r="D111" s="15" t="s">
        <v>45</v>
      </c>
      <c r="E111" s="15" t="s">
        <v>23</v>
      </c>
      <c r="F111" s="15" t="s">
        <v>16</v>
      </c>
      <c r="G111" s="15"/>
      <c r="H111" s="15" t="s">
        <v>261</v>
      </c>
      <c r="J111" s="15">
        <v>20</v>
      </c>
      <c r="K111" s="15"/>
      <c r="L111" s="15"/>
      <c r="M111" s="15">
        <v>2026</v>
      </c>
    </row>
    <row r="112" spans="1:16" ht="28.8" hidden="1" customHeight="1" x14ac:dyDescent="0.3">
      <c r="A112" s="10" t="s">
        <v>103</v>
      </c>
      <c r="B112" s="15" t="s">
        <v>263</v>
      </c>
      <c r="C112" s="46" t="s">
        <v>264</v>
      </c>
      <c r="D112" s="99" t="s">
        <v>14</v>
      </c>
      <c r="E112" s="15" t="s">
        <v>23</v>
      </c>
      <c r="F112" s="15" t="s">
        <v>16</v>
      </c>
      <c r="G112" s="15" t="s">
        <v>46</v>
      </c>
      <c r="H112" s="40" t="s">
        <v>25</v>
      </c>
      <c r="J112" s="10">
        <v>40</v>
      </c>
      <c r="K112" s="10">
        <v>12</v>
      </c>
      <c r="L112" s="15">
        <v>7</v>
      </c>
      <c r="M112" s="41">
        <v>2026</v>
      </c>
    </row>
    <row r="113" spans="1:16" ht="28.8" customHeight="1" x14ac:dyDescent="0.3">
      <c r="A113" s="14" t="s">
        <v>271</v>
      </c>
      <c r="B113" s="14" t="s">
        <v>272</v>
      </c>
      <c r="C113" s="47">
        <v>700000</v>
      </c>
      <c r="D113" s="13" t="s">
        <v>45</v>
      </c>
      <c r="E113" s="14" t="s">
        <v>15</v>
      </c>
      <c r="F113" s="26" t="s">
        <v>16</v>
      </c>
      <c r="G113" s="14" t="s">
        <v>215</v>
      </c>
      <c r="H113" s="14" t="s">
        <v>114</v>
      </c>
      <c r="J113" s="14">
        <v>60</v>
      </c>
      <c r="K113" s="14">
        <v>12</v>
      </c>
      <c r="L113" s="14">
        <v>4</v>
      </c>
      <c r="M113" s="14">
        <v>2026</v>
      </c>
    </row>
    <row r="114" spans="1:16" ht="28.8" customHeight="1" x14ac:dyDescent="0.3">
      <c r="O114" s="47">
        <f>C16+C33+C22+C35+C59+C67+C90+C96+C98</f>
        <v>8570659.8000000007</v>
      </c>
      <c r="P114" s="14">
        <v>0.6</v>
      </c>
    </row>
    <row r="115" spans="1:16" ht="28.8" customHeight="1" x14ac:dyDescent="0.3">
      <c r="F115" s="136"/>
      <c r="O115" s="47">
        <f>P114*O114</f>
        <v>5142395.88</v>
      </c>
    </row>
    <row r="117" spans="1:16" ht="28.8" customHeight="1" x14ac:dyDescent="0.3">
      <c r="O117" s="137">
        <f>O115+O109</f>
        <v>8177708.9536000006</v>
      </c>
    </row>
  </sheetData>
  <autoFilter ref="A1:M112" xr:uid="{C6817A9D-27B5-4EE5-98A5-0CA4F5163512}">
    <filterColumn colId="9">
      <filters>
        <filter val="60"/>
        <filter val="80"/>
      </filters>
    </filterColumn>
    <filterColumn colId="12">
      <filters>
        <filter val="2026"/>
      </filters>
    </filterColumn>
  </autoFilter>
  <dataValidations count="2">
    <dataValidation type="list" allowBlank="1" showErrorMessage="1" sqref="I2:I43 I45:I67 I71:I85" xr:uid="{27B2696C-DD7B-4ED3-8122-DAE150CC0E03}">
      <formula1>"Paolo Villa,Manuel Henriquez,Sebastian Flores,Jose Perez,Jhon Rojas,Jesus,Elver Leon,Hugo,Arquitectura,Pablo Y"</formula1>
    </dataValidation>
    <dataValidation type="list" allowBlank="1" showErrorMessage="1" sqref="D112:D113 D2:D110" xr:uid="{32043544-8893-4FEB-8A04-9B608A7D3C83}">
      <formula1>"Negociación,En análisis del cliente,En proceso de cotización,Vendido,Perdido,Postpuesto,Prospecto,Cancelado"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Rodriguez Allca</dc:creator>
  <cp:lastModifiedBy>Valeria Rodriguez Allca</cp:lastModifiedBy>
  <dcterms:created xsi:type="dcterms:W3CDTF">2026-08-05T16:34:33Z</dcterms:created>
  <dcterms:modified xsi:type="dcterms:W3CDTF">2026-09-22T14:59:22Z</dcterms:modified>
</cp:coreProperties>
</file>