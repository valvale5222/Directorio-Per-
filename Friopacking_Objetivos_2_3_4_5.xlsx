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C9F73501-D9AD-4B24-B256-BB9EA1D7D8BC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Objetivo 2" sheetId="1" r:id="rId1"/>
    <sheet name="Objetivo 3" sheetId="3" r:id="rId2"/>
    <sheet name="Objetivo4" sheetId="2" r:id="rId3"/>
    <sheet name="Objetivo 5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5" l="1"/>
  <c r="B6" i="5" s="1"/>
</calcChain>
</file>

<file path=xl/sharedStrings.xml><?xml version="1.0" encoding="utf-8"?>
<sst xmlns="http://schemas.openxmlformats.org/spreadsheetml/2006/main" count="350" uniqueCount="180">
  <si>
    <t>OBJETIVO 2 — EJECUTAR PROYECTOS CON REFRIGERANTE CO2</t>
  </si>
  <si>
    <t>DEFINICIÓN DEL OBJETIVO</t>
  </si>
  <si>
    <t>Descripción</t>
  </si>
  <si>
    <t>Cantidad de proyectos vendidos con refrigerante CO2 — meta 2 proyectos</t>
  </si>
  <si>
    <t>KPI Principal</t>
  </si>
  <si>
    <t>Proyectos CO2 vendidos</t>
  </si>
  <si>
    <t>Meta</t>
  </si>
  <si>
    <t>2 proyectos</t>
  </si>
  <si>
    <t>Fuente de datos</t>
  </si>
  <si>
    <t>Año</t>
  </si>
  <si>
    <t>2026</t>
  </si>
  <si>
    <t>RESUMEN DE INDICADORES</t>
  </si>
  <si>
    <t>KPI</t>
  </si>
  <si>
    <t>Valor</t>
  </si>
  <si>
    <t>Avance %</t>
  </si>
  <si>
    <t>Status</t>
  </si>
  <si>
    <t>-</t>
  </si>
  <si>
    <t>PIPELINE ACTIVO — OPORTUNIDADES CO2 (no vendidas aún)</t>
  </si>
  <si>
    <t>ID</t>
  </si>
  <si>
    <t>Cliente</t>
  </si>
  <si>
    <t>Requerimiento</t>
  </si>
  <si>
    <t>Importe ($)</t>
  </si>
  <si>
    <t>Prob.</t>
  </si>
  <si>
    <t>Responsable</t>
  </si>
  <si>
    <t>SI</t>
  </si>
  <si>
    <t>HUGO ESCOBAR</t>
  </si>
  <si>
    <t>AXION LOG</t>
  </si>
  <si>
    <t>CD TRUJILLO</t>
  </si>
  <si>
    <t>Prospecto</t>
  </si>
  <si>
    <t>Clientes únicos vendidos marcados como 'nuevo fuera de Agro' — meta 4 clientes</t>
  </si>
  <si>
    <t>Clientes nuevos fuera Agro vendidos (únicos)</t>
  </si>
  <si>
    <t>4 clientes</t>
  </si>
  <si>
    <t>Campo nuevoFueraAgro = 'SI' y status = 'Vendido'; se cuentan clientes únicos</t>
  </si>
  <si>
    <t>Margen</t>
  </si>
  <si>
    <t>Mes</t>
  </si>
  <si>
    <t>Zona</t>
  </si>
  <si>
    <t>ARCA CONTINENTAL LINDLEY S.A.</t>
  </si>
  <si>
    <t>SUMINISTRO E INSTALACIÓN DE SERPENTIN</t>
  </si>
  <si>
    <t>DELICE S.A.C</t>
  </si>
  <si>
    <t>SUMINISTRO E INSTALACION RACKS</t>
  </si>
  <si>
    <t>CENTRO</t>
  </si>
  <si>
    <t>RAMPAS ENCUENTOS Y BOMBA CONDESADO</t>
  </si>
  <si>
    <t>HIJUELAS</t>
  </si>
  <si>
    <t>Negociación</t>
  </si>
  <si>
    <t>OPP-0073</t>
  </si>
  <si>
    <t>PRONEX</t>
  </si>
  <si>
    <t>Cámara de Congelado de Pulpas</t>
  </si>
  <si>
    <t>OBJETIVO 4 — INCREMENTAR VALOR SIN FRÍO (OOCC + EEMM)</t>
  </si>
  <si>
    <t>Suma de 'Valor No Frío OOCC' + 'Valor No Frío EEMM' en proyectos vendidos — meta $2,800,000</t>
  </si>
  <si>
    <t>Total Sin Frío vendido = valorNoFrioOOCC + valorNoFrioEEMM</t>
  </si>
  <si>
    <t>$2,800,000 USD</t>
  </si>
  <si>
    <t>OOCC</t>
  </si>
  <si>
    <t>Obras Civiles y de Construcción incluidas en el proyecto</t>
  </si>
  <si>
    <t>EEMM</t>
  </si>
  <si>
    <t>Equipamiento Electromecánico (maquinaria, estructuras, etc.) incluido en el proyecto</t>
  </si>
  <si>
    <t>RAW_DATA — grupo FRIOPACKING — status = 'Vendido' — campos valorNoFrioOOCC y valorNoFrioEEMM &gt; 0</t>
  </si>
  <si>
    <t>Valor ($)</t>
  </si>
  <si>
    <t>Meta ($)</t>
  </si>
  <si>
    <t>No Frío OOCC vendido</t>
  </si>
  <si>
    <t>No Frío EEMM vendido</t>
  </si>
  <si>
    <t>TOTAL Sin Frío vendido</t>
  </si>
  <si>
    <t>193.8%</t>
  </si>
  <si>
    <t>CUMPLIDO</t>
  </si>
  <si>
    <t>Brecha a la meta</t>
  </si>
  <si>
    <t>Pipeline Sin Frío disponible (OOCC+EEMM)</t>
  </si>
  <si>
    <t># Proyectos vendidos con componente Sin Frío</t>
  </si>
  <si>
    <t>PROYECTOS VENDIDOS CON VALOR SIN FRÍO</t>
  </si>
  <si>
    <t>No Frío OOCC ($)</t>
  </si>
  <si>
    <t>No Frío EEMM ($)</t>
  </si>
  <si>
    <t>Total Sin Frío ($)</t>
  </si>
  <si>
    <t>OPP-0015</t>
  </si>
  <si>
    <t>AGROBERRIES PERU S.A.C.</t>
  </si>
  <si>
    <t>NUEVA PLANTA ARÁNDANOS FRÍO + EEMM</t>
  </si>
  <si>
    <t>OPP-0066</t>
  </si>
  <si>
    <t>PROCESADORA TORRE BLANCA S.A.C</t>
  </si>
  <si>
    <t>AMPLIACION DE PLANTA</t>
  </si>
  <si>
    <t>OPP-0074</t>
  </si>
  <si>
    <t>CONSTRUCCION ACOPIO ARANDANOS</t>
  </si>
  <si>
    <t>OPP-0088</t>
  </si>
  <si>
    <t>QALI FRUITS S.A.C.</t>
  </si>
  <si>
    <t>Amplación packing</t>
  </si>
  <si>
    <t>OPP-0113</t>
  </si>
  <si>
    <t>REITER PERUVIAN BERRY S.A.</t>
  </si>
  <si>
    <t>AMPLIACION PLANTA</t>
  </si>
  <si>
    <t>OPP-0116</t>
  </si>
  <si>
    <t>BERRY HARVEST S.A.</t>
  </si>
  <si>
    <t>REFORZAMIENTO ESTRUCTURAL SOLDADURA Y ENSAMBLE PUERTAS</t>
  </si>
  <si>
    <t>OPP-0124</t>
  </si>
  <si>
    <t>OPP-0126</t>
  </si>
  <si>
    <t>ANTEPROYECTO PLANTA EMPACADORA</t>
  </si>
  <si>
    <t>PIPELINE — OPORTUNIDADES CON COMPONENTE SIN FRÍO (activos)</t>
  </si>
  <si>
    <t>OBJETIVO 5 — VENTAS FRIOTEAM $250,000 USD</t>
  </si>
  <si>
    <t>Total vendido Frioteam ($)</t>
  </si>
  <si>
    <t>Refrigerante</t>
  </si>
  <si>
    <t>INDUSTRIAL</t>
  </si>
  <si>
    <t>FREON</t>
  </si>
  <si>
    <t>ZEDINA ALIMENTOS S.A.C.</t>
  </si>
  <si>
    <t>CARNICO</t>
  </si>
  <si>
    <t>OREGON FOODS S.A.C.</t>
  </si>
  <si>
    <t>TOTAL</t>
  </si>
  <si>
    <t>Análsis del cliente</t>
  </si>
  <si>
    <t>Delice</t>
  </si>
  <si>
    <t>Planta procesadora de lacteos y derivados (sistema de frio)</t>
  </si>
  <si>
    <t>CÁMARA + ESCLUSA (RECEPCIÓN/DESPACHO)</t>
  </si>
  <si>
    <t>Túnel Congelado</t>
  </si>
  <si>
    <t>Zedina</t>
  </si>
  <si>
    <t>Jesus Chavez</t>
  </si>
  <si>
    <t>NGR - NUTRA</t>
  </si>
  <si>
    <t>Perupez</t>
  </si>
  <si>
    <t>Talma</t>
  </si>
  <si>
    <t>Cementos Pacasmayo</t>
  </si>
  <si>
    <t>Instalacion de 2 Chilleres - Ecuador</t>
  </si>
  <si>
    <t>Europan - San Antonio</t>
  </si>
  <si>
    <t>PIPELINE</t>
  </si>
  <si>
    <t>VENDIDO</t>
  </si>
  <si>
    <t>NO</t>
  </si>
  <si>
    <t>Ampliación de planta pesquera</t>
  </si>
  <si>
    <t>Laboratorio de crecimiento de Arandanos</t>
  </si>
  <si>
    <t>SECTOR</t>
  </si>
  <si>
    <t>EMERGENT COLD PERU S.A.C.</t>
  </si>
  <si>
    <t>MODIFICIACION DE CONTROL DE TUNELES DE CONGELADO - OPCION 2</t>
  </si>
  <si>
    <t>Junio</t>
  </si>
  <si>
    <t>MANTENIMINETO DE RACK DE COMPRESORES Y UC</t>
  </si>
  <si>
    <t>MANTENIMIENTO ANUAL DE EQUIPOS DE FRIO</t>
  </si>
  <si>
    <t>CLIENTE</t>
  </si>
  <si>
    <t>REQUERIMIENTO</t>
  </si>
  <si>
    <t>Farmacias Peruanas S.A.C</t>
  </si>
  <si>
    <t>Servicio de mantenimiento anual</t>
  </si>
  <si>
    <t>Delice S.A.C</t>
  </si>
  <si>
    <t>CLIENTES FUERA DEL AGRO</t>
  </si>
  <si>
    <t>3 SERVICIOS</t>
  </si>
  <si>
    <t>AMONIACO</t>
  </si>
  <si>
    <t>Marzo</t>
  </si>
  <si>
    <t>VENTA</t>
  </si>
  <si>
    <t xml:space="preserve">STATUS
</t>
  </si>
  <si>
    <t>ZONA</t>
  </si>
  <si>
    <t>REFRIGERANTE</t>
  </si>
  <si>
    <t>% PROBABILIDAD DE ÉXITO</t>
  </si>
  <si>
    <t>YAMBOLI</t>
  </si>
  <si>
    <t>Camaras de congelado de helado (sistema de frio) : C02 y Freon</t>
  </si>
  <si>
    <t>En proceso de cotización</t>
  </si>
  <si>
    <t>Centro</t>
  </si>
  <si>
    <t>CO2</t>
  </si>
  <si>
    <t>Broom Frio</t>
  </si>
  <si>
    <t>3 Camaras y pasillo de despacho</t>
  </si>
  <si>
    <t>Norte</t>
  </si>
  <si>
    <t>La grama</t>
  </si>
  <si>
    <t>Cámara y tunel de congelado (CO2)</t>
  </si>
  <si>
    <t xml:space="preserve">Emergent Cold </t>
  </si>
  <si>
    <t>En análisis del cliente</t>
  </si>
  <si>
    <t>Suministro e instalación de compresor (3er para back up)</t>
  </si>
  <si>
    <t>AGRO</t>
  </si>
  <si>
    <t xml:space="preserve">PIPELINE </t>
  </si>
  <si>
    <t>Suministro e instalación de compresor</t>
  </si>
  <si>
    <t>Importe</t>
  </si>
  <si>
    <t>CLIENTES AGRO/ NO AGRO</t>
  </si>
  <si>
    <t>Proyecto / Oportunidad</t>
  </si>
  <si>
    <t>Estado Actual</t>
  </si>
  <si>
    <t>NO AGRO</t>
  </si>
  <si>
    <t>Jose Perez</t>
  </si>
  <si>
    <t>INFRAESTRUCTURA</t>
  </si>
  <si>
    <t>RANSA</t>
  </si>
  <si>
    <t>planta de congelado - callao ó Paita</t>
  </si>
  <si>
    <t>NH3</t>
  </si>
  <si>
    <t>FREÓN</t>
  </si>
  <si>
    <t>implementación de cámaras de frio para Planta de producción Proyecto Chronos (freon)</t>
  </si>
  <si>
    <t>Pesquera Altair-Oceano</t>
  </si>
  <si>
    <t xml:space="preserve">Camara de congelado y Anden de congelado </t>
  </si>
  <si>
    <t xml:space="preserve">PRODUCTOS NATURALES DE EXPORTACION S.A. - PRONEX S.A.
</t>
  </si>
  <si>
    <t>Planta de carnicos</t>
  </si>
  <si>
    <t xml:space="preserve">Cámaras de refrigeracion y congelados </t>
  </si>
  <si>
    <t>Hayduk</t>
  </si>
  <si>
    <t>Lineas de proceso de agua helada y agua de torre</t>
  </si>
  <si>
    <t xml:space="preserve">Molitalia </t>
  </si>
  <si>
    <t>Suministro de Chiller</t>
  </si>
  <si>
    <t>Ingeneria</t>
  </si>
  <si>
    <t>Servicio Ingeniería</t>
  </si>
  <si>
    <t>Expediente técnico</t>
  </si>
  <si>
    <t>Servicio Arquitectura</t>
  </si>
  <si>
    <t>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</si>
</sst>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[$$-540A]#,##0.00"/>
    <numFmt numFmtId="166" formatCode="&quot;$&quot;#,##0"/>
    <numFmt numFmtId="167" formatCode="&quot;$&quot;#,##0.00"/>
    <numFmt numFmtId="168" formatCode="_ * #,##0.00_ ;_ * \-#,##0.00_ ;_ * &quot;-&quot;??_ ;_ @_ 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charset val="1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Calibri"/>
    </font>
    <font>
      <sz val="10"/>
      <color theme="1"/>
      <name val="Calibri"/>
      <family val="2"/>
    </font>
    <font>
      <sz val="10"/>
      <color theme="1"/>
      <name val="Calibri"/>
    </font>
    <font>
      <sz val="10"/>
      <color rgb="FF000000"/>
      <name val="Calibri"/>
      <family val="2"/>
    </font>
    <font>
      <sz val="11"/>
      <color rgb="FF000000"/>
      <name val="Calibri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A5F"/>
        <bgColor rgb="FF1F1F1F"/>
      </patternFill>
    </fill>
    <fill>
      <patternFill patternType="solid">
        <fgColor rgb="FF2E5C8A"/>
        <bgColor rgb="FF1F3A5F"/>
      </patternFill>
    </fill>
    <fill>
      <patternFill patternType="solid">
        <fgColor rgb="FFE6F1FB"/>
        <bgColor rgb="FFE1F5EE"/>
      </patternFill>
    </fill>
    <fill>
      <patternFill patternType="solid">
        <fgColor rgb="FFF8F8F6"/>
        <bgColor rgb="FFFFFFFF"/>
      </patternFill>
    </fill>
    <fill>
      <patternFill patternType="solid">
        <fgColor rgb="FFFCEBEB"/>
        <bgColor rgb="FFFAEEDA"/>
      </patternFill>
    </fill>
    <fill>
      <patternFill patternType="solid">
        <fgColor rgb="FF1F7A4F"/>
        <bgColor rgb="FF008080"/>
      </patternFill>
    </fill>
    <fill>
      <patternFill patternType="solid">
        <fgColor rgb="FFE89B00"/>
        <bgColor rgb="FFFFCC00"/>
      </patternFill>
    </fill>
    <fill>
      <patternFill patternType="solid">
        <fgColor rgb="FFE1F5EE"/>
        <bgColor rgb="FFE6F1FB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D0D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0D0D0"/>
      </left>
      <right/>
      <top style="thin">
        <color rgb="FFD0D0D0"/>
      </top>
      <bottom style="thin">
        <color indexed="64"/>
      </bottom>
      <diagonal/>
    </border>
    <border>
      <left/>
      <right/>
      <top style="thin">
        <color rgb="FFD0D0D0"/>
      </top>
      <bottom style="thin">
        <color indexed="64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94"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10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4" fillId="5" borderId="4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 wrapText="1"/>
    </xf>
    <xf numFmtId="165" fontId="4" fillId="5" borderId="3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5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4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5" borderId="3" xfId="0" applyFont="1" applyFill="1" applyBorder="1" applyAlignment="1">
      <alignment vertical="center" wrapText="1"/>
    </xf>
    <xf numFmtId="165" fontId="4" fillId="5" borderId="3" xfId="0" applyNumberFormat="1" applyFont="1" applyFill="1" applyBorder="1" applyAlignment="1">
      <alignment horizontal="center" vertical="center" wrapText="1"/>
    </xf>
    <xf numFmtId="164" fontId="4" fillId="5" borderId="3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66" fontId="11" fillId="0" borderId="8" xfId="0" applyNumberFormat="1" applyFont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167" fontId="16" fillId="16" borderId="8" xfId="0" applyNumberFormat="1" applyFont="1" applyFill="1" applyBorder="1" applyAlignment="1">
      <alignment horizontal="center" vertical="center" wrapText="1"/>
    </xf>
    <xf numFmtId="0" fontId="16" fillId="16" borderId="10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167" fontId="18" fillId="0" borderId="8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13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18" fillId="0" borderId="8" xfId="0" applyFont="1" applyBorder="1" applyAlignment="1">
      <alignment horizontal="left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center" vertical="center" wrapText="1"/>
    </xf>
    <xf numFmtId="0" fontId="20" fillId="17" borderId="8" xfId="0" applyFont="1" applyFill="1" applyBorder="1" applyAlignment="1">
      <alignment horizontal="center" vertical="center" wrapText="1"/>
    </xf>
    <xf numFmtId="0" fontId="21" fillId="0" borderId="3" xfId="0" applyFont="1" applyBorder="1"/>
    <xf numFmtId="0" fontId="22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67" fontId="18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vertical="center"/>
    </xf>
    <xf numFmtId="0" fontId="13" fillId="0" borderId="6" xfId="0" applyFont="1" applyBorder="1" applyAlignment="1">
      <alignment horizontal="center" vertical="center" wrapText="1"/>
    </xf>
    <xf numFmtId="9" fontId="13" fillId="0" borderId="6" xfId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" fontId="13" fillId="0" borderId="16" xfId="2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</cellXfs>
  <cellStyles count="3">
    <cellStyle name="Millares 2" xfId="2" xr:uid="{D66ADA27-C400-46B7-8409-1D0B0F59CBE7}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F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8F8F6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9B00"/>
      <rgbColor rgb="FFFF6600"/>
      <rgbColor rgb="FF666699"/>
      <rgbColor rgb="FF969696"/>
      <rgbColor rgb="FF1F3A5F"/>
      <rgbColor rgb="FF339966"/>
      <rgbColor rgb="FF003300"/>
      <rgbColor rgb="FF333300"/>
      <rgbColor rgb="FF791F1F"/>
      <rgbColor rgb="FF993366"/>
      <rgbColor rgb="FF2E5C8A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Normal="100" workbookViewId="0">
      <selection activeCell="G16" sqref="G16"/>
    </sheetView>
  </sheetViews>
  <sheetFormatPr baseColWidth="10" defaultColWidth="8.6640625" defaultRowHeight="14.4" x14ac:dyDescent="0.3"/>
  <cols>
    <col min="1" max="1" width="24.109375" customWidth="1"/>
    <col min="2" max="2" width="28" customWidth="1"/>
    <col min="3" max="3" width="40" customWidth="1"/>
    <col min="4" max="6" width="14" customWidth="1"/>
    <col min="7" max="7" width="30.109375" style="18" customWidth="1"/>
    <col min="8" max="8" width="12" customWidth="1"/>
  </cols>
  <sheetData>
    <row r="1" spans="1:8" ht="25.5" customHeight="1" x14ac:dyDescent="0.3">
      <c r="A1" s="79" t="s">
        <v>0</v>
      </c>
      <c r="B1" s="79"/>
      <c r="C1" s="79"/>
      <c r="D1" s="79"/>
      <c r="E1" s="79"/>
      <c r="F1" s="79"/>
      <c r="G1" s="79"/>
      <c r="H1" s="79"/>
    </row>
    <row r="3" spans="1:8" ht="15" customHeight="1" x14ac:dyDescent="0.3">
      <c r="A3" s="86" t="s">
        <v>1</v>
      </c>
      <c r="B3" s="86"/>
      <c r="C3" s="86"/>
      <c r="D3" s="86"/>
      <c r="E3" s="86"/>
      <c r="F3" s="86"/>
      <c r="G3" s="86"/>
      <c r="H3" s="86"/>
    </row>
    <row r="4" spans="1:8" ht="18" customHeight="1" x14ac:dyDescent="0.3">
      <c r="A4" s="1" t="s">
        <v>2</v>
      </c>
      <c r="B4" s="85" t="s">
        <v>3</v>
      </c>
      <c r="C4" s="85"/>
      <c r="D4" s="85"/>
      <c r="E4" s="85"/>
      <c r="F4" s="85"/>
      <c r="G4" s="85"/>
      <c r="H4" s="85"/>
    </row>
    <row r="5" spans="1:8" ht="18" customHeight="1" x14ac:dyDescent="0.3">
      <c r="A5" s="1" t="s">
        <v>4</v>
      </c>
      <c r="B5" s="85" t="s">
        <v>5</v>
      </c>
      <c r="C5" s="85"/>
      <c r="D5" s="85"/>
      <c r="E5" s="85"/>
      <c r="F5" s="85"/>
      <c r="G5" s="85"/>
      <c r="H5" s="85"/>
    </row>
    <row r="6" spans="1:8" ht="18" customHeight="1" x14ac:dyDescent="0.3">
      <c r="A6" s="1" t="s">
        <v>6</v>
      </c>
      <c r="B6" s="85" t="s">
        <v>7</v>
      </c>
      <c r="C6" s="85"/>
      <c r="D6" s="85"/>
      <c r="E6" s="85"/>
      <c r="F6" s="85"/>
      <c r="G6" s="85"/>
      <c r="H6" s="85"/>
    </row>
    <row r="7" spans="1:8" ht="18" customHeight="1" x14ac:dyDescent="0.3">
      <c r="A7" s="1" t="s">
        <v>9</v>
      </c>
      <c r="B7" s="85" t="s">
        <v>10</v>
      </c>
      <c r="C7" s="85"/>
      <c r="D7" s="85"/>
      <c r="E7" s="85"/>
      <c r="F7" s="85"/>
      <c r="G7" s="85"/>
      <c r="H7" s="85"/>
    </row>
    <row r="9" spans="1:8" ht="41.4" x14ac:dyDescent="0.3">
      <c r="A9" s="42" t="s">
        <v>17</v>
      </c>
      <c r="B9" s="42"/>
      <c r="C9" s="42"/>
      <c r="D9" s="42"/>
      <c r="E9" s="42"/>
      <c r="F9" s="42"/>
      <c r="G9" s="42"/>
      <c r="H9" s="42"/>
    </row>
    <row r="10" spans="1:8" ht="36" x14ac:dyDescent="0.3">
      <c r="A10" s="43" t="s">
        <v>124</v>
      </c>
      <c r="B10" s="43" t="s">
        <v>125</v>
      </c>
      <c r="C10" s="43" t="s">
        <v>133</v>
      </c>
      <c r="D10" s="43" t="s">
        <v>134</v>
      </c>
      <c r="E10" s="43" t="s">
        <v>135</v>
      </c>
      <c r="F10" s="43" t="s">
        <v>136</v>
      </c>
      <c r="G10" s="43" t="s">
        <v>137</v>
      </c>
      <c r="H10" s="43" t="s">
        <v>151</v>
      </c>
    </row>
    <row r="11" spans="1:8" ht="15" customHeight="1" x14ac:dyDescent="0.3">
      <c r="A11" s="44" t="s">
        <v>138</v>
      </c>
      <c r="B11" s="45" t="s">
        <v>139</v>
      </c>
      <c r="C11" s="46">
        <v>3500000</v>
      </c>
      <c r="D11" s="47" t="s">
        <v>140</v>
      </c>
      <c r="E11" s="48" t="s">
        <v>141</v>
      </c>
      <c r="F11" s="48" t="s">
        <v>142</v>
      </c>
      <c r="G11" s="45">
        <v>20</v>
      </c>
      <c r="H11" s="45" t="s">
        <v>115</v>
      </c>
    </row>
    <row r="12" spans="1:8" ht="72" customHeight="1" x14ac:dyDescent="0.3">
      <c r="A12" s="44" t="s">
        <v>143</v>
      </c>
      <c r="B12" s="45" t="s">
        <v>144</v>
      </c>
      <c r="C12" s="46">
        <v>2850000</v>
      </c>
      <c r="D12" s="47" t="s">
        <v>140</v>
      </c>
      <c r="E12" s="48" t="s">
        <v>145</v>
      </c>
      <c r="F12" s="48" t="s">
        <v>142</v>
      </c>
      <c r="G12" s="45">
        <v>40</v>
      </c>
      <c r="H12" s="45" t="s">
        <v>24</v>
      </c>
    </row>
    <row r="13" spans="1:8" ht="15.75" customHeight="1" x14ac:dyDescent="0.3">
      <c r="A13" s="44" t="s">
        <v>26</v>
      </c>
      <c r="B13" s="45" t="s">
        <v>27</v>
      </c>
      <c r="C13" s="46">
        <v>1004484</v>
      </c>
      <c r="D13" s="49" t="s">
        <v>28</v>
      </c>
      <c r="E13" s="48" t="s">
        <v>145</v>
      </c>
      <c r="F13" s="48" t="s">
        <v>142</v>
      </c>
      <c r="G13" s="45">
        <v>5</v>
      </c>
      <c r="H13" s="45" t="s">
        <v>115</v>
      </c>
    </row>
    <row r="14" spans="1:8" ht="15.75" customHeight="1" x14ac:dyDescent="0.3">
      <c r="A14" s="44" t="s">
        <v>146</v>
      </c>
      <c r="B14" s="50" t="s">
        <v>147</v>
      </c>
      <c r="C14" s="46">
        <v>1000000</v>
      </c>
      <c r="D14" s="47" t="s">
        <v>140</v>
      </c>
      <c r="E14" s="48" t="s">
        <v>141</v>
      </c>
      <c r="F14" s="51" t="s">
        <v>142</v>
      </c>
      <c r="G14" s="45">
        <v>20</v>
      </c>
      <c r="H14" s="45" t="s">
        <v>24</v>
      </c>
    </row>
    <row r="15" spans="1:8" ht="36" x14ac:dyDescent="0.3">
      <c r="A15" s="44" t="s">
        <v>148</v>
      </c>
      <c r="B15" s="45" t="s">
        <v>104</v>
      </c>
      <c r="C15" s="46">
        <v>824838</v>
      </c>
      <c r="D15" s="52" t="s">
        <v>149</v>
      </c>
      <c r="E15" s="48" t="s">
        <v>141</v>
      </c>
      <c r="F15" s="48" t="s">
        <v>142</v>
      </c>
      <c r="G15" s="45">
        <v>60</v>
      </c>
      <c r="H15" s="45" t="s">
        <v>115</v>
      </c>
    </row>
    <row r="16" spans="1:8" ht="54" x14ac:dyDescent="0.3">
      <c r="A16" s="44" t="s">
        <v>148</v>
      </c>
      <c r="B16" s="45" t="s">
        <v>150</v>
      </c>
      <c r="C16" s="46">
        <v>167000</v>
      </c>
      <c r="D16" s="53" t="s">
        <v>43</v>
      </c>
      <c r="E16" s="48" t="s">
        <v>141</v>
      </c>
      <c r="F16" s="48" t="s">
        <v>142</v>
      </c>
      <c r="G16" s="45">
        <v>80</v>
      </c>
      <c r="H16" s="45" t="s">
        <v>115</v>
      </c>
    </row>
  </sheetData>
  <mergeCells count="6">
    <mergeCell ref="B7:H7"/>
    <mergeCell ref="A1:H1"/>
    <mergeCell ref="A3:H3"/>
    <mergeCell ref="B4:H4"/>
    <mergeCell ref="B5:H5"/>
    <mergeCell ref="B6:H6"/>
  </mergeCells>
  <phoneticPr fontId="9" type="noConversion"/>
  <dataValidations count="1">
    <dataValidation type="list" allowBlank="1" showErrorMessage="1" sqref="D11:D16" xr:uid="{75AE35ED-7284-4EE0-92EA-54FA47207936}">
      <formula1>"Negociación,En análisis del cliente,En proceso de cotización,Vendido,Perdido,Postpuesto,Prospecto,Cancelado"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topLeftCell="A20" zoomScaleNormal="100" workbookViewId="0">
      <selection activeCell="F37" sqref="F37"/>
    </sheetView>
  </sheetViews>
  <sheetFormatPr baseColWidth="10" defaultColWidth="8.6640625" defaultRowHeight="14.4" x14ac:dyDescent="0.3"/>
  <cols>
    <col min="1" max="1" width="14" customWidth="1"/>
    <col min="2" max="2" width="28" customWidth="1"/>
    <col min="3" max="3" width="42" customWidth="1"/>
    <col min="4" max="4" width="14" customWidth="1"/>
    <col min="5" max="5" width="17.5546875" customWidth="1"/>
    <col min="6" max="6" width="14" customWidth="1"/>
    <col min="7" max="8" width="12" customWidth="1"/>
    <col min="9" max="9" width="14" customWidth="1"/>
  </cols>
  <sheetData>
    <row r="1" spans="1:9" ht="25.5" customHeight="1" x14ac:dyDescent="0.3">
      <c r="A1" s="79" t="s">
        <v>47</v>
      </c>
      <c r="B1" s="79"/>
      <c r="C1" s="79"/>
      <c r="D1" s="79"/>
      <c r="E1" s="79"/>
      <c r="F1" s="79"/>
      <c r="G1" s="79"/>
      <c r="H1" s="79"/>
      <c r="I1" s="79"/>
    </row>
    <row r="3" spans="1:9" ht="15" customHeight="1" x14ac:dyDescent="0.3">
      <c r="A3" s="86" t="s">
        <v>1</v>
      </c>
      <c r="B3" s="86"/>
      <c r="C3" s="86"/>
      <c r="D3" s="86"/>
      <c r="E3" s="86"/>
      <c r="F3" s="86"/>
      <c r="G3" s="86"/>
      <c r="H3" s="86"/>
      <c r="I3" s="86"/>
    </row>
    <row r="4" spans="1:9" ht="18" customHeight="1" x14ac:dyDescent="0.3">
      <c r="A4" s="1" t="s">
        <v>2</v>
      </c>
      <c r="B4" s="85" t="s">
        <v>48</v>
      </c>
      <c r="C4" s="85"/>
      <c r="D4" s="85"/>
      <c r="E4" s="85"/>
      <c r="F4" s="85"/>
      <c r="G4" s="85"/>
      <c r="H4" s="85"/>
      <c r="I4" s="85"/>
    </row>
    <row r="5" spans="1:9" ht="18" customHeight="1" x14ac:dyDescent="0.3">
      <c r="A5" s="1" t="s">
        <v>4</v>
      </c>
      <c r="B5" s="85" t="s">
        <v>49</v>
      </c>
      <c r="C5" s="85"/>
      <c r="D5" s="85"/>
      <c r="E5" s="85"/>
      <c r="F5" s="85"/>
      <c r="G5" s="85"/>
      <c r="H5" s="85"/>
      <c r="I5" s="85"/>
    </row>
    <row r="6" spans="1:9" ht="18" customHeight="1" x14ac:dyDescent="0.3">
      <c r="A6" s="1" t="s">
        <v>6</v>
      </c>
      <c r="B6" s="85" t="s">
        <v>50</v>
      </c>
      <c r="C6" s="85"/>
      <c r="D6" s="85"/>
      <c r="E6" s="85"/>
      <c r="F6" s="85"/>
      <c r="G6" s="85"/>
      <c r="H6" s="85"/>
      <c r="I6" s="85"/>
    </row>
    <row r="7" spans="1:9" ht="18" customHeight="1" x14ac:dyDescent="0.3">
      <c r="A7" s="1" t="s">
        <v>51</v>
      </c>
      <c r="B7" s="85" t="s">
        <v>52</v>
      </c>
      <c r="C7" s="85"/>
      <c r="D7" s="85"/>
      <c r="E7" s="85"/>
      <c r="F7" s="85"/>
      <c r="G7" s="85"/>
      <c r="H7" s="85"/>
      <c r="I7" s="85"/>
    </row>
    <row r="8" spans="1:9" ht="18" customHeight="1" x14ac:dyDescent="0.3">
      <c r="A8" s="1" t="s">
        <v>53</v>
      </c>
      <c r="B8" s="85" t="s">
        <v>54</v>
      </c>
      <c r="C8" s="85"/>
      <c r="D8" s="85"/>
      <c r="E8" s="85"/>
      <c r="F8" s="85"/>
      <c r="G8" s="85"/>
      <c r="H8" s="85"/>
      <c r="I8" s="85"/>
    </row>
    <row r="9" spans="1:9" ht="18" customHeight="1" x14ac:dyDescent="0.3">
      <c r="A9" s="1" t="s">
        <v>8</v>
      </c>
      <c r="B9" s="85" t="s">
        <v>55</v>
      </c>
      <c r="C9" s="85"/>
      <c r="D9" s="85"/>
      <c r="E9" s="85"/>
      <c r="F9" s="85"/>
      <c r="G9" s="85"/>
      <c r="H9" s="85"/>
      <c r="I9" s="85"/>
    </row>
    <row r="10" spans="1:9" ht="18" customHeight="1" x14ac:dyDescent="0.3">
      <c r="A10" s="1" t="s">
        <v>9</v>
      </c>
      <c r="B10" s="85" t="s">
        <v>10</v>
      </c>
      <c r="C10" s="85"/>
      <c r="D10" s="85"/>
      <c r="E10" s="85"/>
      <c r="F10" s="85"/>
      <c r="G10" s="85"/>
      <c r="H10" s="85"/>
      <c r="I10" s="85"/>
    </row>
    <row r="12" spans="1:9" ht="21.75" customHeight="1" x14ac:dyDescent="0.3">
      <c r="A12" s="80" t="s">
        <v>11</v>
      </c>
      <c r="B12" s="80"/>
      <c r="C12" s="80"/>
      <c r="D12" s="80"/>
      <c r="E12" s="80"/>
      <c r="F12" s="80"/>
      <c r="G12" s="80"/>
      <c r="H12" s="80"/>
      <c r="I12" s="80"/>
    </row>
    <row r="13" spans="1:9" x14ac:dyDescent="0.3">
      <c r="A13" s="2" t="s">
        <v>12</v>
      </c>
      <c r="B13" s="2" t="s">
        <v>56</v>
      </c>
      <c r="C13" s="2" t="s">
        <v>57</v>
      </c>
      <c r="D13" s="2" t="s">
        <v>14</v>
      </c>
      <c r="E13" s="2" t="s">
        <v>15</v>
      </c>
    </row>
    <row r="14" spans="1:9" ht="25.8" customHeight="1" x14ac:dyDescent="0.3">
      <c r="A14" s="3" t="s">
        <v>58</v>
      </c>
      <c r="B14" s="8">
        <v>2691054.14</v>
      </c>
      <c r="C14" s="4" t="s">
        <v>16</v>
      </c>
      <c r="D14" s="4" t="s">
        <v>16</v>
      </c>
      <c r="E14" s="4" t="s">
        <v>16</v>
      </c>
    </row>
    <row r="15" spans="1:9" ht="25.8" customHeight="1" x14ac:dyDescent="0.3">
      <c r="A15" s="3" t="s">
        <v>59</v>
      </c>
      <c r="B15" s="8">
        <v>2735162.48</v>
      </c>
      <c r="C15" s="4" t="s">
        <v>16</v>
      </c>
      <c r="D15" s="4" t="s">
        <v>16</v>
      </c>
      <c r="E15" s="4" t="s">
        <v>16</v>
      </c>
    </row>
    <row r="16" spans="1:9" ht="25.8" customHeight="1" x14ac:dyDescent="0.3">
      <c r="A16" s="3" t="s">
        <v>60</v>
      </c>
      <c r="B16" s="8">
        <v>5426216.6200000001</v>
      </c>
      <c r="C16" s="6">
        <v>2800000</v>
      </c>
      <c r="D16" s="4" t="s">
        <v>61</v>
      </c>
      <c r="E16" s="11" t="s">
        <v>62</v>
      </c>
    </row>
    <row r="17" spans="1:9" ht="25.8" customHeight="1" x14ac:dyDescent="0.3">
      <c r="A17" s="3" t="s">
        <v>63</v>
      </c>
      <c r="B17" s="8">
        <v>0</v>
      </c>
      <c r="C17" s="4" t="s">
        <v>16</v>
      </c>
      <c r="D17" s="4" t="s">
        <v>16</v>
      </c>
      <c r="E17" s="4" t="s">
        <v>16</v>
      </c>
    </row>
    <row r="18" spans="1:9" ht="25.8" customHeight="1" x14ac:dyDescent="0.3">
      <c r="A18" s="3" t="s">
        <v>64</v>
      </c>
      <c r="B18" s="8">
        <v>647109.29</v>
      </c>
      <c r="C18" s="4" t="s">
        <v>16</v>
      </c>
      <c r="D18" s="4" t="s">
        <v>16</v>
      </c>
      <c r="E18" s="4" t="s">
        <v>16</v>
      </c>
    </row>
    <row r="19" spans="1:9" ht="25.8" customHeight="1" x14ac:dyDescent="0.3">
      <c r="A19" s="3" t="s">
        <v>65</v>
      </c>
      <c r="B19" s="8">
        <v>8</v>
      </c>
      <c r="C19" s="4" t="s">
        <v>16</v>
      </c>
      <c r="D19" s="4" t="s">
        <v>16</v>
      </c>
      <c r="E19" s="4" t="s">
        <v>16</v>
      </c>
    </row>
    <row r="21" spans="1:9" ht="15" customHeight="1" x14ac:dyDescent="0.3">
      <c r="A21" s="87" t="s">
        <v>66</v>
      </c>
      <c r="B21" s="87"/>
      <c r="C21" s="87"/>
      <c r="D21" s="87"/>
      <c r="E21" s="87"/>
      <c r="F21" s="87"/>
      <c r="G21" s="87"/>
      <c r="H21" s="87"/>
      <c r="I21" s="87"/>
    </row>
    <row r="22" spans="1:9" x14ac:dyDescent="0.3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67</v>
      </c>
      <c r="F22" s="2" t="s">
        <v>68</v>
      </c>
      <c r="G22" s="2" t="s">
        <v>69</v>
      </c>
      <c r="H22" s="2" t="s">
        <v>33</v>
      </c>
      <c r="I22" s="2" t="s">
        <v>34</v>
      </c>
    </row>
    <row r="23" spans="1:9" ht="15.75" customHeight="1" x14ac:dyDescent="0.3">
      <c r="A23" s="7" t="s">
        <v>70</v>
      </c>
      <c r="B23" s="7" t="s">
        <v>71</v>
      </c>
      <c r="C23" s="7" t="s">
        <v>72</v>
      </c>
      <c r="D23" s="8">
        <v>9500000</v>
      </c>
      <c r="E23" s="8">
        <v>2270743</v>
      </c>
      <c r="F23" s="8">
        <v>2475725</v>
      </c>
      <c r="G23" s="12">
        <v>4746468</v>
      </c>
      <c r="H23" s="10">
        <v>0.18</v>
      </c>
      <c r="I23" s="4">
        <v>5</v>
      </c>
    </row>
    <row r="24" spans="1:9" ht="15.75" customHeight="1" x14ac:dyDescent="0.3">
      <c r="A24" s="7" t="s">
        <v>73</v>
      </c>
      <c r="B24" s="7" t="s">
        <v>74</v>
      </c>
      <c r="C24" s="7" t="s">
        <v>75</v>
      </c>
      <c r="D24" s="8">
        <v>718498.3</v>
      </c>
      <c r="E24" s="8">
        <v>99839.6</v>
      </c>
      <c r="F24" s="8">
        <v>26235.1</v>
      </c>
      <c r="G24" s="12">
        <v>126074.7</v>
      </c>
      <c r="H24" s="10">
        <v>0.19</v>
      </c>
      <c r="I24" s="4">
        <v>1</v>
      </c>
    </row>
    <row r="25" spans="1:9" ht="15.75" customHeight="1" x14ac:dyDescent="0.3">
      <c r="A25" s="7" t="s">
        <v>76</v>
      </c>
      <c r="B25" s="7" t="s">
        <v>71</v>
      </c>
      <c r="C25" s="7" t="s">
        <v>77</v>
      </c>
      <c r="D25" s="8">
        <v>552380.14</v>
      </c>
      <c r="E25" s="8">
        <v>115433.94</v>
      </c>
      <c r="F25" s="8">
        <v>50836.31</v>
      </c>
      <c r="G25" s="12">
        <v>166270.25</v>
      </c>
      <c r="H25" s="10">
        <v>0.15</v>
      </c>
      <c r="I25" s="4">
        <v>1</v>
      </c>
    </row>
    <row r="26" spans="1:9" ht="15.75" customHeight="1" x14ac:dyDescent="0.3">
      <c r="A26" s="7" t="s">
        <v>78</v>
      </c>
      <c r="B26" s="7" t="s">
        <v>79</v>
      </c>
      <c r="C26" s="7" t="s">
        <v>80</v>
      </c>
      <c r="D26" s="8">
        <v>379901.83</v>
      </c>
      <c r="E26" s="8">
        <v>105147.61</v>
      </c>
      <c r="F26" s="8">
        <v>84519.33</v>
      </c>
      <c r="G26" s="12">
        <v>189666.94</v>
      </c>
      <c r="H26" s="10">
        <v>0.18</v>
      </c>
      <c r="I26" s="4">
        <v>5</v>
      </c>
    </row>
    <row r="27" spans="1:9" ht="15.75" customHeight="1" x14ac:dyDescent="0.3">
      <c r="A27" s="7" t="s">
        <v>81</v>
      </c>
      <c r="B27" s="7" t="s">
        <v>82</v>
      </c>
      <c r="C27" s="7" t="s">
        <v>83</v>
      </c>
      <c r="D27" s="8">
        <v>110710</v>
      </c>
      <c r="E27" s="8">
        <v>10710</v>
      </c>
      <c r="F27" s="8">
        <v>0</v>
      </c>
      <c r="G27" s="12">
        <v>10710</v>
      </c>
      <c r="H27" s="10">
        <v>0.14000000000000001</v>
      </c>
      <c r="I27" s="4">
        <v>3</v>
      </c>
    </row>
    <row r="28" spans="1:9" ht="15.75" customHeight="1" x14ac:dyDescent="0.3">
      <c r="A28" s="7" t="s">
        <v>84</v>
      </c>
      <c r="B28" s="7" t="s">
        <v>85</v>
      </c>
      <c r="C28" s="7" t="s">
        <v>86</v>
      </c>
      <c r="D28" s="8">
        <v>97846.74</v>
      </c>
      <c r="E28" s="8">
        <v>0</v>
      </c>
      <c r="F28" s="8">
        <v>97846.74</v>
      </c>
      <c r="G28" s="12">
        <v>97846.74</v>
      </c>
      <c r="H28" s="10">
        <v>0.15</v>
      </c>
      <c r="I28" s="4">
        <v>2</v>
      </c>
    </row>
    <row r="29" spans="1:9" ht="15.75" customHeight="1" x14ac:dyDescent="0.3">
      <c r="A29" s="7" t="s">
        <v>87</v>
      </c>
      <c r="B29" s="7" t="s">
        <v>71</v>
      </c>
      <c r="C29" s="7" t="s">
        <v>77</v>
      </c>
      <c r="D29" s="8">
        <v>50864.99</v>
      </c>
      <c r="E29" s="8">
        <v>50864.99</v>
      </c>
      <c r="F29" s="8">
        <v>0</v>
      </c>
      <c r="G29" s="12">
        <v>50864.99</v>
      </c>
      <c r="H29" s="10">
        <v>0.15</v>
      </c>
      <c r="I29" s="4">
        <v>1</v>
      </c>
    </row>
    <row r="30" spans="1:9" ht="15.75" customHeight="1" x14ac:dyDescent="0.3">
      <c r="A30" s="7" t="s">
        <v>88</v>
      </c>
      <c r="B30" s="7" t="s">
        <v>71</v>
      </c>
      <c r="C30" s="7" t="s">
        <v>89</v>
      </c>
      <c r="D30" s="8">
        <v>38315</v>
      </c>
      <c r="E30" s="8">
        <v>38315</v>
      </c>
      <c r="F30" s="8">
        <v>0</v>
      </c>
      <c r="G30" s="12">
        <v>38315</v>
      </c>
      <c r="H30" s="10">
        <v>0.15</v>
      </c>
      <c r="I30" s="4">
        <v>1</v>
      </c>
    </row>
    <row r="32" spans="1:9" ht="15" customHeight="1" x14ac:dyDescent="0.3">
      <c r="A32" s="88" t="s">
        <v>90</v>
      </c>
      <c r="B32" s="88"/>
      <c r="C32" s="88"/>
      <c r="D32" s="88"/>
      <c r="E32" s="88"/>
      <c r="F32" s="88"/>
      <c r="G32" s="88"/>
      <c r="H32" s="88"/>
      <c r="I32" s="88"/>
    </row>
    <row r="33" spans="1:13" x14ac:dyDescent="0.3">
      <c r="A33" s="2" t="s">
        <v>18</v>
      </c>
      <c r="B33" s="2" t="s">
        <v>19</v>
      </c>
      <c r="C33" s="2" t="s">
        <v>20</v>
      </c>
      <c r="D33" s="2" t="s">
        <v>21</v>
      </c>
      <c r="E33" s="2" t="s">
        <v>67</v>
      </c>
      <c r="F33" s="2" t="s">
        <v>68</v>
      </c>
      <c r="G33" s="2" t="s">
        <v>15</v>
      </c>
      <c r="H33" s="2" t="s">
        <v>22</v>
      </c>
      <c r="I33" s="2" t="s">
        <v>23</v>
      </c>
    </row>
    <row r="34" spans="1:13" ht="33.6" customHeight="1" x14ac:dyDescent="0.3">
      <c r="A34" s="7" t="s">
        <v>44</v>
      </c>
      <c r="B34" s="7" t="s">
        <v>45</v>
      </c>
      <c r="C34" s="7" t="s">
        <v>46</v>
      </c>
      <c r="D34" s="8">
        <v>567000</v>
      </c>
      <c r="E34" s="8">
        <v>0</v>
      </c>
      <c r="F34" s="8">
        <v>29663</v>
      </c>
      <c r="G34" s="7" t="s">
        <v>100</v>
      </c>
      <c r="H34" s="9">
        <v>0.6</v>
      </c>
      <c r="I34" s="7" t="s">
        <v>25</v>
      </c>
    </row>
    <row r="36" spans="1:13" ht="54" x14ac:dyDescent="0.3">
      <c r="A36" s="44" t="s">
        <v>42</v>
      </c>
      <c r="B36" s="45" t="s">
        <v>117</v>
      </c>
      <c r="C36" s="46">
        <v>3000000</v>
      </c>
      <c r="D36" s="52" t="s">
        <v>149</v>
      </c>
      <c r="E36" s="48" t="s">
        <v>141</v>
      </c>
      <c r="F36" s="75" t="s">
        <v>179</v>
      </c>
      <c r="G36" s="48" t="s">
        <v>160</v>
      </c>
      <c r="H36" s="76" t="s">
        <v>106</v>
      </c>
      <c r="I36" s="77" t="s">
        <v>159</v>
      </c>
      <c r="J36" s="45">
        <v>60</v>
      </c>
      <c r="K36" s="45">
        <v>10</v>
      </c>
      <c r="L36" s="48">
        <v>7</v>
      </c>
      <c r="M36" s="78">
        <v>2026</v>
      </c>
    </row>
  </sheetData>
  <mergeCells count="12">
    <mergeCell ref="A21:I21"/>
    <mergeCell ref="A32:I32"/>
    <mergeCell ref="B7:I7"/>
    <mergeCell ref="B8:I8"/>
    <mergeCell ref="B9:I9"/>
    <mergeCell ref="B10:I10"/>
    <mergeCell ref="A12:I12"/>
    <mergeCell ref="A1:I1"/>
    <mergeCell ref="A3:I3"/>
    <mergeCell ref="B4:I4"/>
    <mergeCell ref="B5:I5"/>
    <mergeCell ref="B6:I6"/>
  </mergeCells>
  <dataValidations count="2">
    <dataValidation type="list" allowBlank="1" showErrorMessage="1" sqref="I36" xr:uid="{1D3A478F-344B-4E54-B296-768D75F24C9F}">
      <formula1>"Paolo Villa,Manuel Henriquez,Sebastian Flores,Jose Perez,Jhon Rojas,Jesus,Elver Leon,Hugo,Arquitectura,Pablo Y"</formula1>
    </dataValidation>
    <dataValidation type="list" allowBlank="1" showErrorMessage="1" sqref="D36" xr:uid="{7C45FF86-D851-4A7C-8367-9E3C21F8153B}">
      <formula1>"Negociación,En análisis del cliente,En proceso de cotización,Vendido,Perdido,Postpuesto,Prospecto,Cancelado"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opLeftCell="A27" zoomScaleNormal="100" workbookViewId="0">
      <selection activeCell="D23" sqref="D23:D24"/>
    </sheetView>
  </sheetViews>
  <sheetFormatPr baseColWidth="10" defaultColWidth="8.6640625" defaultRowHeight="28.2" customHeight="1" x14ac:dyDescent="0.3"/>
  <cols>
    <col min="1" max="1" width="28" style="38" customWidth="1"/>
    <col min="2" max="2" width="42" style="21" customWidth="1"/>
    <col min="3" max="3" width="19.109375" style="28" customWidth="1"/>
    <col min="4" max="4" width="21.33203125" style="29" customWidth="1"/>
    <col min="5" max="5" width="15.77734375" style="21" customWidth="1"/>
  </cols>
  <sheetData>
    <row r="1" spans="1:7" ht="28.2" customHeight="1" x14ac:dyDescent="0.3">
      <c r="A1" s="79" t="s">
        <v>129</v>
      </c>
      <c r="B1" s="79"/>
      <c r="C1" s="79"/>
      <c r="D1" s="79"/>
      <c r="E1" s="79"/>
    </row>
    <row r="3" spans="1:7" ht="28.2" customHeight="1" x14ac:dyDescent="0.3">
      <c r="A3" s="86"/>
      <c r="B3" s="86"/>
      <c r="C3" s="86"/>
      <c r="D3" s="86"/>
      <c r="E3" s="86"/>
    </row>
    <row r="4" spans="1:7" ht="28.2" customHeight="1" x14ac:dyDescent="0.3">
      <c r="A4" s="85" t="s">
        <v>29</v>
      </c>
      <c r="B4" s="85"/>
      <c r="C4" s="85"/>
      <c r="D4" s="85"/>
      <c r="E4" s="85"/>
    </row>
    <row r="5" spans="1:7" ht="28.2" customHeight="1" x14ac:dyDescent="0.3">
      <c r="A5" s="85" t="s">
        <v>30</v>
      </c>
      <c r="B5" s="85"/>
      <c r="C5" s="85"/>
      <c r="D5" s="85"/>
      <c r="E5" s="85"/>
    </row>
    <row r="6" spans="1:7" ht="28.2" customHeight="1" x14ac:dyDescent="0.3">
      <c r="A6" s="85" t="s">
        <v>31</v>
      </c>
      <c r="B6" s="85"/>
      <c r="C6" s="85"/>
      <c r="D6" s="85"/>
      <c r="E6" s="85"/>
    </row>
    <row r="7" spans="1:7" ht="28.2" customHeight="1" x14ac:dyDescent="0.3">
      <c r="A7" s="85" t="s">
        <v>32</v>
      </c>
      <c r="B7" s="85"/>
      <c r="C7" s="85"/>
      <c r="D7" s="85"/>
      <c r="E7" s="85"/>
    </row>
    <row r="9" spans="1:7" ht="28.2" customHeight="1" x14ac:dyDescent="0.3">
      <c r="A9" s="89" t="s">
        <v>114</v>
      </c>
      <c r="B9" s="90"/>
      <c r="C9" s="90"/>
      <c r="D9" s="90"/>
      <c r="E9" s="91"/>
    </row>
    <row r="10" spans="1:7" ht="28.2" customHeight="1" x14ac:dyDescent="0.3">
      <c r="A10" s="37" t="s">
        <v>19</v>
      </c>
      <c r="B10" s="22" t="s">
        <v>20</v>
      </c>
      <c r="C10" s="25" t="s">
        <v>21</v>
      </c>
      <c r="D10" s="15" t="s">
        <v>33</v>
      </c>
      <c r="E10" s="22" t="s">
        <v>135</v>
      </c>
    </row>
    <row r="11" spans="1:7" ht="28.2" customHeight="1" x14ac:dyDescent="0.3">
      <c r="A11" s="19" t="s">
        <v>36</v>
      </c>
      <c r="B11" s="17" t="s">
        <v>37</v>
      </c>
      <c r="C11" s="26">
        <v>203678.39</v>
      </c>
      <c r="D11" s="16">
        <v>0.21299999999999999</v>
      </c>
      <c r="E11" s="17" t="s">
        <v>40</v>
      </c>
    </row>
    <row r="12" spans="1:7" ht="28.2" customHeight="1" x14ac:dyDescent="0.3">
      <c r="A12" s="20" t="s">
        <v>38</v>
      </c>
      <c r="B12" s="17" t="s">
        <v>39</v>
      </c>
      <c r="C12" s="26">
        <v>25500</v>
      </c>
      <c r="D12" s="16">
        <v>0.23</v>
      </c>
      <c r="E12" s="17" t="s">
        <v>40</v>
      </c>
    </row>
    <row r="13" spans="1:7" ht="28.2" customHeight="1" x14ac:dyDescent="0.3">
      <c r="A13" s="20" t="s">
        <v>38</v>
      </c>
      <c r="B13" s="17" t="s">
        <v>41</v>
      </c>
      <c r="C13" s="26">
        <v>17083.21</v>
      </c>
      <c r="D13" s="16">
        <v>0.13</v>
      </c>
      <c r="E13" s="17" t="s">
        <v>40</v>
      </c>
    </row>
    <row r="15" spans="1:7" ht="28.2" customHeight="1" x14ac:dyDescent="0.3">
      <c r="A15" s="92" t="s">
        <v>113</v>
      </c>
      <c r="B15" s="93"/>
      <c r="C15" s="93"/>
      <c r="D15" s="93"/>
      <c r="E15" s="93"/>
      <c r="F15" s="93"/>
      <c r="G15" s="93"/>
    </row>
    <row r="16" spans="1:7" ht="28.2" customHeight="1" x14ac:dyDescent="0.3">
      <c r="A16" s="54" t="s">
        <v>19</v>
      </c>
      <c r="B16" s="54" t="s">
        <v>156</v>
      </c>
      <c r="C16" s="55" t="s">
        <v>154</v>
      </c>
      <c r="D16" s="54" t="s">
        <v>155</v>
      </c>
      <c r="E16" s="54" t="s">
        <v>157</v>
      </c>
      <c r="F16" s="56" t="s">
        <v>93</v>
      </c>
      <c r="G16" s="56" t="s">
        <v>35</v>
      </c>
    </row>
    <row r="17" spans="1:7" ht="28.2" customHeight="1" x14ac:dyDescent="0.3">
      <c r="A17" s="57" t="s">
        <v>138</v>
      </c>
      <c r="B17" s="59" t="s">
        <v>139</v>
      </c>
      <c r="C17" s="58">
        <v>3500000</v>
      </c>
      <c r="D17" s="60" t="s">
        <v>158</v>
      </c>
      <c r="E17" s="61" t="s">
        <v>140</v>
      </c>
      <c r="F17" s="62" t="s">
        <v>142</v>
      </c>
      <c r="G17" s="62" t="s">
        <v>141</v>
      </c>
    </row>
    <row r="18" spans="1:7" ht="28.2" customHeight="1" x14ac:dyDescent="0.3">
      <c r="A18" s="59" t="s">
        <v>42</v>
      </c>
      <c r="B18" s="63" t="s">
        <v>117</v>
      </c>
      <c r="C18" s="58">
        <v>3000000</v>
      </c>
      <c r="D18" s="59" t="s">
        <v>158</v>
      </c>
      <c r="E18" s="64" t="s">
        <v>149</v>
      </c>
      <c r="F18" s="62" t="s">
        <v>160</v>
      </c>
      <c r="G18" s="62" t="s">
        <v>141</v>
      </c>
    </row>
    <row r="19" spans="1:7" ht="28.2" customHeight="1" x14ac:dyDescent="0.3">
      <c r="A19" s="59" t="s">
        <v>161</v>
      </c>
      <c r="B19" s="63" t="s">
        <v>162</v>
      </c>
      <c r="C19" s="58">
        <v>1950000</v>
      </c>
      <c r="D19" s="59" t="s">
        <v>158</v>
      </c>
      <c r="E19" s="65" t="s">
        <v>28</v>
      </c>
      <c r="F19" s="62" t="s">
        <v>163</v>
      </c>
      <c r="G19" s="62" t="s">
        <v>141</v>
      </c>
    </row>
    <row r="20" spans="1:7" ht="28.2" customHeight="1" x14ac:dyDescent="0.3">
      <c r="A20" s="59" t="s">
        <v>101</v>
      </c>
      <c r="B20" s="63" t="s">
        <v>102</v>
      </c>
      <c r="C20" s="58">
        <v>1572931.74</v>
      </c>
      <c r="D20" s="59" t="s">
        <v>158</v>
      </c>
      <c r="E20" s="66" t="s">
        <v>43</v>
      </c>
      <c r="F20" s="67" t="s">
        <v>164</v>
      </c>
      <c r="G20" s="62" t="s">
        <v>141</v>
      </c>
    </row>
    <row r="21" spans="1:7" ht="28.2" customHeight="1" x14ac:dyDescent="0.3">
      <c r="A21" s="59" t="s">
        <v>107</v>
      </c>
      <c r="B21" s="63" t="s">
        <v>165</v>
      </c>
      <c r="C21" s="58">
        <v>1100000</v>
      </c>
      <c r="D21" s="59" t="s">
        <v>158</v>
      </c>
      <c r="E21" s="65" t="s">
        <v>28</v>
      </c>
      <c r="F21" s="67" t="s">
        <v>164</v>
      </c>
      <c r="G21" s="62" t="s">
        <v>141</v>
      </c>
    </row>
    <row r="22" spans="1:7" ht="28.2" customHeight="1" x14ac:dyDescent="0.3">
      <c r="A22" s="59" t="s">
        <v>26</v>
      </c>
      <c r="B22" s="63" t="s">
        <v>27</v>
      </c>
      <c r="C22" s="58">
        <v>1004484</v>
      </c>
      <c r="D22" s="59" t="s">
        <v>158</v>
      </c>
      <c r="E22" s="65" t="s">
        <v>28</v>
      </c>
      <c r="F22" s="68" t="s">
        <v>142</v>
      </c>
      <c r="G22" s="62" t="s">
        <v>145</v>
      </c>
    </row>
    <row r="23" spans="1:7" ht="28.2" customHeight="1" x14ac:dyDescent="0.3">
      <c r="A23" s="59" t="s">
        <v>108</v>
      </c>
      <c r="B23" s="63" t="s">
        <v>116</v>
      </c>
      <c r="C23" s="58">
        <v>1000000</v>
      </c>
      <c r="D23" s="59" t="s">
        <v>158</v>
      </c>
      <c r="E23" s="64" t="s">
        <v>149</v>
      </c>
      <c r="F23" s="62" t="s">
        <v>163</v>
      </c>
      <c r="G23" s="62" t="s">
        <v>145</v>
      </c>
    </row>
    <row r="24" spans="1:7" ht="28.2" customHeight="1" x14ac:dyDescent="0.3">
      <c r="A24" s="59" t="s">
        <v>166</v>
      </c>
      <c r="B24" s="59" t="s">
        <v>167</v>
      </c>
      <c r="C24" s="58">
        <v>840000</v>
      </c>
      <c r="D24" s="59" t="s">
        <v>158</v>
      </c>
      <c r="E24" s="61" t="s">
        <v>140</v>
      </c>
      <c r="F24" s="67" t="s">
        <v>164</v>
      </c>
      <c r="G24" s="62" t="s">
        <v>145</v>
      </c>
    </row>
    <row r="25" spans="1:7" ht="28.2" customHeight="1" x14ac:dyDescent="0.3">
      <c r="A25" s="59" t="s">
        <v>148</v>
      </c>
      <c r="B25" s="63" t="s">
        <v>104</v>
      </c>
      <c r="C25" s="58">
        <v>824838</v>
      </c>
      <c r="D25" s="59" t="s">
        <v>158</v>
      </c>
      <c r="E25" s="64" t="s">
        <v>149</v>
      </c>
      <c r="F25" s="62" t="s">
        <v>142</v>
      </c>
      <c r="G25" s="62" t="s">
        <v>141</v>
      </c>
    </row>
    <row r="26" spans="1:7" ht="28.2" customHeight="1" x14ac:dyDescent="0.3">
      <c r="A26" s="59" t="s">
        <v>168</v>
      </c>
      <c r="B26" s="63" t="s">
        <v>103</v>
      </c>
      <c r="C26" s="58">
        <v>620035.83999999997</v>
      </c>
      <c r="D26" s="59" t="s">
        <v>158</v>
      </c>
      <c r="E26" s="61" t="s">
        <v>140</v>
      </c>
      <c r="F26" s="67" t="s">
        <v>164</v>
      </c>
      <c r="G26" s="62" t="s">
        <v>141</v>
      </c>
    </row>
    <row r="27" spans="1:7" ht="28.2" customHeight="1" x14ac:dyDescent="0.3">
      <c r="A27" s="59" t="s">
        <v>105</v>
      </c>
      <c r="B27" s="63" t="s">
        <v>169</v>
      </c>
      <c r="C27" s="58">
        <v>274409.84999999998</v>
      </c>
      <c r="D27" s="59" t="s">
        <v>158</v>
      </c>
      <c r="E27" s="64" t="s">
        <v>149</v>
      </c>
      <c r="F27" s="62" t="s">
        <v>164</v>
      </c>
      <c r="G27" s="62" t="s">
        <v>141</v>
      </c>
    </row>
    <row r="28" spans="1:7" ht="28.2" customHeight="1" x14ac:dyDescent="0.3">
      <c r="A28" s="59" t="s">
        <v>112</v>
      </c>
      <c r="B28" s="63" t="s">
        <v>170</v>
      </c>
      <c r="C28" s="58">
        <v>250000</v>
      </c>
      <c r="D28" s="59" t="s">
        <v>158</v>
      </c>
      <c r="E28" s="65" t="s">
        <v>28</v>
      </c>
      <c r="F28" s="68" t="s">
        <v>164</v>
      </c>
      <c r="G28" s="62" t="s">
        <v>141</v>
      </c>
    </row>
    <row r="29" spans="1:7" ht="28.2" customHeight="1" x14ac:dyDescent="0.3">
      <c r="A29" s="59" t="s">
        <v>148</v>
      </c>
      <c r="B29" s="63" t="s">
        <v>150</v>
      </c>
      <c r="C29" s="58">
        <v>167000</v>
      </c>
      <c r="D29" s="59" t="s">
        <v>158</v>
      </c>
      <c r="E29" s="66" t="s">
        <v>43</v>
      </c>
      <c r="F29" s="62" t="s">
        <v>142</v>
      </c>
      <c r="G29" s="62" t="s">
        <v>141</v>
      </c>
    </row>
    <row r="30" spans="1:7" ht="28.2" customHeight="1" x14ac:dyDescent="0.3">
      <c r="A30" s="59" t="s">
        <v>101</v>
      </c>
      <c r="B30" s="63" t="s">
        <v>172</v>
      </c>
      <c r="C30" s="58">
        <v>150000</v>
      </c>
      <c r="D30" s="59" t="s">
        <v>158</v>
      </c>
      <c r="E30" s="64" t="s">
        <v>149</v>
      </c>
      <c r="F30" s="68" t="s">
        <v>164</v>
      </c>
      <c r="G30" s="62" t="s">
        <v>141</v>
      </c>
    </row>
    <row r="31" spans="1:7" ht="28.2" customHeight="1" x14ac:dyDescent="0.3">
      <c r="A31" s="59" t="s">
        <v>110</v>
      </c>
      <c r="B31" s="63" t="s">
        <v>111</v>
      </c>
      <c r="C31" s="58">
        <v>128992.98</v>
      </c>
      <c r="D31" s="59" t="s">
        <v>158</v>
      </c>
      <c r="E31" s="61" t="s">
        <v>140</v>
      </c>
      <c r="F31" s="68" t="s">
        <v>164</v>
      </c>
      <c r="G31" s="62" t="s">
        <v>141</v>
      </c>
    </row>
    <row r="32" spans="1:7" ht="28.2" customHeight="1" x14ac:dyDescent="0.3">
      <c r="A32" s="59" t="s">
        <v>171</v>
      </c>
      <c r="B32" s="63" t="s">
        <v>153</v>
      </c>
      <c r="C32" s="58">
        <v>120000</v>
      </c>
      <c r="D32" s="59" t="s">
        <v>158</v>
      </c>
      <c r="E32" s="61" t="s">
        <v>140</v>
      </c>
      <c r="F32" s="68" t="s">
        <v>163</v>
      </c>
      <c r="G32" s="62" t="s">
        <v>145</v>
      </c>
    </row>
    <row r="33" spans="1:7" ht="28.2" customHeight="1" x14ac:dyDescent="0.3">
      <c r="A33" s="59" t="s">
        <v>173</v>
      </c>
      <c r="B33" s="63" t="s">
        <v>174</v>
      </c>
      <c r="C33" s="58">
        <v>100000</v>
      </c>
      <c r="D33" s="59" t="s">
        <v>158</v>
      </c>
      <c r="E33" s="64" t="s">
        <v>149</v>
      </c>
      <c r="F33" s="68" t="s">
        <v>164</v>
      </c>
      <c r="G33" s="62" t="s">
        <v>141</v>
      </c>
    </row>
    <row r="34" spans="1:7" ht="28.2" customHeight="1" x14ac:dyDescent="0.3">
      <c r="A34" s="69" t="s">
        <v>109</v>
      </c>
      <c r="B34" s="71" t="s">
        <v>175</v>
      </c>
      <c r="C34" s="70">
        <v>35000</v>
      </c>
      <c r="D34" s="69" t="s">
        <v>158</v>
      </c>
      <c r="E34" s="72" t="s">
        <v>28</v>
      </c>
      <c r="F34" s="62" t="s">
        <v>176</v>
      </c>
      <c r="G34" s="62" t="s">
        <v>141</v>
      </c>
    </row>
    <row r="35" spans="1:7" ht="28.2" customHeight="1" x14ac:dyDescent="0.3">
      <c r="A35" s="69" t="s">
        <v>112</v>
      </c>
      <c r="B35" s="71" t="s">
        <v>177</v>
      </c>
      <c r="C35" s="70">
        <v>30600</v>
      </c>
      <c r="D35" s="69" t="s">
        <v>158</v>
      </c>
      <c r="E35" s="73" t="s">
        <v>43</v>
      </c>
      <c r="F35" s="74" t="s">
        <v>178</v>
      </c>
      <c r="G35" s="62" t="s">
        <v>141</v>
      </c>
    </row>
  </sheetData>
  <mergeCells count="8">
    <mergeCell ref="A15:G15"/>
    <mergeCell ref="A7:E7"/>
    <mergeCell ref="A9:E9"/>
    <mergeCell ref="A1:E1"/>
    <mergeCell ref="A3:E3"/>
    <mergeCell ref="A4:E4"/>
    <mergeCell ref="A5:E5"/>
    <mergeCell ref="A6:E6"/>
  </mergeCells>
  <dataValidations count="1">
    <dataValidation type="list" allowBlank="1" showErrorMessage="1" sqref="E17:E35" xr:uid="{2EF9A1E0-747A-43D2-B879-3D0774406198}">
      <formula1>"Negociación,En análisis del cliente,En proceso de cotización,Vendido,Perdido,Postpuesto,Prospecto,Cancelado"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B429-66F3-4A13-8F28-F6C8CAE1AD52}">
  <dimension ref="A1:K20"/>
  <sheetViews>
    <sheetView tabSelected="1" zoomScale="118" workbookViewId="0">
      <selection activeCell="C21" sqref="C21"/>
    </sheetView>
  </sheetViews>
  <sheetFormatPr baseColWidth="10" defaultRowHeight="14.4" x14ac:dyDescent="0.3"/>
  <cols>
    <col min="1" max="1" width="20.44140625" customWidth="1"/>
    <col min="2" max="2" width="30.33203125" customWidth="1"/>
  </cols>
  <sheetData>
    <row r="1" spans="1:11" ht="16.8" x14ac:dyDescent="0.3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18"/>
      <c r="K1" s="18"/>
    </row>
    <row r="2" spans="1:11" x14ac:dyDescent="0.3">
      <c r="A2" s="18"/>
      <c r="B2" s="18"/>
      <c r="C2" s="30"/>
      <c r="D2" s="18"/>
      <c r="E2" s="18"/>
      <c r="F2" s="18"/>
      <c r="G2" s="18"/>
      <c r="H2" s="18"/>
      <c r="I2" s="18"/>
      <c r="J2" s="18"/>
      <c r="K2" s="18"/>
    </row>
    <row r="3" spans="1:11" x14ac:dyDescent="0.3">
      <c r="A3" s="18"/>
      <c r="B3" s="18"/>
      <c r="C3" s="30"/>
      <c r="D3" s="18"/>
      <c r="E3" s="18"/>
      <c r="F3" s="18"/>
      <c r="G3" s="18"/>
      <c r="H3" s="18"/>
      <c r="I3" s="18"/>
      <c r="J3" s="18"/>
      <c r="K3" s="18"/>
    </row>
    <row r="4" spans="1:11" x14ac:dyDescent="0.3">
      <c r="A4" s="80" t="s">
        <v>11</v>
      </c>
      <c r="B4" s="81"/>
      <c r="C4" s="81"/>
      <c r="D4" s="81"/>
      <c r="E4" s="81"/>
      <c r="F4" s="81"/>
      <c r="G4" s="81"/>
      <c r="H4" s="81"/>
      <c r="I4" s="81"/>
      <c r="J4" s="18"/>
      <c r="K4" s="18"/>
    </row>
    <row r="5" spans="1:11" x14ac:dyDescent="0.3">
      <c r="A5" s="2" t="s">
        <v>12</v>
      </c>
      <c r="B5" s="2" t="s">
        <v>13</v>
      </c>
      <c r="C5" s="31" t="s">
        <v>6</v>
      </c>
      <c r="D5" s="2"/>
      <c r="E5" s="2"/>
      <c r="F5" s="18"/>
      <c r="G5" s="18"/>
      <c r="H5" s="18"/>
      <c r="I5" s="18"/>
      <c r="J5" s="18"/>
      <c r="K5" s="18"/>
    </row>
    <row r="6" spans="1:11" ht="26.4" x14ac:dyDescent="0.3">
      <c r="A6" s="32" t="s">
        <v>92</v>
      </c>
      <c r="B6" s="6">
        <f>C14</f>
        <v>330083.68</v>
      </c>
      <c r="C6" s="24">
        <v>250000</v>
      </c>
      <c r="D6" s="13"/>
      <c r="E6" s="5"/>
      <c r="F6" s="18"/>
      <c r="G6" s="18"/>
      <c r="H6" s="18"/>
      <c r="I6" s="18"/>
      <c r="J6" s="18"/>
      <c r="K6" s="18"/>
    </row>
    <row r="7" spans="1:11" x14ac:dyDescent="0.3">
      <c r="A7" s="18"/>
      <c r="B7" s="18"/>
      <c r="C7" s="30"/>
      <c r="D7" s="18"/>
      <c r="E7" s="18"/>
      <c r="F7" s="18"/>
      <c r="G7" s="18"/>
      <c r="H7" s="18"/>
      <c r="I7" s="18"/>
      <c r="J7" s="18"/>
      <c r="K7" s="18"/>
    </row>
    <row r="8" spans="1:11" x14ac:dyDescent="0.3">
      <c r="A8" s="82" t="s">
        <v>114</v>
      </c>
      <c r="B8" s="82"/>
      <c r="C8" s="82"/>
      <c r="D8" s="82"/>
      <c r="E8" s="82"/>
      <c r="F8" s="82"/>
      <c r="G8" s="82"/>
      <c r="H8" s="82"/>
      <c r="I8" s="18"/>
      <c r="J8" s="18"/>
      <c r="K8" s="18"/>
    </row>
    <row r="9" spans="1:11" x14ac:dyDescent="0.3">
      <c r="A9" s="14" t="s">
        <v>19</v>
      </c>
      <c r="B9" s="14" t="s">
        <v>20</v>
      </c>
      <c r="C9" s="27" t="s">
        <v>21</v>
      </c>
      <c r="D9" s="14" t="s">
        <v>33</v>
      </c>
      <c r="E9" s="14" t="s">
        <v>34</v>
      </c>
      <c r="F9" s="14" t="s">
        <v>118</v>
      </c>
      <c r="G9" s="14" t="s">
        <v>93</v>
      </c>
      <c r="H9" s="14" t="s">
        <v>35</v>
      </c>
      <c r="I9" s="18"/>
      <c r="J9" s="18"/>
      <c r="K9" s="18"/>
    </row>
    <row r="10" spans="1:11" ht="39.6" x14ac:dyDescent="0.3">
      <c r="A10" s="17" t="s">
        <v>119</v>
      </c>
      <c r="B10" s="17" t="s">
        <v>120</v>
      </c>
      <c r="C10" s="26">
        <v>87009.29</v>
      </c>
      <c r="D10" s="16">
        <v>0.22</v>
      </c>
      <c r="E10" s="17" t="s">
        <v>121</v>
      </c>
      <c r="F10" s="17" t="s">
        <v>94</v>
      </c>
      <c r="G10" s="17" t="s">
        <v>95</v>
      </c>
      <c r="H10" s="17" t="s">
        <v>40</v>
      </c>
      <c r="I10" s="18"/>
      <c r="J10" s="17"/>
      <c r="K10" s="18"/>
    </row>
    <row r="11" spans="1:11" ht="26.4" x14ac:dyDescent="0.3">
      <c r="A11" s="17" t="s">
        <v>98</v>
      </c>
      <c r="B11" s="17" t="s">
        <v>122</v>
      </c>
      <c r="C11" s="26">
        <v>24240</v>
      </c>
      <c r="D11" s="16">
        <v>0.25</v>
      </c>
      <c r="E11" s="17" t="s">
        <v>121</v>
      </c>
      <c r="F11" s="17" t="s">
        <v>97</v>
      </c>
      <c r="G11" s="17" t="s">
        <v>95</v>
      </c>
      <c r="H11" s="17" t="s">
        <v>40</v>
      </c>
      <c r="I11" s="18"/>
      <c r="J11" s="18"/>
      <c r="K11" s="18"/>
    </row>
    <row r="12" spans="1:11" ht="26.4" x14ac:dyDescent="0.3">
      <c r="A12" s="17" t="s">
        <v>36</v>
      </c>
      <c r="B12" s="17" t="s">
        <v>37</v>
      </c>
      <c r="C12" s="26">
        <v>203678.39</v>
      </c>
      <c r="D12" s="16">
        <v>0.21299999999999999</v>
      </c>
      <c r="E12" s="18" t="s">
        <v>132</v>
      </c>
      <c r="F12" s="17" t="s">
        <v>94</v>
      </c>
      <c r="G12" s="17" t="s">
        <v>131</v>
      </c>
      <c r="H12" s="17" t="s">
        <v>40</v>
      </c>
      <c r="I12" s="18"/>
      <c r="J12" s="18"/>
      <c r="K12" s="18"/>
    </row>
    <row r="13" spans="1:11" ht="26.4" x14ac:dyDescent="0.3">
      <c r="A13" s="17" t="s">
        <v>96</v>
      </c>
      <c r="B13" s="17" t="s">
        <v>123</v>
      </c>
      <c r="C13" s="26">
        <v>15156</v>
      </c>
      <c r="D13" s="16">
        <v>0.27</v>
      </c>
      <c r="E13" s="17" t="s">
        <v>121</v>
      </c>
      <c r="F13" s="17" t="s">
        <v>97</v>
      </c>
      <c r="G13" s="17" t="s">
        <v>95</v>
      </c>
      <c r="H13" s="17" t="s">
        <v>40</v>
      </c>
      <c r="I13" s="18"/>
      <c r="J13" s="18"/>
      <c r="K13" s="18"/>
    </row>
    <row r="14" spans="1:11" x14ac:dyDescent="0.3">
      <c r="A14" s="23" t="s">
        <v>99</v>
      </c>
      <c r="B14" s="39" t="s">
        <v>130</v>
      </c>
      <c r="C14" s="40">
        <f>SUM(C10:C13)</f>
        <v>330083.68</v>
      </c>
      <c r="D14" s="41"/>
      <c r="E14" s="35"/>
      <c r="F14" s="35"/>
      <c r="G14" s="35"/>
      <c r="H14" s="35"/>
      <c r="I14" s="18"/>
      <c r="J14" s="18"/>
      <c r="K14" s="30"/>
    </row>
    <row r="15" spans="1:11" x14ac:dyDescent="0.3">
      <c r="A15" s="18"/>
      <c r="B15" s="18"/>
      <c r="C15" s="30"/>
      <c r="D15" s="18"/>
      <c r="E15" s="18"/>
      <c r="F15" s="18"/>
      <c r="G15" s="18"/>
      <c r="H15" s="18"/>
      <c r="I15" s="18"/>
      <c r="J15" s="18"/>
      <c r="K15" s="30"/>
    </row>
    <row r="16" spans="1:11" x14ac:dyDescent="0.3">
      <c r="A16" s="83" t="s">
        <v>152</v>
      </c>
      <c r="B16" s="84"/>
      <c r="C16" s="84"/>
      <c r="J16" s="18"/>
      <c r="K16" s="18"/>
    </row>
    <row r="17" spans="1:11" x14ac:dyDescent="0.3">
      <c r="A17" s="14" t="s">
        <v>124</v>
      </c>
      <c r="B17" s="14" t="s">
        <v>125</v>
      </c>
      <c r="C17" s="27" t="s">
        <v>21</v>
      </c>
      <c r="J17" s="18"/>
      <c r="K17" s="18"/>
    </row>
    <row r="18" spans="1:11" ht="26.4" x14ac:dyDescent="0.3">
      <c r="A18" s="33" t="s">
        <v>126</v>
      </c>
      <c r="B18" s="34" t="s">
        <v>127</v>
      </c>
      <c r="C18" s="26">
        <v>60000</v>
      </c>
      <c r="J18" s="18"/>
      <c r="K18" s="18"/>
    </row>
    <row r="19" spans="1:11" x14ac:dyDescent="0.3">
      <c r="A19" s="35" t="s">
        <v>128</v>
      </c>
      <c r="B19" s="34" t="s">
        <v>127</v>
      </c>
      <c r="C19" s="36">
        <v>22000</v>
      </c>
      <c r="J19" s="18"/>
      <c r="K19" s="18"/>
    </row>
    <row r="20" spans="1:11" ht="26.4" x14ac:dyDescent="0.3">
      <c r="A20" s="17" t="s">
        <v>119</v>
      </c>
      <c r="B20" s="34" t="s">
        <v>153</v>
      </c>
      <c r="C20" s="36">
        <v>167000</v>
      </c>
    </row>
  </sheetData>
  <mergeCells count="4">
    <mergeCell ref="A1:I1"/>
    <mergeCell ref="A4:I4"/>
    <mergeCell ref="A8:H8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Objetivo 2</vt:lpstr>
      <vt:lpstr>Objetivo 3</vt:lpstr>
      <vt:lpstr>Objetivo4</vt:lpstr>
      <vt:lpstr>Objetivo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Valeria Rodriguez Allca</cp:lastModifiedBy>
  <cp:revision>0</cp:revision>
  <dcterms:created xsi:type="dcterms:W3CDTF">2026-06-23T18:08:53Z</dcterms:created>
  <dcterms:modified xsi:type="dcterms:W3CDTF">2026-08-08T00:44:19Z</dcterms:modified>
  <dc:language>en-US</dc:language>
</cp:coreProperties>
</file>