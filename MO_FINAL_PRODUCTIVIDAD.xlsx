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9aa97d27314f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DOS LOS DATOS" sheetId="1" r:id="R706116306fad4349"/>
    <x:sheet xmlns:r="http://schemas.openxmlformats.org/officeDocument/2006/relationships" name="COMERCIAL" sheetId="2" r:id="Rc7c08443463e46c1"/>
    <x:sheet xmlns:r="http://schemas.openxmlformats.org/officeDocument/2006/relationships" name="ARQUITECTURA" sheetId="3" r:id="Rba7910e5f5d64bd7"/>
  </x:sheets>
</x:workbook>
</file>

<file path=xl/sharedStrings.xml><?xml version="1.0" encoding="utf-8"?>
<x:sst xmlns:x="http://schemas.openxmlformats.org/spreadsheetml/2006/main">
  <x:si>
    <x:t xml:space="preserve">SUELDOS COMERCIAL </x:t>
  </x:si>
  <x:si>
    <x:t xml:space="preserve">SUELDOS</x:t>
  </x:si>
  <x:si>
    <x:t xml:space="preserve">COMERCIAL</x:t>
  </x:si>
  <x:si>
    <x:t xml:space="preserve">Año</x:t>
  </x:si>
  <x:si>
    <x:t xml:space="preserve">Enero a Diciembre</x:t>
  </x:si>
  <x:si>
    <x:t xml:space="preserve">ENERO A JUNIO</x:t>
  </x:si>
  <x:si>
    <x:t xml:space="preserve">Julio</x:t>
  </x:si>
  <x:si>
    <x:t xml:space="preserve">Agosto</x:t>
  </x:si>
  <x:si>
    <x:t xml:space="preserve">Setiembre</x:t>
  </x:si>
  <x:si>
    <x:t xml:space="preserve">Octubre</x:t>
  </x:si>
  <x:si>
    <x:t xml:space="preserve">Noviembre</x:t>
  </x:si>
  <x:si>
    <x:t xml:space="preserve">Diciembre</x:t>
  </x:si>
  <x:si>
    <x:t xml:space="preserve">Total anual</x:t>
  </x:si>
  <x:si>
    <x:t xml:space="preserve">2026</x:t>
  </x:si>
  <x:si>
    <x:t xml:space="preserve">SUELDOS ARQUITECTURA</x:t>
  </x:si>
  <x:si>
    <x:t xml:space="preserve">GASTOS ADMINISTRATIVOS COMERCIAL (ENERO - DICIEMBRE)</x:t>
  </x:si>
  <x:si>
    <x:t xml:space="preserve">RESUMEN</x:t>
  </x:si>
  <x:si>
    <x:t xml:space="preserve">ENERO JUNIO</x:t>
  </x:si>
  <x:si>
    <x:t xml:space="preserve">COSTO</x:t>
  </x:si>
  <x:si>
    <x:t xml:space="preserve">JULIO A DIC</x:t>
  </x:si>
  <x:si>
    <x:t xml:space="preserve">SOLES</x:t>
  </x:si>
  <x:si>
    <x:t xml:space="preserve">DOLARES</x:t>
  </x:si>
  <x:si>
    <x:t xml:space="preserve">GASTOS ADMINISTRATIVOS ARQUITECTURA (ENERO - DICIEMBRE)</x:t>
  </x:si>
  <x:si>
    <x:t xml:space="preserve">ARQUITECTURA</x:t>
  </x:si>
  <x:si>
    <x:t xml:space="preserve">COLABORADORES COMERCIAL</x:t>
  </x:si>
  <x:si>
    <x:t xml:space="preserve">2026 - ENERO A JULIO</x:t>
  </x:si>
  <x:si>
    <x:t xml:space="preserve">2026 - AGOSTO - DIC</x:t>
  </x:si>
  <x:si>
    <x:t xml:space="preserve">COLABORADORES ARQUITECTURA</x:t>
  </x:si>
  <x:si>
    <x:t xml:space="preserve">VIATICOS COMERCIAL </x:t>
  </x:si>
  <x:si>
    <x:t xml:space="preserve">ENERO - DICIEMBRE</x:t>
  </x:si>
  <x:si>
    <x:t xml:space="preserve">VIATICOS ARQUITECTURA</x:t>
  </x:si>
</x:sst>
</file>

<file path=xl/styles.xml><?xml version="1.0" encoding="utf-8"?>
<x:styleSheet xmlns:x="http://schemas.openxmlformats.org/spreadsheetml/2006/main">
  <x:numFmts count="6">
    <x:numFmt numFmtId="44" formatCode="_-&quot;S/&quot;\ * #,##0.00_-;\-&quot;S/&quot;\ * #,##0.00_-;_-&quot;S/&quot;\ * &quot;-&quot;??_-;_-@_-"/>
    <x:numFmt numFmtId="164" formatCode="&quot;S/&quot;\ #,##0.00"/>
    <x:numFmt numFmtId="170" formatCode="[$$-540A]#,##0.00"/>
    <x:numFmt numFmtId="200" formatCode="[&gt;=1000000]$0.00,,&quot;MM&quot;;[&gt;=1000]$0.00,&quot;K&quot;;$0.00"/>
    <x:numFmt numFmtId="201" formatCode="0.00%"/>
    <x:numFmt numFmtId="202" formatCode="0"/>
  </x:numFmts>
  <x:fonts count="16">
    <x:font>
      <x:sz val="11"/>
      <x:color theme="1"/>
      <x:name val="Aptos Narrow"/>
    </x:font>
    <x:font>
      <x:sz val="11"/>
      <x:color theme="1"/>
      <x:name val="Calibri"/>
    </x:font>
    <x:font>
      <x:b/>
      <x:sz val="10"/>
      <x:color rgb="FFFFFFFF"/>
      <x:name val="Arial"/>
    </x:font>
    <x:font>
      <x:b/>
      <x:sz val="10"/>
      <x:name val="Arial"/>
    </x:font>
    <x:font>
      <x:sz val="10"/>
      <x:name val="Arial"/>
    </x:font>
    <x:font>
      <x:i/>
      <x:sz val="10"/>
      <x:color rgb="FF999999"/>
      <x:name val="Arial"/>
    </x:font>
    <x:font>
      <x:sz val="11"/>
      <x:color theme="1"/>
      <x:name val="Aptos Narrow"/>
    </x:font>
    <x:font>
      <x:b/>
      <x:sz val="14"/>
      <x:color rgb="FFFFFFFF"/>
      <x:name val="Aptos Narrow"/>
    </x:font>
    <x:font>
      <x:b/>
      <x:sz val="10"/>
      <x:color rgb="FFFFFFFF"/>
      <x:name val="Aptos Narrow"/>
    </x:font>
    <x:font>
      <x:sz val="10"/>
      <x:color rgb="FF1B2836"/>
      <x:name val="Aptos Narrow"/>
    </x:font>
    <x:font>
      <x:b/>
      <x:sz val="10"/>
      <x:color rgb="FF1B2836"/>
      <x:name val="Aptos Narrow"/>
    </x:font>
    <x:font>
      <x:i/>
      <x:sz val="9"/>
      <x:color rgb="FF607080"/>
      <x:name val="Aptos Narrow"/>
    </x:font>
    <x:font>
      <x:sz val="11"/>
      <x:color rgb="FF1B2836"/>
      <x:name val="Aptos Narrow"/>
    </x:font>
    <x:font>
      <x:b/>
      <x:sz val="15"/>
      <x:color rgb="FFFFFFFF"/>
      <x:name val="Aptos Narrow"/>
    </x:font>
    <x:font>
      <x:i/>
      <x:sz val="10"/>
      <x:color rgb="FF0F6E56"/>
      <x:name val="Aptos Narrow"/>
    </x:font>
    <x:font>
      <x:b/>
      <x:sz val="11"/>
      <x:color rgb="FF0F6E56"/>
      <x:name val="Aptos Narrow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theme="5" tint="0.39998"/>
      </x:patternFill>
    </x:fill>
    <x:fill>
      <x:patternFill patternType="solid">
        <x:fgColor theme="9" tint="0.39998"/>
      </x:patternFill>
    </x:fill>
    <x:fill>
      <x:patternFill patternType="solid">
        <x:fgColor theme="4" tint="0.39998"/>
      </x:patternFill>
    </x:fill>
    <x:fill>
      <x:patternFill patternType="solid">
        <x:fgColor rgb="FFFFFF00"/>
      </x:patternFill>
    </x:fill>
    <x:fill>
      <x:patternFill patternType="solid">
        <x:fgColor rgb="FF0B1F33"/>
      </x:patternFill>
    </x:fill>
    <x:fill>
      <x:patternFill patternType="solid">
        <x:fgColor rgb="FF0F6E56"/>
      </x:patternFill>
    </x:fill>
    <x:fill>
      <x:patternFill patternType="solid">
        <x:fgColor rgb="FFE8F8F4"/>
      </x:patternFill>
    </x:fill>
    <x:fill>
      <x:patternFill patternType="solid">
        <x:fgColor rgb="FFF5F7FA"/>
      </x:patternFill>
    </x:fill>
    <x:fill>
      <x:patternFill patternType="solid">
        <x:fgColor rgb="FFEEF3F6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3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0F6E56"/>
      </x:left>
      <x:top style="thin">
        <x:color rgb="FF0F6E56"/>
      </x:top>
      <x:bottom style="thin">
        <x:color rgb="FF0F6E56"/>
      </x:bottom>
    </x:border>
    <x:border>
      <x:top style="thin">
        <x:color rgb="FF0F6E56"/>
      </x:top>
      <x:bottom style="thin">
        <x:color rgb="FF0F6E56"/>
      </x:bottom>
    </x:border>
    <x:border>
      <x:right style="thin">
        <x:color rgb="FF0F6E56"/>
      </x:right>
      <x:top style="thin">
        <x:color rgb="FF0F6E56"/>
      </x:top>
      <x:bottom style="thin">
        <x:color rgb="FF0F6E56"/>
      </x:bottom>
    </x:border>
    <x:border>
      <x:left style="thin">
        <x:color rgb="FF0F6E56"/>
      </x:left>
      <x:top style="thin">
        <x:color rgb="FF0F6E56"/>
      </x:top>
      <x:bottom style="thin">
        <x:color rgb="FF0F6E56"/>
      </x:bottom>
    </x:border>
    <x:border>
      <x:top style="thin">
        <x:color rgb="FF0F6E56"/>
      </x:top>
      <x:bottom style="thin">
        <x:color rgb="FF0F6E56"/>
      </x:bottom>
    </x:border>
    <x:border>
      <x:right style="thin">
        <x:color rgb="FF0F6E56"/>
      </x:right>
      <x:top style="thin">
        <x:color rgb="FF0F6E56"/>
      </x:top>
      <x:bottom style="thin">
        <x:color rgb="FF0F6E56"/>
      </x:bottom>
    </x:border>
    <x:border>
      <x:left style="thin">
        <x:color rgb="FFD8E1E8"/>
      </x:left>
      <x:top style="thin">
        <x:color rgb="FFD8E1E8"/>
      </x:top>
    </x:border>
    <x:border>
      <x:top style="thin">
        <x:color rgb="FFD8E1E8"/>
      </x:top>
    </x:border>
    <x:border>
      <x:right style="thin">
        <x:color rgb="FFD8E1E8"/>
      </x:right>
      <x:top style="thin">
        <x:color rgb="FFD8E1E8"/>
      </x:top>
    </x:border>
    <x:border>
      <x:left style="thin">
        <x:color rgb="FFD8E1E8"/>
      </x:left>
    </x:border>
    <x:border>
      <x:right style="thin">
        <x:color rgb="FFD8E1E8"/>
      </x:right>
    </x:border>
    <x:border>
      <x:left style="thin">
        <x:color rgb="FFD8E1E8"/>
      </x:left>
      <x:bottom style="thin">
        <x:color rgb="FFD8E1E8"/>
      </x:bottom>
    </x:border>
    <x:border>
      <x:bottom style="thin">
        <x:color rgb="FFD8E1E8"/>
      </x:bottom>
    </x:border>
    <x:border>
      <x:right style="thin">
        <x:color rgb="FFD8E1E8"/>
      </x:right>
      <x:bottom style="thin">
        <x:color rgb="FFD8E1E8"/>
      </x:bottom>
    </x:border>
    <x:border>
      <x:left style="thin">
        <x:color rgb="FFD8E1E8"/>
      </x:left>
      <x:top style="thin">
        <x:color rgb="FFD8E1E8"/>
      </x:top>
    </x:border>
    <x:border>
      <x:top style="thin">
        <x:color rgb="FFD8E1E8"/>
      </x:top>
    </x:border>
    <x:border>
      <x:right style="thin">
        <x:color rgb="FFD8E1E8"/>
      </x:right>
      <x:top style="thin">
        <x:color rgb="FFD8E1E8"/>
      </x:top>
    </x:border>
    <x:border>
      <x:left style="thin">
        <x:color rgb="FFD8E1E8"/>
      </x:left>
    </x:border>
    <x:border>
      <x:right style="thin">
        <x:color rgb="FFD8E1E8"/>
      </x:right>
    </x:border>
    <x:border>
      <x:left style="thin">
        <x:color rgb="FFD8E1E8"/>
      </x:left>
      <x:bottom style="thin">
        <x:color rgb="FFD8E1E8"/>
      </x:bottom>
    </x:border>
    <x:border>
      <x:bottom style="thin">
        <x:color rgb="FFD8E1E8"/>
      </x:bottom>
    </x:border>
    <x:border>
      <x:right style="thin">
        <x:color rgb="FFD8E1E8"/>
      </x:right>
      <x:bottom style="thin">
        <x:color rgb="FFD8E1E8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</x:border>
    <x:border>
      <x:left style="thin">
        <x:color rgb="FFD8E1E8"/>
      </x:left>
      <x:right style="thin">
        <x:color rgb="FFD8E1E8"/>
      </x:right>
    </x:border>
    <x:border>
      <x:left style="thin">
        <x:color rgb="FFD8E1E8"/>
      </x:left>
      <x:right style="thin">
        <x:color rgb="FFD8E1E8"/>
      </x:right>
      <x:bottom style="thin">
        <x:color rgb="FFD8E1E8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</x:border>
    <x:border>
      <x:left style="thin">
        <x:color rgb="FFD8E1E8"/>
      </x:left>
      <x:right style="thin">
        <x:color rgb="FFD8E1E8"/>
      </x:right>
    </x:border>
    <x:border>
      <x:left style="thin">
        <x:color rgb="FFD8E1E8"/>
      </x:left>
      <x:right style="thin">
        <x:color rgb="FFD8E1E8"/>
      </x:right>
      <x:bottom style="thin">
        <x:color rgb="FFD8E1E8"/>
      </x:bottom>
    </x:border>
  </x:borders>
  <x:cellStyleXfs count="3">
    <x:xf numFmtId="0" fontId="0" fillId="0" borderId="0"/>
    <x:xf numFmtId="0" fontId="1" fillId="0" borderId="0"/>
    <x:xf numFmtId="9" fontId="6" fillId="0" borderId="0" applyFont="0" applyFill="0" applyBorder="0" applyAlignment="0" applyProtection="0"/>
  </x:cellStyleXfs>
  <x:cellXfs count="370">
    <x:xf numFmtId="0" fontId="0" fillId="0" borderId="0" xfId="0"/>
    <x:xf numFmtId="0" fontId="1" fillId="0" borderId="0" xfId="1"/>
    <x:xf numFmtId="0" fontId="2" fillId="2" borderId="1" xfId="1" applyFont="1" applyFill="1" applyBorder="1" applyAlignment="1">
      <x:alignment horizontal="center" vertical="center" wrapText="1"/>
    </x:xf>
    <x:xf numFmtId="164" fontId="0" fillId="0" borderId="0" xfId="0" applyNumberFormat="1" applyAlignment="1">
      <x:alignment horizontal="left"/>
    </x:xf>
    <x:xf numFmtId="0" fontId="0" fillId="0" borderId="0" xfId="0" applyAlignment="1">
      <x:alignment horizontal="left"/>
    </x:xf>
    <x:xf numFmtId="0" fontId="1" fillId="0" borderId="0" xfId="1" applyAlignment="1">
      <x:alignment horizontal="left"/>
    </x:xf>
    <x:xf numFmtId="44" fontId="1" fillId="0" borderId="0" xfId="1" applyNumberFormat="1"/>
    <x:xf numFmtId="0" fontId="2" fillId="2" borderId="1" xfId="1" applyFont="1" applyFill="1" applyBorder="1" applyAlignment="1">
      <x:alignment horizontal="left" vertical="center" wrapText="1"/>
    </x:xf>
    <x:xf numFmtId="2" fontId="1" fillId="0" borderId="0" xfId="1" applyNumberFormat="1"/>
    <x:xf numFmtId="0" fontId="1" fillId="0" borderId="0" xfId="1" applyAlignment="1">
      <x:alignment horizontal="center" vertical="center"/>
    </x:xf>
    <x:xf numFmtId="164" fontId="0" fillId="0" borderId="0" xfId="0" applyNumberFormat="1" applyAlignment="1">
      <x:alignment horizontal="center" vertical="center"/>
    </x:xf>
    <x:xf numFmtId="44" fontId="1" fillId="0" borderId="0" xfId="1" applyNumberFormat="1" applyAlignment="1">
      <x:alignment horizontal="center" vertical="center"/>
    </x:xf>
    <x:xf numFmtId="44" fontId="4" fillId="0" borderId="1" xfId="1" applyNumberFormat="1" applyFont="1" applyBorder="1" applyAlignment="1">
      <x:alignment horizontal="center" vertical="center"/>
    </x:xf>
    <x:xf numFmtId="164" fontId="1" fillId="0" borderId="0" xfId="1" applyNumberFormat="1" applyAlignment="1">
      <x:alignment horizontal="center" vertical="center"/>
    </x:xf>
    <x:xf numFmtId="0" fontId="3" fillId="0" borderId="0" xfId="1" applyFont="1" applyAlignment="1">
      <x:alignment horizontal="center" vertical="center"/>
    </x:xf>
    <x:xf numFmtId="44" fontId="5" fillId="0" borderId="1" xfId="1" applyNumberFormat="1" applyFont="1" applyBorder="1" applyAlignment="1">
      <x:alignment horizontal="center" vertical="center"/>
    </x:xf>
    <x:xf numFmtId="44" fontId="3" fillId="0" borderId="1" xfId="1" applyNumberFormat="1" applyFont="1" applyBorder="1" applyAlignment="1">
      <x:alignment horizontal="center" vertical="center"/>
    </x:xf>
    <x:xf numFmtId="0" fontId="1" fillId="3" borderId="0" xfId="1" applyFill="1" applyAlignment="1">
      <x:alignment horizontal="left"/>
    </x:xf>
    <x:xf numFmtId="0" fontId="1" fillId="4" borderId="0" xfId="1" applyFill="1" applyAlignment="1">
      <x:alignment horizontal="left"/>
    </x:xf>
    <x:xf numFmtId="0" fontId="1" fillId="5" borderId="0" xfId="1" applyFill="1" applyAlignment="1">
      <x:alignment horizontal="left"/>
    </x:xf>
    <x:xf numFmtId="164" fontId="1" fillId="0" borderId="0" xfId="1" applyNumberFormat="1"/>
    <x:xf numFmtId="9" fontId="1" fillId="0" borderId="0" xfId="2" applyFont="1"/>
    <x:xf numFmtId="0" fontId="0" fillId="0" borderId="0" xfId="0" applyAlignment="1">
      <x:alignment horizontal="center"/>
    </x:xf>
    <x:xf numFmtId="10" fontId="0" fillId="0" borderId="0" xfId="0" applyNumberFormat="1"/>
    <x:xf numFmtId="0" fontId="1" fillId="0" borderId="0" xfId="1" applyAlignment="1">
      <x:alignment horizontal="center"/>
    </x:xf>
    <x:xf numFmtId="164" fontId="1" fillId="0" borderId="0" xfId="1" applyNumberFormat="1" applyAlignment="1">
      <x:alignment horizontal="center"/>
    </x:xf>
    <x:xf numFmtId="44" fontId="1" fillId="0" borderId="0" xfId="1" applyNumberFormat="1" applyAlignment="1">
      <x:alignment horizontal="center"/>
    </x:xf>
    <x:xf numFmtId="170" fontId="1" fillId="0" borderId="0" xfId="1" applyNumberFormat="1" applyAlignment="1">
      <x:alignment horizontal="center"/>
    </x:xf>
    <x:xf numFmtId="0" fontId="1" fillId="6" borderId="0" xfId="1" applyFill="1" applyAlignment="1">
      <x:alignment horizontal="left"/>
    </x:xf>
    <x:xf numFmtId="0" fontId="0" fillId="0" borderId="2" xfId="0" applyNumberFormat="1" applyFont="1" applyFill="1" applyBorder="1"/>
    <x:xf numFmtId="0" fontId="1" fillId="0" borderId="2" xfId="0" applyNumberFormat="1" applyFont="1" applyFill="1" applyBorder="1"/>
    <x:xf numFmtId="0" fontId="2" fillId="2" borderId="3" xfId="0" applyNumberFormat="1" applyFont="1" applyFill="1" applyBorder="1" applyAlignment="1">
      <x:alignment horizontal="center" vertical="center" wrapText="1"/>
    </x:xf>
    <x:xf numFmtId="164" fontId="0" fillId="0" borderId="2" xfId="0" applyNumberFormat="1" applyFont="1" applyFill="1" applyBorder="1" applyAlignment="1">
      <x:alignment horizontal="left"/>
    </x:xf>
    <x:xf numFmtId="0" fontId="0" fillId="0" borderId="2" xfId="0" applyNumberFormat="1" applyFont="1" applyFill="1" applyBorder="1" applyAlignment="1">
      <x:alignment horizontal="left"/>
    </x:xf>
    <x:xf numFmtId="0" fontId="1" fillId="0" borderId="2" xfId="0" applyNumberFormat="1" applyFont="1" applyFill="1" applyBorder="1" applyAlignment="1">
      <x:alignment horizontal="left"/>
    </x:xf>
    <x:xf numFmtId="44" fontId="1" fillId="0" borderId="2" xfId="0" applyNumberFormat="1" applyFont="1" applyFill="1" applyBorder="1"/>
    <x:xf numFmtId="0" fontId="2" fillId="2" borderId="3" xfId="0" applyNumberFormat="1" applyFont="1" applyFill="1" applyBorder="1" applyAlignment="1">
      <x:alignment horizontal="left" vertical="center" wrapText="1"/>
    </x:xf>
    <x:xf numFmtId="2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horizontal="center" vertical="center"/>
    </x:xf>
    <x:xf numFmtId="164" fontId="0" fillId="0" borderId="2" xfId="0" applyNumberFormat="1" applyFont="1" applyFill="1" applyBorder="1" applyAlignment="1">
      <x:alignment horizontal="center" vertical="center"/>
    </x:xf>
    <x:xf numFmtId="44" fontId="1" fillId="0" borderId="2" xfId="0" applyNumberFormat="1" applyFont="1" applyFill="1" applyBorder="1" applyAlignment="1">
      <x:alignment horizontal="center" vertical="center"/>
    </x:xf>
    <x:xf numFmtId="44" fontId="4" fillId="0" borderId="3" xfId="0" applyNumberFormat="1" applyFont="1" applyFill="1" applyBorder="1" applyAlignment="1">
      <x:alignment horizontal="center" vertical="center"/>
    </x:xf>
    <x:xf numFmtId="164" fontId="1" fillId="0" borderId="2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 applyAlignment="1">
      <x:alignment horizontal="center" vertical="center"/>
    </x:xf>
    <x:xf numFmtId="44" fontId="5" fillId="0" borderId="3" xfId="0" applyNumberFormat="1" applyFont="1" applyFill="1" applyBorder="1" applyAlignment="1">
      <x:alignment horizontal="center" vertical="center"/>
    </x:xf>
    <x:xf numFmtId="44" fontId="3" fillId="0" borderId="3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horizontal="left"/>
    </x:xf>
    <x:xf numFmtId="0" fontId="1" fillId="4" borderId="2" xfId="0" applyNumberFormat="1" applyFont="1" applyFill="1" applyBorder="1" applyAlignment="1">
      <x:alignment horizontal="left"/>
    </x:xf>
    <x:xf numFmtId="0" fontId="1" fillId="5" borderId="2" xfId="0" applyNumberFormat="1" applyFont="1" applyFill="1" applyBorder="1" applyAlignment="1">
      <x:alignment horizontal="left"/>
    </x:xf>
    <x:xf numFmtId="164" fontId="1" fillId="0" borderId="2" xfId="0" applyNumberFormat="1" applyFont="1" applyFill="1" applyBorder="1"/>
    <x:xf numFmtId="9" fontId="1" fillId="0" borderId="2" xfId="0" applyNumberFormat="1" applyFont="1" applyFill="1" applyBorder="1"/>
    <x:xf numFmtId="0" fontId="0" fillId="0" borderId="2" xfId="0" applyNumberFormat="1" applyFont="1" applyFill="1" applyBorder="1" applyAlignment="1">
      <x:alignment horizontal="center"/>
    </x:xf>
    <x:xf numFmtId="10" fontId="0" fillId="0" borderId="2" xfId="0" applyNumberFormat="1" applyFont="1" applyFill="1" applyBorder="1"/>
    <x:xf numFmtId="0" fontId="1" fillId="0" borderId="2" xfId="0" applyNumberFormat="1" applyFont="1" applyFill="1" applyBorder="1" applyAlignment="1">
      <x:alignment horizontal="center"/>
    </x:xf>
    <x:xf numFmtId="164" fontId="1" fillId="0" borderId="2" xfId="0" applyNumberFormat="1" applyFont="1" applyFill="1" applyBorder="1" applyAlignment="1">
      <x:alignment horizontal="center"/>
    </x:xf>
    <x:xf numFmtId="44" fontId="1" fillId="0" borderId="2" xfId="0" applyNumberFormat="1" applyFont="1" applyFill="1" applyBorder="1" applyAlignment="1">
      <x:alignment horizontal="center"/>
    </x:xf>
    <x:xf numFmtId="170" fontId="1" fillId="0" borderId="2" xfId="0" applyNumberFormat="1" applyFont="1" applyFill="1" applyBorder="1" applyAlignment="1">
      <x:alignment horizontal="center"/>
    </x:xf>
    <x:xf numFmtId="0" fontId="1" fillId="6" borderId="2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0" fillId="7" borderId="2" xfId="0" applyNumberFormat="1" applyFont="1" applyFill="1" applyBorder="1"/>
    <x:xf numFmtId="0" fontId="7" fillId="7" borderId="2" xfId="0" applyNumberFormat="1" applyFont="1" applyFill="1" applyBorder="1"/>
    <x:xf numFmtId="0" fontId="7" fillId="7" borderId="2" xfId="0" applyNumberFormat="1" applyFont="1" applyFill="1" applyBorder="1" applyAlignment="1">
      <x:alignment horizontal="center"/>
    </x:xf>
    <x:xf numFmtId="0" fontId="7" fillId="7" borderId="2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4" xfId="0" applyNumberFormat="1" applyFont="1" applyFill="1" applyBorder="1"/>
    <x:xf numFmtId="0" fontId="8" fillId="8" borderId="5" xfId="0" applyNumberFormat="1" applyFont="1" applyFill="1" applyBorder="1"/>
    <x:xf numFmtId="0" fontId="8" fillId="8" borderId="6" xfId="0" applyNumberFormat="1" applyFont="1" applyFill="1" applyBorder="1"/>
    <x:xf numFmtId="0" fontId="8" fillId="8" borderId="4" xfId="0" applyNumberFormat="1" applyFont="1" applyFill="1" applyBorder="1" applyAlignment="1">
      <x:alignment wrapText="1"/>
    </x:xf>
    <x:xf numFmtId="0" fontId="8" fillId="8" borderId="5" xfId="0" applyNumberFormat="1" applyFont="1" applyFill="1" applyBorder="1" applyAlignment="1">
      <x:alignment wrapText="1"/>
    </x:xf>
    <x:xf numFmtId="0" fontId="8" fillId="8" borderId="6" xfId="0" applyNumberFormat="1" applyFont="1" applyFill="1" applyBorder="1" applyAlignment="1">
      <x:alignment wrapText="1"/>
    </x:xf>
    <x:xf numFmtId="0" fontId="8" fillId="8" borderId="4" xfId="0" applyNumberFormat="1" applyFont="1" applyFill="1" applyBorder="1" applyAlignment="1">
      <x:alignment horizontal="center" wrapText="1"/>
    </x:xf>
    <x:xf numFmtId="0" fontId="8" fillId="8" borderId="5" xfId="0" applyNumberFormat="1" applyFont="1" applyFill="1" applyBorder="1" applyAlignment="1">
      <x:alignment horizontal="center" wrapText="1"/>
    </x:xf>
    <x:xf numFmtId="0" fontId="8" fillId="8" borderId="6" xfId="0" applyNumberFormat="1" applyFont="1" applyFill="1" applyBorder="1" applyAlignment="1">
      <x:alignment horizontal="center" wrapText="1"/>
    </x:xf>
    <x:xf numFmtId="0" fontId="8" fillId="8" borderId="4" xfId="0" applyNumberFormat="1" applyFont="1" applyFill="1" applyBorder="1" applyAlignment="1">
      <x:alignment horizontal="center" vertical="center" wrapText="1"/>
    </x:xf>
    <x:xf numFmtId="0" fontId="8" fillId="8" borderId="5" xfId="0" applyNumberFormat="1" applyFont="1" applyFill="1" applyBorder="1" applyAlignment="1">
      <x:alignment horizontal="center" vertical="center" wrapText="1"/>
    </x:xf>
    <x:xf numFmtId="0" fontId="8" fillId="8" borderId="6" xfId="0" applyNumberFormat="1" applyFont="1" applyFill="1" applyBorder="1" applyAlignment="1">
      <x:alignment horizontal="center" vertical="center" wrapText="1"/>
    </x:xf>
    <x:xf numFmtId="0" fontId="0" fillId="8" borderId="2" xfId="0" applyNumberFormat="1" applyFont="1" applyFill="1" applyBorder="1"/>
    <x:xf numFmtId="0" fontId="8" fillId="8" borderId="2" xfId="0" applyNumberFormat="1" applyFont="1" applyFill="1" applyBorder="1"/>
    <x:xf numFmtId="0" fontId="8" fillId="8" borderId="7" xfId="0" applyNumberFormat="1" applyFont="1" applyFill="1" applyBorder="1"/>
    <x:xf numFmtId="0" fontId="8" fillId="8" borderId="8" xfId="0" applyNumberFormat="1" applyFont="1" applyFill="1" applyBorder="1"/>
    <x:xf numFmtId="0" fontId="8" fillId="8" borderId="9" xfId="0" applyNumberFormat="1" applyFont="1" applyFill="1" applyBorder="1"/>
    <x:xf numFmtId="0" fontId="8" fillId="8" borderId="7" xfId="0" applyNumberFormat="1" applyFont="1" applyFill="1" applyBorder="1" applyAlignment="1">
      <x:alignment wrapText="1"/>
    </x:xf>
    <x:xf numFmtId="0" fontId="8" fillId="8" borderId="8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8" fillId="8" borderId="7" xfId="0" applyNumberFormat="1" applyFont="1" applyFill="1" applyBorder="1" applyAlignment="1">
      <x:alignment horizontal="center" wrapText="1"/>
    </x:xf>
    <x:xf numFmtId="0" fontId="8" fillId="8" borderId="8" xfId="0" applyNumberFormat="1" applyFont="1" applyFill="1" applyBorder="1" applyAlignment="1">
      <x:alignment horizontal="center" wrapText="1"/>
    </x:xf>
    <x:xf numFmtId="0" fontId="8" fillId="8" borderId="9" xfId="0" applyNumberFormat="1" applyFont="1" applyFill="1" applyBorder="1" applyAlignment="1">
      <x:alignment horizontal="center" wrapText="1"/>
    </x:xf>
    <x:xf numFmtId="0" fontId="8" fillId="8" borderId="7" xfId="0" applyNumberFormat="1" applyFont="1" applyFill="1" applyBorder="1" applyAlignment="1">
      <x:alignment horizontal="center" vertical="center" wrapText="1"/>
    </x:xf>
    <x:xf numFmtId="0" fontId="8" fillId="8" borderId="8" xfId="0" applyNumberFormat="1" applyFont="1" applyFill="1" applyBorder="1" applyAlignment="1">
      <x:alignment horizontal="center" vertical="center" wrapText="1"/>
    </x:xf>
    <x:xf numFmtId="0" fontId="8" fillId="8" borderId="9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10" xfId="0" applyNumberFormat="1" applyFont="1" applyFill="1" applyBorder="1"/>
    <x:xf numFmtId="0" fontId="9" fillId="0" borderId="11" xfId="0" applyNumberFormat="1" applyFont="1" applyFill="1" applyBorder="1"/>
    <x:xf numFmtId="0" fontId="9" fillId="0" borderId="12" xfId="0" applyNumberFormat="1" applyFont="1" applyFill="1" applyBorder="1"/>
    <x:xf numFmtId="0" fontId="9" fillId="0" borderId="13" xfId="0" applyNumberFormat="1" applyFont="1" applyFill="1" applyBorder="1"/>
    <x:xf numFmtId="0" fontId="9" fillId="0" borderId="14" xfId="0" applyNumberFormat="1" applyFont="1" applyFill="1" applyBorder="1"/>
    <x:xf numFmtId="0" fontId="9" fillId="0" borderId="15" xfId="0" applyNumberFormat="1" applyFont="1" applyFill="1" applyBorder="1"/>
    <x:xf numFmtId="0" fontId="9" fillId="0" borderId="16" xfId="0" applyNumberFormat="1" applyFont="1" applyFill="1" applyBorder="1"/>
    <x:xf numFmtId="0" fontId="9" fillId="0" borderId="17" xfId="0" applyNumberFormat="1" applyFont="1" applyFill="1" applyBorder="1"/>
    <x:xf numFmtId="0" fontId="9" fillId="0" borderId="10" xfId="0" applyNumberFormat="1" applyFont="1" applyFill="1" applyBorder="1" applyAlignment="1">
      <x:alignment vertical="center"/>
    </x:xf>
    <x:xf numFmtId="0" fontId="9" fillId="0" borderId="11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vertical="center"/>
    </x:xf>
    <x:xf numFmtId="0" fontId="9" fillId="0" borderId="13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14" xfId="0" applyNumberFormat="1" applyFont="1" applyFill="1" applyBorder="1" applyAlignment="1">
      <x:alignment vertical="center"/>
    </x:xf>
    <x:xf numFmtId="0" fontId="9" fillId="0" borderId="15" xfId="0" applyNumberFormat="1" applyFont="1" applyFill="1" applyBorder="1" applyAlignment="1">
      <x:alignment vertical="center"/>
    </x:xf>
    <x:xf numFmtId="0" fontId="9" fillId="0" borderId="16" xfId="0" applyNumberFormat="1" applyFont="1" applyFill="1" applyBorder="1" applyAlignment="1">
      <x:alignment vertical="center"/>
    </x:xf>
    <x:xf numFmtId="0" fontId="9" fillId="0" borderId="17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/>
    <x:xf numFmtId="0" fontId="9" fillId="0" borderId="18" xfId="0" applyNumberFormat="1" applyFont="1" applyFill="1" applyBorder="1"/>
    <x:xf numFmtId="0" fontId="9" fillId="0" borderId="19" xfId="0" applyNumberFormat="1" applyFont="1" applyFill="1" applyBorder="1"/>
    <x:xf numFmtId="0" fontId="9" fillId="0" borderId="20" xfId="0" applyNumberFormat="1" applyFont="1" applyFill="1" applyBorder="1"/>
    <x:xf numFmtId="0" fontId="9" fillId="0" borderId="21" xfId="0" applyNumberFormat="1" applyFont="1" applyFill="1" applyBorder="1"/>
    <x:xf numFmtId="0" fontId="9" fillId="0" borderId="22" xfId="0" applyNumberFormat="1" applyFont="1" applyFill="1" applyBorder="1"/>
    <x:xf numFmtId="0" fontId="9" fillId="0" borderId="23" xfId="0" applyNumberFormat="1" applyFont="1" applyFill="1" applyBorder="1"/>
    <x:xf numFmtId="0" fontId="9" fillId="0" borderId="24" xfId="0" applyNumberFormat="1" applyFont="1" applyFill="1" applyBorder="1"/>
    <x:xf numFmtId="0" fontId="9" fillId="0" borderId="25" xfId="0" applyNumberFormat="1" applyFont="1" applyFill="1" applyBorder="1"/>
    <x:xf numFmtId="0" fontId="9" fillId="0" borderId="18" xfId="0" applyNumberFormat="1" applyFont="1" applyFill="1" applyBorder="1" applyAlignment="1">
      <x:alignment vertical="center"/>
    </x:xf>
    <x:xf numFmtId="0" fontId="9" fillId="0" borderId="19" xfId="0" applyNumberFormat="1" applyFont="1" applyFill="1" applyBorder="1" applyAlignment="1">
      <x:alignment vertical="center"/>
    </x:xf>
    <x:xf numFmtId="0" fontId="9" fillId="0" borderId="20" xfId="0" applyNumberFormat="1" applyFont="1" applyFill="1" applyBorder="1" applyAlignment="1">
      <x:alignment vertical="center"/>
    </x:xf>
    <x:xf numFmtId="0" fontId="9" fillId="0" borderId="21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0" fontId="9" fillId="0" borderId="22" xfId="0" applyNumberFormat="1" applyFont="1" applyFill="1" applyBorder="1" applyAlignment="1">
      <x:alignment vertical="center"/>
    </x:xf>
    <x:xf numFmtId="0" fontId="9" fillId="0" borderId="23" xfId="0" applyNumberFormat="1" applyFont="1" applyFill="1" applyBorder="1" applyAlignment="1">
      <x:alignment vertical="center"/>
    </x:xf>
    <x:xf numFmtId="0" fontId="9" fillId="0" borderId="24" xfId="0" applyNumberFormat="1" applyFont="1" applyFill="1" applyBorder="1" applyAlignment="1">
      <x:alignment vertical="center"/>
    </x:xf>
    <x:xf numFmtId="0" fontId="9" fillId="0" borderId="25" xfId="0" applyNumberFormat="1" applyFont="1" applyFill="1" applyBorder="1" applyAlignment="1">
      <x:alignment vertical="center"/>
    </x:xf>
    <x:xf numFmtId="0" fontId="9" fillId="9" borderId="10" xfId="0" applyNumberFormat="1" applyFont="1" applyFill="1" applyBorder="1" applyAlignment="1">
      <x:alignment vertical="center"/>
    </x:xf>
    <x:xf numFmtId="0" fontId="9" fillId="9" borderId="11" xfId="0" applyNumberFormat="1" applyFont="1" applyFill="1" applyBorder="1" applyAlignment="1">
      <x:alignment vertical="center"/>
    </x:xf>
    <x:xf numFmtId="0" fontId="9" fillId="9" borderId="12" xfId="0" applyNumberFormat="1" applyFont="1" applyFill="1" applyBorder="1" applyAlignment="1">
      <x:alignment vertical="center"/>
    </x:xf>
    <x:xf numFmtId="0" fontId="9" fillId="9" borderId="13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vertical="center"/>
    </x:xf>
    <x:xf numFmtId="0" fontId="9" fillId="9" borderId="14" xfId="0" applyNumberFormat="1" applyFont="1" applyFill="1" applyBorder="1" applyAlignment="1">
      <x:alignment vertical="center"/>
    </x:xf>
    <x:xf numFmtId="0" fontId="9" fillId="9" borderId="18" xfId="0" applyNumberFormat="1" applyFont="1" applyFill="1" applyBorder="1" applyAlignment="1">
      <x:alignment vertical="center"/>
    </x:xf>
    <x:xf numFmtId="0" fontId="9" fillId="9" borderId="19" xfId="0" applyNumberFormat="1" applyFont="1" applyFill="1" applyBorder="1" applyAlignment="1">
      <x:alignment vertical="center"/>
    </x:xf>
    <x:xf numFmtId="0" fontId="9" fillId="9" borderId="20" xfId="0" applyNumberFormat="1" applyFont="1" applyFill="1" applyBorder="1" applyAlignment="1">
      <x:alignment vertical="center"/>
    </x:xf>
    <x:xf numFmtId="0" fontId="9" fillId="9" borderId="21" xfId="0" applyNumberFormat="1" applyFont="1" applyFill="1" applyBorder="1" applyAlignment="1">
      <x:alignment vertical="center"/>
    </x:xf>
    <x:xf numFmtId="0" fontId="9" fillId="9" borderId="2" xfId="0" applyNumberFormat="1" applyFont="1" applyFill="1" applyBorder="1" applyAlignment="1">
      <x:alignment vertical="center"/>
    </x:xf>
    <x:xf numFmtId="0" fontId="9" fillId="9" borderId="22" xfId="0" applyNumberFormat="1" applyFont="1" applyFill="1" applyBorder="1" applyAlignment="1">
      <x:alignment vertical="center"/>
    </x:xf>
    <x:xf numFmtId="0" fontId="9" fillId="10" borderId="13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vertical="center"/>
    </x:xf>
    <x:xf numFmtId="0" fontId="9" fillId="10" borderId="14" xfId="0" applyNumberFormat="1" applyFont="1" applyFill="1" applyBorder="1" applyAlignment="1">
      <x:alignment vertical="center"/>
    </x:xf>
    <x:xf numFmtId="0" fontId="9" fillId="10" borderId="15" xfId="0" applyNumberFormat="1" applyFont="1" applyFill="1" applyBorder="1" applyAlignment="1">
      <x:alignment vertical="center"/>
    </x:xf>
    <x:xf numFmtId="0" fontId="9" fillId="10" borderId="16" xfId="0" applyNumberFormat="1" applyFont="1" applyFill="1" applyBorder="1" applyAlignment="1">
      <x:alignment vertical="center"/>
    </x:xf>
    <x:xf numFmtId="0" fontId="9" fillId="10" borderId="17" xfId="0" applyNumberFormat="1" applyFont="1" applyFill="1" applyBorder="1" applyAlignment="1">
      <x:alignment vertical="center"/>
    </x:xf>
    <x:xf numFmtId="0" fontId="9" fillId="10" borderId="21" xfId="0" applyNumberFormat="1" applyFont="1" applyFill="1" applyBorder="1" applyAlignment="1">
      <x:alignment vertical="center"/>
    </x:xf>
    <x:xf numFmtId="0" fontId="9" fillId="10" borderId="2" xfId="0" applyNumberFormat="1" applyFont="1" applyFill="1" applyBorder="1" applyAlignment="1">
      <x:alignment vertical="center"/>
    </x:xf>
    <x:xf numFmtId="0" fontId="9" fillId="10" borderId="22" xfId="0" applyNumberFormat="1" applyFont="1" applyFill="1" applyBorder="1" applyAlignment="1">
      <x:alignment vertical="center"/>
    </x:xf>
    <x:xf numFmtId="0" fontId="9" fillId="10" borderId="23" xfId="0" applyNumberFormat="1" applyFont="1" applyFill="1" applyBorder="1" applyAlignment="1">
      <x:alignment vertical="center"/>
    </x:xf>
    <x:xf numFmtId="0" fontId="9" fillId="10" borderId="24" xfId="0" applyNumberFormat="1" applyFont="1" applyFill="1" applyBorder="1" applyAlignment="1">
      <x:alignment vertical="center"/>
    </x:xf>
    <x:xf numFmtId="0" fontId="9" fillId="10" borderId="25" xfId="0" applyNumberFormat="1" applyFont="1" applyFill="1" applyBorder="1" applyAlignment="1">
      <x:alignment vertical="center"/>
    </x:xf>
    <x:xf numFmtId="200" fontId="9" fillId="9" borderId="11" xfId="0" applyNumberFormat="1" applyFont="1" applyFill="1" applyBorder="1" applyAlignment="1">
      <x:alignment vertical="center"/>
    </x:xf>
    <x:xf numFmtId="200" fontId="9" fillId="9" borderId="0" xfId="0" applyNumberFormat="1" applyFont="1" applyFill="1" applyBorder="1" applyAlignment="1">
      <x:alignment vertical="center"/>
    </x:xf>
    <x:xf numFmtId="200" fontId="9" fillId="10" borderId="0" xfId="0" applyNumberFormat="1" applyFont="1" applyFill="1" applyBorder="1" applyAlignment="1">
      <x:alignment vertical="center"/>
    </x:xf>
    <x:xf numFmtId="200" fontId="9" fillId="10" borderId="16" xfId="0" applyNumberFormat="1" applyFont="1" applyFill="1" applyBorder="1" applyAlignment="1">
      <x:alignment vertical="center"/>
    </x:xf>
    <x:xf numFmtId="200" fontId="9" fillId="9" borderId="19" xfId="0" applyNumberFormat="1" applyFont="1" applyFill="1" applyBorder="1" applyAlignment="1">
      <x:alignment vertical="center"/>
    </x:xf>
    <x:xf numFmtId="200" fontId="9" fillId="9" borderId="2" xfId="0" applyNumberFormat="1" applyFont="1" applyFill="1" applyBorder="1" applyAlignment="1">
      <x:alignment vertical="center"/>
    </x:xf>
    <x:xf numFmtId="200" fontId="9" fillId="10" borderId="2" xfId="0" applyNumberFormat="1" applyFont="1" applyFill="1" applyBorder="1" applyAlignment="1">
      <x:alignment vertical="center"/>
    </x:xf>
    <x:xf numFmtId="200" fontId="9" fillId="10" borderId="24" xfId="0" applyNumberFormat="1" applyFont="1" applyFill="1" applyBorder="1" applyAlignment="1">
      <x:alignment vertical="center"/>
    </x:xf>
    <x:xf numFmtId="201" fontId="9" fillId="9" borderId="11" xfId="0" applyNumberFormat="1" applyFont="1" applyFill="1" applyBorder="1" applyAlignment="1">
      <x:alignment vertical="center"/>
    </x:xf>
    <x:xf numFmtId="201" fontId="9" fillId="9" borderId="0" xfId="0" applyNumberFormat="1" applyFont="1" applyFill="1" applyBorder="1" applyAlignment="1">
      <x:alignment vertical="center"/>
    </x:xf>
    <x:xf numFmtId="201" fontId="9" fillId="10" borderId="0" xfId="0" applyNumberFormat="1" applyFont="1" applyFill="1" applyBorder="1" applyAlignment="1">
      <x:alignment vertical="center"/>
    </x:xf>
    <x:xf numFmtId="201" fontId="9" fillId="10" borderId="16" xfId="0" applyNumberFormat="1" applyFont="1" applyFill="1" applyBorder="1" applyAlignment="1">
      <x:alignment vertical="center"/>
    </x:xf>
    <x:xf numFmtId="201" fontId="9" fillId="9" borderId="19" xfId="0" applyNumberFormat="1" applyFont="1" applyFill="1" applyBorder="1" applyAlignment="1">
      <x:alignment vertical="center"/>
    </x:xf>
    <x:xf numFmtId="201" fontId="9" fillId="9" borderId="2" xfId="0" applyNumberFormat="1" applyFont="1" applyFill="1" applyBorder="1" applyAlignment="1">
      <x:alignment vertical="center"/>
    </x:xf>
    <x:xf numFmtId="201" fontId="9" fillId="10" borderId="2" xfId="0" applyNumberFormat="1" applyFont="1" applyFill="1" applyBorder="1" applyAlignment="1">
      <x:alignment vertical="center"/>
    </x:xf>
    <x:xf numFmtId="201" fontId="9" fillId="10" borderId="24" xfId="0" applyNumberFormat="1" applyFont="1" applyFill="1" applyBorder="1" applyAlignment="1">
      <x:alignment vertical="center"/>
    </x:xf>
    <x:xf numFmtId="202" fontId="9" fillId="9" borderId="11" xfId="0" applyNumberFormat="1" applyFont="1" applyFill="1" applyBorder="1" applyAlignment="1">
      <x:alignment vertical="center"/>
    </x:xf>
    <x:xf numFmtId="202" fontId="9" fillId="9" borderId="0" xfId="0" applyNumberFormat="1" applyFont="1" applyFill="1" applyBorder="1" applyAlignment="1">
      <x:alignment vertical="center"/>
    </x:xf>
    <x:xf numFmtId="202" fontId="9" fillId="10" borderId="0" xfId="0" applyNumberFormat="1" applyFont="1" applyFill="1" applyBorder="1" applyAlignment="1">
      <x:alignment vertical="center"/>
    </x:xf>
    <x:xf numFmtId="202" fontId="9" fillId="10" borderId="16" xfId="0" applyNumberFormat="1" applyFont="1" applyFill="1" applyBorder="1" applyAlignment="1">
      <x:alignment vertical="center"/>
    </x:xf>
    <x:xf numFmtId="202" fontId="9" fillId="9" borderId="19" xfId="0" applyNumberFormat="1" applyFont="1" applyFill="1" applyBorder="1" applyAlignment="1">
      <x:alignment vertical="center"/>
    </x:xf>
    <x:xf numFmtId="202" fontId="9" fillId="9" borderId="2" xfId="0" applyNumberFormat="1" applyFont="1" applyFill="1" applyBorder="1" applyAlignment="1">
      <x:alignment vertical="center"/>
    </x:xf>
    <x:xf numFmtId="202" fontId="9" fillId="10" borderId="2" xfId="0" applyNumberFormat="1" applyFont="1" applyFill="1" applyBorder="1" applyAlignment="1">
      <x:alignment vertical="center"/>
    </x:xf>
    <x:xf numFmtId="202" fontId="9" fillId="10" borderId="24" xfId="0" applyNumberFormat="1" applyFont="1" applyFill="1" applyBorder="1" applyAlignment="1">
      <x:alignment vertical="center"/>
    </x:xf>
    <x:xf numFmtId="201" fontId="9" fillId="9" borderId="12" xfId="0" applyNumberFormat="1" applyFont="1" applyFill="1" applyBorder="1" applyAlignment="1">
      <x:alignment vertical="center"/>
    </x:xf>
    <x:xf numFmtId="201" fontId="9" fillId="9" borderId="14" xfId="0" applyNumberFormat="1" applyFont="1" applyFill="1" applyBorder="1" applyAlignment="1">
      <x:alignment vertical="center"/>
    </x:xf>
    <x:xf numFmtId="201" fontId="9" fillId="10" borderId="14" xfId="0" applyNumberFormat="1" applyFont="1" applyFill="1" applyBorder="1" applyAlignment="1">
      <x:alignment vertical="center"/>
    </x:xf>
    <x:xf numFmtId="201" fontId="9" fillId="10" borderId="17" xfId="0" applyNumberFormat="1" applyFont="1" applyFill="1" applyBorder="1" applyAlignment="1">
      <x:alignment vertical="center"/>
    </x:xf>
    <x:xf numFmtId="201" fontId="9" fillId="9" borderId="20" xfId="0" applyNumberFormat="1" applyFont="1" applyFill="1" applyBorder="1" applyAlignment="1">
      <x:alignment vertical="center"/>
    </x:xf>
    <x:xf numFmtId="201" fontId="9" fillId="9" borderId="22" xfId="0" applyNumberFormat="1" applyFont="1" applyFill="1" applyBorder="1" applyAlignment="1">
      <x:alignment vertical="center"/>
    </x:xf>
    <x:xf numFmtId="201" fontId="9" fillId="10" borderId="22" xfId="0" applyNumberFormat="1" applyFont="1" applyFill="1" applyBorder="1" applyAlignment="1">
      <x:alignment vertical="center"/>
    </x:xf>
    <x:xf numFmtId="201" fontId="9" fillId="10" borderId="25" xfId="0" applyNumberFormat="1" applyFont="1" applyFill="1" applyBorder="1" applyAlignment="1">
      <x:alignment vertical="center"/>
    </x:xf>
    <x:xf numFmtId="0" fontId="10" fillId="9" borderId="10" xfId="0" applyNumberFormat="1" applyFont="1" applyFill="1" applyBorder="1" applyAlignment="1">
      <x:alignment vertical="center"/>
    </x:xf>
    <x:xf numFmtId="0" fontId="10" fillId="9" borderId="13" xfId="0" applyNumberFormat="1" applyFont="1" applyFill="1" applyBorder="1" applyAlignment="1">
      <x:alignment vertical="center"/>
    </x:xf>
    <x:xf numFmtId="0" fontId="10" fillId="10" borderId="13" xfId="0" applyNumberFormat="1" applyFont="1" applyFill="1" applyBorder="1" applyAlignment="1">
      <x:alignment vertical="center"/>
    </x:xf>
    <x:xf numFmtId="0" fontId="10" fillId="10" borderId="15" xfId="0" applyNumberFormat="1" applyFont="1" applyFill="1" applyBorder="1" applyAlignment="1">
      <x:alignment vertical="center"/>
    </x:xf>
    <x:xf numFmtId="0" fontId="10" fillId="9" borderId="18" xfId="0" applyNumberFormat="1" applyFont="1" applyFill="1" applyBorder="1" applyAlignment="1">
      <x:alignment vertical="center"/>
    </x:xf>
    <x:xf numFmtId="0" fontId="10" fillId="9" borderId="21" xfId="0" applyNumberFormat="1" applyFont="1" applyFill="1" applyBorder="1" applyAlignment="1">
      <x:alignment vertical="center"/>
    </x:xf>
    <x:xf numFmtId="0" fontId="10" fillId="10" borderId="21" xfId="0" applyNumberFormat="1" applyFont="1" applyFill="1" applyBorder="1" applyAlignment="1">
      <x:alignment vertical="center"/>
    </x:xf>
    <x:xf numFmtId="0" fontId="10" fillId="10" borderId="23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horizontal="left"/>
    </x:xf>
    <x:xf numFmtId="0" fontId="11" fillId="11" borderId="0" xfId="0" applyNumberFormat="1" applyFont="1" applyFill="1" applyBorder="1" applyAlignment="1">
      <x:alignment horizontal="left" vertical="center"/>
    </x:xf>
    <x:xf numFmtId="0" fontId="0" fillId="11" borderId="2" xfId="0" applyNumberFormat="1" applyFont="1" applyFill="1" applyBorder="1"/>
    <x:xf numFmtId="0" fontId="11" fillId="11" borderId="2" xfId="0" applyNumberFormat="1" applyFont="1" applyFill="1" applyBorder="1"/>
    <x:xf numFmtId="0" fontId="11" fillId="11" borderId="2" xfId="0" applyNumberFormat="1" applyFont="1" applyFill="1" applyBorder="1" applyAlignment="1">
      <x:alignment horizontal="left"/>
    </x:xf>
    <x:xf numFmtId="0" fontId="11" fillId="11" borderId="2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10" fontId="0" fillId="12" borderId="0" xfId="0" applyNumberFormat="1" applyFont="1" applyFill="1" applyBorder="1"/>
    <x:xf numFmtId="0" fontId="12" fillId="12" borderId="0" xfId="0" applyNumberFormat="1" applyFont="1" applyFill="1" applyBorder="1"/>
    <x:xf numFmtId="1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vertical="center"/>
    </x:xf>
    <x:xf numFmtId="10" fontId="12" fillId="12" borderId="0" xfId="0" applyNumberFormat="1" applyFont="1" applyFill="1" applyBorder="1" applyAlignment="1">
      <x:alignment vertical="center"/>
    </x:xf>
    <x:xf numFmtId="0" fontId="0" fillId="12" borderId="2" xfId="0" applyNumberFormat="1" applyFont="1" applyFill="1" applyBorder="1"/>
    <x:xf numFmtId="10" fontId="0" fillId="12" borderId="2" xfId="0" applyNumberFormat="1" applyFont="1" applyFill="1" applyBorder="1"/>
    <x:xf numFmtId="0" fontId="12" fillId="12" borderId="2" xfId="0" applyNumberFormat="1" applyFont="1" applyFill="1" applyBorder="1"/>
    <x:xf numFmtId="10" fontId="12" fillId="12" borderId="2" xfId="0" applyNumberFormat="1" applyFont="1" applyFill="1" applyBorder="1"/>
    <x:xf numFmtId="0" fontId="12" fillId="12" borderId="2" xfId="0" applyNumberFormat="1" applyFont="1" applyFill="1" applyBorder="1" applyAlignment="1">
      <x:alignment vertical="center"/>
    </x:xf>
    <x:xf numFmtId="10" fontId="12" fillId="12" borderId="2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vertical="center"/>
    </x:xf>
    <x:xf numFmtId="0" fontId="13" fillId="7" borderId="0" xfId="0" applyNumberFormat="1" applyFont="1" applyFill="1" applyBorder="1" applyAlignment="1">
      <x:alignment vertical="center"/>
    </x:xf>
    <x:xf numFmtId="0" fontId="13" fillId="7" borderId="0" xfId="0" applyNumberFormat="1" applyFont="1" applyFill="1" applyBorder="1" applyAlignment="1">
      <x:alignment horizontal="center" vertical="center"/>
    </x:xf>
    <x:xf numFmtId="0" fontId="12" fillId="7" borderId="2" xfId="0" applyNumberFormat="1" applyFont="1" applyFill="1" applyBorder="1" applyAlignment="1">
      <x:alignment vertical="center"/>
    </x:xf>
    <x:xf numFmtId="0" fontId="13" fillId="7" borderId="2" xfId="0" applyNumberFormat="1" applyFont="1" applyFill="1" applyBorder="1" applyAlignment="1">
      <x:alignment vertical="center"/>
    </x:xf>
    <x:xf numFmtId="0" fontId="13" fillId="7" borderId="2" xfId="0" applyNumberFormat="1" applyFont="1" applyFill="1" applyBorder="1" applyAlignment="1">
      <x:alignment horizontal="center" vertical="center"/>
    </x:xf>
    <x:xf numFmtId="0" fontId="12" fillId="9" borderId="0" xfId="0" applyNumberFormat="1" applyFont="1" applyFill="1" applyBorder="1" applyAlignment="1">
      <x:alignment vertical="center"/>
    </x:xf>
    <x:xf numFmtId="0" fontId="14" fillId="9" borderId="0" xfId="0" applyNumberFormat="1" applyFont="1" applyFill="1" applyBorder="1" applyAlignment="1">
      <x:alignment vertical="center"/>
    </x:xf>
    <x:xf numFmtId="0" fontId="14" fillId="9" borderId="0" xfId="0" applyNumberFormat="1" applyFont="1" applyFill="1" applyBorder="1" applyAlignment="1">
      <x:alignment horizontal="center" vertical="center"/>
    </x:xf>
    <x:xf numFmtId="0" fontId="12" fillId="9" borderId="2" xfId="0" applyNumberFormat="1" applyFont="1" applyFill="1" applyBorder="1" applyAlignment="1">
      <x:alignment vertical="center"/>
    </x:xf>
    <x:xf numFmtId="0" fontId="14" fillId="9" borderId="2" xfId="0" applyNumberFormat="1" applyFont="1" applyFill="1" applyBorder="1" applyAlignment="1">
      <x:alignment vertical="center"/>
    </x:xf>
    <x:xf numFmtId="0" fontId="14" fillId="9" borderId="2" xfId="0" applyNumberFormat="1" applyFont="1" applyFill="1" applyBorder="1" applyAlignment="1">
      <x:alignment horizontal="center" vertical="center"/>
    </x:xf>
    <x:xf numFmtId="0" fontId="12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8" fillId="8" borderId="4" xfId="0" applyNumberFormat="1" applyFont="1" applyFill="1" applyBorder="1" applyAlignment="1">
      <x:alignment vertical="center"/>
    </x:xf>
    <x:xf numFmtId="0" fontId="8" fillId="8" borderId="5" xfId="0" applyNumberFormat="1" applyFont="1" applyFill="1" applyBorder="1" applyAlignment="1">
      <x:alignment vertical="center"/>
    </x:xf>
    <x:xf numFmtId="0" fontId="8" fillId="8" borderId="6" xfId="0" applyNumberFormat="1" applyFont="1" applyFill="1" applyBorder="1" applyAlignment="1">
      <x:alignment vertical="center"/>
    </x:xf>
    <x:xf numFmtId="0" fontId="8" fillId="8" borderId="4" xfId="0" applyNumberFormat="1" applyFont="1" applyFill="1" applyBorder="1" applyAlignment="1">
      <x:alignment vertical="center" wrapText="1"/>
    </x:xf>
    <x:xf numFmtId="0" fontId="8" fillId="8" borderId="5" xfId="0" applyNumberFormat="1" applyFont="1" applyFill="1" applyBorder="1" applyAlignment="1">
      <x:alignment vertical="center" wrapText="1"/>
    </x:xf>
    <x:xf numFmtId="0" fontId="8" fillId="8" borderId="6" xfId="0" applyNumberFormat="1" applyFont="1" applyFill="1" applyBorder="1" applyAlignment="1">
      <x:alignment vertical="center" wrapText="1"/>
    </x:xf>
    <x:xf numFmtId="0" fontId="12" fillId="8" borderId="2" xfId="0" applyNumberFormat="1" applyFont="1" applyFill="1" applyBorder="1" applyAlignment="1">
      <x:alignment vertical="center"/>
    </x:xf>
    <x:xf numFmtId="0" fontId="8" fillId="8" borderId="2" xfId="0" applyNumberFormat="1" applyFont="1" applyFill="1" applyBorder="1" applyAlignment="1">
      <x:alignment vertical="center"/>
    </x:xf>
    <x:xf numFmtId="0" fontId="8" fillId="8" borderId="7" xfId="0" applyNumberFormat="1" applyFont="1" applyFill="1" applyBorder="1" applyAlignment="1">
      <x:alignment vertical="center"/>
    </x:xf>
    <x:xf numFmtId="0" fontId="8" fillId="8" borderId="8" xfId="0" applyNumberFormat="1" applyFont="1" applyFill="1" applyBorder="1" applyAlignment="1">
      <x:alignment vertical="center"/>
    </x:xf>
    <x:xf numFmtId="0" fontId="8" fillId="8" borderId="9" xfId="0" applyNumberFormat="1" applyFont="1" applyFill="1" applyBorder="1" applyAlignment="1">
      <x:alignment vertical="center"/>
    </x:xf>
    <x:xf numFmtId="0" fontId="8" fillId="8" borderId="7" xfId="0" applyNumberFormat="1" applyFont="1" applyFill="1" applyBorder="1" applyAlignment="1">
      <x:alignment vertical="center" wrapText="1"/>
    </x:xf>
    <x:xf numFmtId="0" fontId="8" fillId="8" borderId="8" xfId="0" applyNumberFormat="1" applyFont="1" applyFill="1" applyBorder="1" applyAlignment="1">
      <x:alignment vertical="center" wrapText="1"/>
    </x:xf>
    <x:xf numFmtId="0" fontId="8" fillId="8" borderId="9" xfId="0" applyNumberFormat="1" applyFont="1" applyFill="1" applyBorder="1" applyAlignment="1">
      <x:alignment vertical="center" wrapText="1"/>
    </x:xf>
    <x:xf numFmtId="0" fontId="12" fillId="10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/>
    </x:xf>
    <x:xf numFmtId="0" fontId="10" fillId="10" borderId="26" xfId="0" applyNumberFormat="1" applyFont="1" applyFill="1" applyBorder="1" applyAlignment="1">
      <x:alignment vertical="center"/>
    </x:xf>
    <x:xf numFmtId="0" fontId="10" fillId="10" borderId="27" xfId="0" applyNumberFormat="1" applyFont="1" applyFill="1" applyBorder="1" applyAlignment="1">
      <x:alignment vertical="center"/>
    </x:xf>
    <x:xf numFmtId="0" fontId="10" fillId="10" borderId="28" xfId="0" applyNumberFormat="1" applyFont="1" applyFill="1" applyBorder="1" applyAlignment="1">
      <x:alignment vertical="center"/>
    </x:xf>
    <x:xf numFmtId="0" fontId="10" fillId="10" borderId="26" xfId="0" applyNumberFormat="1" applyFont="1" applyFill="1" applyBorder="1" applyAlignment="1">
      <x:alignment vertical="center" wrapText="1"/>
    </x:xf>
    <x:xf numFmtId="0" fontId="10" fillId="10" borderId="27" xfId="0" applyNumberFormat="1" applyFont="1" applyFill="1" applyBorder="1" applyAlignment="1">
      <x:alignment vertical="center" wrapText="1"/>
    </x:xf>
    <x:xf numFmtId="0" fontId="10" fillId="10" borderId="28" xfId="0" applyNumberFormat="1" applyFont="1" applyFill="1" applyBorder="1" applyAlignment="1">
      <x:alignment vertical="center" wrapText="1"/>
    </x:xf>
    <x:xf numFmtId="0" fontId="10" fillId="10" borderId="26" xfId="0" applyNumberFormat="1" applyFont="1" applyFill="1" applyBorder="1" applyAlignment="1">
      <x:alignment horizontal="left" vertical="center" wrapText="1"/>
    </x:xf>
    <x:xf numFmtId="0" fontId="10" fillId="10" borderId="27" xfId="0" applyNumberFormat="1" applyFont="1" applyFill="1" applyBorder="1" applyAlignment="1">
      <x:alignment horizontal="left" vertical="center" wrapText="1"/>
    </x:xf>
    <x:xf numFmtId="0" fontId="10" fillId="10" borderId="28" xfId="0" applyNumberFormat="1" applyFont="1" applyFill="1" applyBorder="1" applyAlignment="1">
      <x:alignment horizontal="left" vertical="center" wrapText="1"/>
    </x:xf>
    <x:xf numFmtId="0" fontId="12" fillId="10" borderId="2" xfId="0" applyNumberFormat="1" applyFont="1" applyFill="1" applyBorder="1" applyAlignment="1">
      <x:alignment vertical="center"/>
    </x:xf>
    <x:xf numFmtId="0" fontId="10" fillId="10" borderId="2" xfId="0" applyNumberFormat="1" applyFont="1" applyFill="1" applyBorder="1" applyAlignment="1">
      <x:alignment vertical="center"/>
    </x:xf>
    <x:xf numFmtId="0" fontId="10" fillId="10" borderId="29" xfId="0" applyNumberFormat="1" applyFont="1" applyFill="1" applyBorder="1" applyAlignment="1">
      <x:alignment vertical="center"/>
    </x:xf>
    <x:xf numFmtId="0" fontId="10" fillId="10" borderId="30" xfId="0" applyNumberFormat="1" applyFont="1" applyFill="1" applyBorder="1" applyAlignment="1">
      <x:alignment vertical="center"/>
    </x:xf>
    <x:xf numFmtId="0" fontId="10" fillId="10" borderId="31" xfId="0" applyNumberFormat="1" applyFont="1" applyFill="1" applyBorder="1" applyAlignment="1">
      <x:alignment vertical="center"/>
    </x:xf>
    <x:xf numFmtId="0" fontId="10" fillId="10" borderId="29" xfId="0" applyNumberFormat="1" applyFont="1" applyFill="1" applyBorder="1" applyAlignment="1">
      <x:alignment vertical="center" wrapText="1"/>
    </x:xf>
    <x:xf numFmtId="0" fontId="10" fillId="10" borderId="30" xfId="0" applyNumberFormat="1" applyFont="1" applyFill="1" applyBorder="1" applyAlignment="1">
      <x:alignment vertical="center" wrapText="1"/>
    </x:xf>
    <x:xf numFmtId="0" fontId="10" fillId="10" borderId="31" xfId="0" applyNumberFormat="1" applyFont="1" applyFill="1" applyBorder="1" applyAlignment="1">
      <x:alignment vertical="center" wrapText="1"/>
    </x:xf>
    <x:xf numFmtId="0" fontId="10" fillId="10" borderId="29" xfId="0" applyNumberFormat="1" applyFont="1" applyFill="1" applyBorder="1" applyAlignment="1">
      <x:alignment horizontal="left" vertical="center" wrapText="1"/>
    </x:xf>
    <x:xf numFmtId="0" fontId="10" fillId="10" borderId="30" xfId="0" applyNumberFormat="1" applyFont="1" applyFill="1" applyBorder="1" applyAlignment="1">
      <x:alignment horizontal="left" vertical="center" wrapText="1"/>
    </x:xf>
    <x:xf numFmtId="0" fontId="10" fillId="10" borderId="31" xfId="0" applyNumberFormat="1" applyFont="1" applyFill="1" applyBorder="1" applyAlignment="1">
      <x:alignment horizontal="left" vertical="center" wrapText="1"/>
    </x:xf>
    <x:xf numFmtId="10" fontId="12" fillId="12" borderId="10" xfId="0" applyNumberFormat="1" applyFont="1" applyFill="1" applyBorder="1" applyAlignment="1">
      <x:alignment vertical="center"/>
    </x:xf>
    <x:xf numFmtId="10" fontId="12" fillId="12" borderId="11" xfId="0" applyNumberFormat="1" applyFont="1" applyFill="1" applyBorder="1" applyAlignment="1">
      <x:alignment vertical="center"/>
    </x:xf>
    <x:xf numFmtId="10" fontId="12" fillId="12" borderId="12" xfId="0" applyNumberFormat="1" applyFont="1" applyFill="1" applyBorder="1" applyAlignment="1">
      <x:alignment vertical="center"/>
    </x:xf>
    <x:xf numFmtId="0" fontId="12" fillId="12" borderId="13" xfId="0" applyNumberFormat="1" applyFont="1" applyFill="1" applyBorder="1" applyAlignment="1">
      <x:alignment vertical="center"/>
    </x:xf>
    <x:xf numFmtId="0" fontId="12" fillId="12" borderId="14" xfId="0" applyNumberFormat="1" applyFont="1" applyFill="1" applyBorder="1" applyAlignment="1">
      <x:alignment vertical="center"/>
    </x:xf>
    <x:xf numFmtId="0" fontId="12" fillId="12" borderId="15" xfId="0" applyNumberFormat="1" applyFont="1" applyFill="1" applyBorder="1" applyAlignment="1">
      <x:alignment vertical="center"/>
    </x:xf>
    <x:xf numFmtId="0" fontId="12" fillId="12" borderId="16" xfId="0" applyNumberFormat="1" applyFont="1" applyFill="1" applyBorder="1" applyAlignment="1">
      <x:alignment vertical="center"/>
    </x:xf>
    <x:xf numFmtId="0" fontId="12" fillId="12" borderId="17" xfId="0" applyNumberFormat="1" applyFont="1" applyFill="1" applyBorder="1" applyAlignment="1">
      <x:alignment vertical="center"/>
    </x:xf>
    <x:xf numFmtId="10" fontId="12" fillId="12" borderId="10" xfId="0" applyNumberFormat="1" applyFont="1" applyFill="1" applyBorder="1" applyAlignment="1">
      <x:alignment horizontal="center" vertical="center"/>
    </x:xf>
    <x:xf numFmtId="10" fontId="12" fillId="12" borderId="11" xfId="0" applyNumberFormat="1" applyFont="1" applyFill="1" applyBorder="1" applyAlignment="1">
      <x:alignment horizontal="center" vertical="center"/>
    </x:xf>
    <x:xf numFmtId="10" fontId="12" fillId="12" borderId="12" xfId="0" applyNumberFormat="1" applyFont="1" applyFill="1" applyBorder="1" applyAlignment="1">
      <x:alignment horizontal="center" vertical="center"/>
    </x:xf>
    <x:xf numFmtId="0" fontId="12" fillId="12" borderId="13" xfId="0" applyNumberFormat="1" applyFont="1" applyFill="1" applyBorder="1" applyAlignment="1">
      <x:alignment horizontal="center" vertical="center"/>
    </x:xf>
    <x:xf numFmtId="0" fontId="12" fillId="12" borderId="0" xfId="0" applyNumberFormat="1" applyFont="1" applyFill="1" applyBorder="1" applyAlignment="1">
      <x:alignment horizontal="center" vertical="center"/>
    </x:xf>
    <x:xf numFmtId="0" fontId="12" fillId="12" borderId="14" xfId="0" applyNumberFormat="1" applyFont="1" applyFill="1" applyBorder="1" applyAlignment="1">
      <x:alignment horizontal="center" vertical="center"/>
    </x:xf>
    <x:xf numFmtId="0" fontId="12" fillId="12" borderId="15" xfId="0" applyNumberFormat="1" applyFont="1" applyFill="1" applyBorder="1" applyAlignment="1">
      <x:alignment horizontal="center" vertical="center"/>
    </x:xf>
    <x:xf numFmtId="0" fontId="12" fillId="12" borderId="16" xfId="0" applyNumberFormat="1" applyFont="1" applyFill="1" applyBorder="1" applyAlignment="1">
      <x:alignment horizontal="center" vertical="center"/>
    </x:xf>
    <x:xf numFmtId="0" fontId="12" fillId="12" borderId="17" xfId="0" applyNumberFormat="1" applyFont="1" applyFill="1" applyBorder="1" applyAlignment="1">
      <x:alignment horizontal="center" vertical="center"/>
    </x:xf>
    <x:xf numFmtId="10" fontId="12" fillId="12" borderId="18" xfId="0" applyNumberFormat="1" applyFont="1" applyFill="1" applyBorder="1" applyAlignment="1">
      <x:alignment vertical="center"/>
    </x:xf>
    <x:xf numFmtId="10" fontId="12" fillId="12" borderId="19" xfId="0" applyNumberFormat="1" applyFont="1" applyFill="1" applyBorder="1" applyAlignment="1">
      <x:alignment vertical="center"/>
    </x:xf>
    <x:xf numFmtId="10" fontId="12" fillId="12" borderId="20" xfId="0" applyNumberFormat="1" applyFont="1" applyFill="1" applyBorder="1" applyAlignment="1">
      <x:alignment vertical="center"/>
    </x:xf>
    <x:xf numFmtId="0" fontId="12" fillId="12" borderId="21" xfId="0" applyNumberFormat="1" applyFont="1" applyFill="1" applyBorder="1" applyAlignment="1">
      <x:alignment vertical="center"/>
    </x:xf>
    <x:xf numFmtId="0" fontId="12" fillId="12" borderId="22" xfId="0" applyNumberFormat="1" applyFont="1" applyFill="1" applyBorder="1" applyAlignment="1">
      <x:alignment vertical="center"/>
    </x:xf>
    <x:xf numFmtId="0" fontId="12" fillId="12" borderId="23" xfId="0" applyNumberFormat="1" applyFont="1" applyFill="1" applyBorder="1" applyAlignment="1">
      <x:alignment vertical="center"/>
    </x:xf>
    <x:xf numFmtId="0" fontId="12" fillId="12" borderId="24" xfId="0" applyNumberFormat="1" applyFont="1" applyFill="1" applyBorder="1" applyAlignment="1">
      <x:alignment vertical="center"/>
    </x:xf>
    <x:xf numFmtId="0" fontId="12" fillId="12" borderId="25" xfId="0" applyNumberFormat="1" applyFont="1" applyFill="1" applyBorder="1" applyAlignment="1">
      <x:alignment vertical="center"/>
    </x:xf>
    <x:xf numFmtId="10" fontId="12" fillId="12" borderId="18" xfId="0" applyNumberFormat="1" applyFont="1" applyFill="1" applyBorder="1" applyAlignment="1">
      <x:alignment horizontal="center" vertical="center"/>
    </x:xf>
    <x:xf numFmtId="10" fontId="12" fillId="12" borderId="19" xfId="0" applyNumberFormat="1" applyFont="1" applyFill="1" applyBorder="1" applyAlignment="1">
      <x:alignment horizontal="center" vertical="center"/>
    </x:xf>
    <x:xf numFmtId="10" fontId="12" fillId="12" borderId="20" xfId="0" applyNumberFormat="1" applyFont="1" applyFill="1" applyBorder="1" applyAlignment="1">
      <x:alignment horizontal="center" vertical="center"/>
    </x:xf>
    <x:xf numFmtId="0" fontId="12" fillId="12" borderId="21" xfId="0" applyNumberFormat="1" applyFont="1" applyFill="1" applyBorder="1" applyAlignment="1">
      <x:alignment horizontal="center" vertical="center"/>
    </x:xf>
    <x:xf numFmtId="0" fontId="12" fillId="12" borderId="2" xfId="0" applyNumberFormat="1" applyFont="1" applyFill="1" applyBorder="1" applyAlignment="1">
      <x:alignment horizontal="center" vertical="center"/>
    </x:xf>
    <x:xf numFmtId="0" fontId="12" fillId="12" borderId="22" xfId="0" applyNumberFormat="1" applyFont="1" applyFill="1" applyBorder="1" applyAlignment="1">
      <x:alignment horizontal="center" vertical="center"/>
    </x:xf>
    <x:xf numFmtId="0" fontId="12" fillId="12" borderId="23" xfId="0" applyNumberFormat="1" applyFont="1" applyFill="1" applyBorder="1" applyAlignment="1">
      <x:alignment horizontal="center" vertical="center"/>
    </x:xf>
    <x:xf numFmtId="0" fontId="12" fillId="12" borderId="24" xfId="0" applyNumberFormat="1" applyFont="1" applyFill="1" applyBorder="1" applyAlignment="1">
      <x:alignment horizontal="center" vertical="center"/>
    </x:xf>
    <x:xf numFmtId="0" fontId="12" fillId="12" borderId="25" xfId="0" applyNumberFormat="1" applyFont="1" applyFill="1" applyBorder="1" applyAlignment="1">
      <x:alignment horizontal="center" vertical="center"/>
    </x:xf>
    <x:xf numFmtId="0" fontId="12" fillId="13" borderId="13" xfId="0" applyNumberFormat="1" applyFont="1" applyFill="1" applyBorder="1" applyAlignment="1">
      <x:alignment horizontal="center" vertical="center"/>
    </x:xf>
    <x:xf numFmtId="0" fontId="12" fillId="13" borderId="0" xfId="0" applyNumberFormat="1" applyFont="1" applyFill="1" applyBorder="1" applyAlignment="1">
      <x:alignment horizontal="center" vertical="center"/>
    </x:xf>
    <x:xf numFmtId="0" fontId="12" fillId="13" borderId="14" xfId="0" applyNumberFormat="1" applyFont="1" applyFill="1" applyBorder="1" applyAlignment="1">
      <x:alignment horizontal="center" vertical="center"/>
    </x:xf>
    <x:xf numFmtId="0" fontId="12" fillId="13" borderId="21" xfId="0" applyNumberFormat="1" applyFont="1" applyFill="1" applyBorder="1" applyAlignment="1">
      <x:alignment horizontal="center" vertical="center"/>
    </x:xf>
    <x:xf numFmtId="0" fontId="12" fillId="13" borderId="2" xfId="0" applyNumberFormat="1" applyFont="1" applyFill="1" applyBorder="1" applyAlignment="1">
      <x:alignment horizontal="center" vertical="center"/>
    </x:xf>
    <x:xf numFmtId="0" fontId="12" fillId="13" borderId="22" xfId="0" applyNumberFormat="1" applyFont="1" applyFill="1" applyBorder="1" applyAlignment="1">
      <x:alignment horizontal="center" vertical="center"/>
    </x:xf>
    <x:xf numFmtId="0" fontId="10" fillId="9" borderId="28" xfId="0" applyNumberFormat="1" applyFont="1" applyFill="1" applyBorder="1" applyAlignment="1">
      <x:alignment horizontal="left" vertical="center" wrapText="1"/>
    </x:xf>
    <x:xf numFmtId="0" fontId="12" fillId="9" borderId="15" xfId="0" applyNumberFormat="1" applyFont="1" applyFill="1" applyBorder="1" applyAlignment="1">
      <x:alignment horizontal="center" vertical="center"/>
    </x:xf>
    <x:xf numFmtId="0" fontId="12" fillId="9" borderId="16" xfId="0" applyNumberFormat="1" applyFont="1" applyFill="1" applyBorder="1" applyAlignment="1">
      <x:alignment horizontal="center" vertical="center"/>
    </x:xf>
    <x:xf numFmtId="0" fontId="12" fillId="9" borderId="17" xfId="0" applyNumberFormat="1" applyFont="1" applyFill="1" applyBorder="1" applyAlignment="1">
      <x:alignment horizontal="center" vertical="center"/>
    </x:xf>
    <x:xf numFmtId="0" fontId="10" fillId="9" borderId="31" xfId="0" applyNumberFormat="1" applyFont="1" applyFill="1" applyBorder="1" applyAlignment="1">
      <x:alignment horizontal="left" vertical="center" wrapText="1"/>
    </x:xf>
    <x:xf numFmtId="0" fontId="12" fillId="9" borderId="23" xfId="0" applyNumberFormat="1" applyFont="1" applyFill="1" applyBorder="1" applyAlignment="1">
      <x:alignment horizontal="center" vertical="center"/>
    </x:xf>
    <x:xf numFmtId="0" fontId="12" fillId="9" borderId="24" xfId="0" applyNumberFormat="1" applyFont="1" applyFill="1" applyBorder="1" applyAlignment="1">
      <x:alignment horizontal="center" vertical="center"/>
    </x:xf>
    <x:xf numFmtId="0" fontId="12" fillId="9" borderId="25" xfId="0" applyNumberFormat="1" applyFont="1" applyFill="1" applyBorder="1" applyAlignment="1">
      <x:alignment horizontal="center" vertical="center"/>
    </x:xf>
    <x:xf numFmtId="0" fontId="15" fillId="9" borderId="28" xfId="0" applyNumberFormat="1" applyFont="1" applyFill="1" applyBorder="1" applyAlignment="1">
      <x:alignment horizontal="left" vertical="center" wrapText="1"/>
    </x:xf>
    <x:xf numFmtId="0" fontId="15" fillId="9" borderId="15" xfId="0" applyNumberFormat="1" applyFont="1" applyFill="1" applyBorder="1" applyAlignment="1">
      <x:alignment horizontal="center" vertical="center"/>
    </x:xf>
    <x:xf numFmtId="0" fontId="15" fillId="9" borderId="16" xfId="0" applyNumberFormat="1" applyFont="1" applyFill="1" applyBorder="1" applyAlignment="1">
      <x:alignment horizontal="center" vertical="center"/>
    </x:xf>
    <x:xf numFmtId="0" fontId="15" fillId="9" borderId="17" xfId="0" applyNumberFormat="1" applyFont="1" applyFill="1" applyBorder="1" applyAlignment="1">
      <x:alignment horizontal="center" vertical="center"/>
    </x:xf>
    <x:xf numFmtId="0" fontId="15" fillId="9" borderId="31" xfId="0" applyNumberFormat="1" applyFont="1" applyFill="1" applyBorder="1" applyAlignment="1">
      <x:alignment horizontal="left" vertical="center" wrapText="1"/>
    </x:xf>
    <x:xf numFmtId="0" fontId="15" fillId="9" borderId="23" xfId="0" applyNumberFormat="1" applyFont="1" applyFill="1" applyBorder="1" applyAlignment="1">
      <x:alignment horizontal="center" vertical="center"/>
    </x:xf>
    <x:xf numFmtId="0" fontId="15" fillId="9" borderId="24" xfId="0" applyNumberFormat="1" applyFont="1" applyFill="1" applyBorder="1" applyAlignment="1">
      <x:alignment horizontal="center" vertical="center"/>
    </x:xf>
    <x:xf numFmtId="0" fontId="15" fillId="9" borderId="25" xfId="0" applyNumberFormat="1" applyFont="1" applyFill="1" applyBorder="1" applyAlignment="1">
      <x:alignment horizontal="center" vertical="center"/>
    </x:xf>
    <x:xf numFmtId="200" fontId="12" fillId="12" borderId="10" xfId="0" applyNumberFormat="1" applyFont="1" applyFill="1" applyBorder="1" applyAlignment="1">
      <x:alignment horizontal="center" vertical="center"/>
    </x:xf>
    <x:xf numFmtId="200" fontId="12" fillId="12" borderId="11" xfId="0" applyNumberFormat="1" applyFont="1" applyFill="1" applyBorder="1" applyAlignment="1">
      <x:alignment horizontal="center" vertical="center"/>
    </x:xf>
    <x:xf numFmtId="200" fontId="12" fillId="12" borderId="12" xfId="0" applyNumberFormat="1" applyFont="1" applyFill="1" applyBorder="1" applyAlignment="1">
      <x:alignment horizontal="center" vertical="center"/>
    </x:xf>
    <x:xf numFmtId="200" fontId="12" fillId="12" borderId="18" xfId="0" applyNumberFormat="1" applyFont="1" applyFill="1" applyBorder="1" applyAlignment="1">
      <x:alignment horizontal="center" vertical="center"/>
    </x:xf>
    <x:xf numFmtId="200" fontId="12" fillId="12" borderId="19" xfId="0" applyNumberFormat="1" applyFont="1" applyFill="1" applyBorder="1" applyAlignment="1">
      <x:alignment horizontal="center" vertical="center"/>
    </x:xf>
    <x:xf numFmtId="200" fontId="12" fillId="12" borderId="20" xfId="0" applyNumberFormat="1" applyFont="1" applyFill="1" applyBorder="1" applyAlignment="1">
      <x:alignment horizontal="center" vertical="center"/>
    </x:xf>
    <x:xf numFmtId="201" fontId="12" fillId="13" borderId="13" xfId="0" applyNumberFormat="1" applyFont="1" applyFill="1" applyBorder="1" applyAlignment="1">
      <x:alignment horizontal="center" vertical="center"/>
    </x:xf>
    <x:xf numFmtId="201" fontId="12" fillId="13" borderId="0" xfId="0" applyNumberFormat="1" applyFont="1" applyFill="1" applyBorder="1" applyAlignment="1">
      <x:alignment horizontal="center" vertical="center"/>
    </x:xf>
    <x:xf numFmtId="201" fontId="12" fillId="13" borderId="14" xfId="0" applyNumberFormat="1" applyFont="1" applyFill="1" applyBorder="1" applyAlignment="1">
      <x:alignment horizontal="center" vertical="center"/>
    </x:xf>
    <x:xf numFmtId="201" fontId="15" fillId="9" borderId="15" xfId="0" applyNumberFormat="1" applyFont="1" applyFill="1" applyBorder="1" applyAlignment="1">
      <x:alignment horizontal="center" vertical="center"/>
    </x:xf>
    <x:xf numFmtId="201" fontId="15" fillId="9" borderId="16" xfId="0" applyNumberFormat="1" applyFont="1" applyFill="1" applyBorder="1" applyAlignment="1">
      <x:alignment horizontal="center" vertical="center"/>
    </x:xf>
    <x:xf numFmtId="201" fontId="15" fillId="9" borderId="17" xfId="0" applyNumberFormat="1" applyFont="1" applyFill="1" applyBorder="1" applyAlignment="1">
      <x:alignment horizontal="center" vertical="center"/>
    </x:xf>
    <x:xf numFmtId="201" fontId="12" fillId="13" borderId="21" xfId="0" applyNumberFormat="1" applyFont="1" applyFill="1" applyBorder="1" applyAlignment="1">
      <x:alignment horizontal="center" vertical="center"/>
    </x:xf>
    <x:xf numFmtId="201" fontId="12" fillId="13" borderId="2" xfId="0" applyNumberFormat="1" applyFont="1" applyFill="1" applyBorder="1" applyAlignment="1">
      <x:alignment horizontal="center" vertical="center"/>
    </x:xf>
    <x:xf numFmtId="201" fontId="12" fillId="13" borderId="22" xfId="0" applyNumberFormat="1" applyFont="1" applyFill="1" applyBorder="1" applyAlignment="1">
      <x:alignment horizontal="center" vertical="center"/>
    </x:xf>
    <x:xf numFmtId="201" fontId="15" fillId="9" borderId="23" xfId="0" applyNumberFormat="1" applyFont="1" applyFill="1" applyBorder="1" applyAlignment="1">
      <x:alignment horizontal="center" vertical="center"/>
    </x:xf>
    <x:xf numFmtId="201" fontId="15" fillId="9" borderId="24" xfId="0" applyNumberFormat="1" applyFont="1" applyFill="1" applyBorder="1" applyAlignment="1">
      <x:alignment horizontal="center" vertical="center"/>
    </x:xf>
    <x:xf numFmtId="201" fontId="15" fillId="9" borderId="25" xfId="0" applyNumberFormat="1" applyFont="1" applyFill="1" applyBorder="1" applyAlignment="1">
      <x:alignment horizontal="center" vertical="center"/>
    </x:xf>
    <x:xf numFmtId="0" fontId="12" fillId="11" borderId="0" xfId="0" applyNumberFormat="1" applyFont="1" applyFill="1" applyBorder="1" applyAlignment="1">
      <x:alignment vertical="center"/>
    </x:xf>
    <x:xf numFmtId="0" fontId="11" fillId="11" borderId="0" xfId="0" applyNumberFormat="1" applyFont="1" applyFill="1" applyBorder="1" applyAlignment="1">
      <x:alignment vertical="center"/>
    </x:xf>
    <x:xf numFmtId="0" fontId="12" fillId="11" borderId="2" xfId="0" applyNumberFormat="1" applyFont="1" applyFill="1" applyBorder="1" applyAlignment="1">
      <x:alignment vertical="center"/>
    </x:xf>
    <x:xf numFmtId="0" fontId="11" fillId="11" borderId="2" xfId="0" applyNumberFormat="1" applyFont="1" applyFill="1" applyBorder="1" applyAlignment="1">
      <x:alignment vertical="center"/>
    </x:xf>
    <x:xf numFmtId="0" fontId="12" fillId="12" borderId="10" xfId="0" applyNumberFormat="1" applyFont="1" applyFill="1" applyBorder="1" applyAlignment="1">
      <x:alignment vertical="center"/>
    </x:xf>
    <x:xf numFmtId="0" fontId="12" fillId="12" borderId="11" xfId="0" applyNumberFormat="1" applyFont="1" applyFill="1" applyBorder="1" applyAlignment="1">
      <x:alignment vertical="center"/>
    </x:xf>
    <x:xf numFmtId="0" fontId="12" fillId="12" borderId="12" xfId="0" applyNumberFormat="1" applyFont="1" applyFill="1" applyBorder="1" applyAlignment="1">
      <x:alignment vertical="center"/>
    </x:xf>
    <x:xf numFmtId="10" fontId="12" fillId="12" borderId="13" xfId="0" applyNumberFormat="1" applyFont="1" applyFill="1" applyBorder="1" applyAlignment="1">
      <x:alignment vertical="center"/>
    </x:xf>
    <x:xf numFmtId="10" fontId="12" fillId="12" borderId="14" xfId="0" applyNumberFormat="1" applyFont="1" applyFill="1" applyBorder="1" applyAlignment="1">
      <x:alignment vertical="center"/>
    </x:xf>
    <x:xf numFmtId="0" fontId="12" fillId="12" borderId="10" xfId="0" applyNumberFormat="1" applyFont="1" applyFill="1" applyBorder="1" applyAlignment="1">
      <x:alignment horizontal="center" vertical="center"/>
    </x:xf>
    <x:xf numFmtId="0" fontId="12" fillId="12" borderId="11" xfId="0" applyNumberFormat="1" applyFont="1" applyFill="1" applyBorder="1" applyAlignment="1">
      <x:alignment horizontal="center" vertical="center"/>
    </x:xf>
    <x:xf numFmtId="0" fontId="12" fillId="12" borderId="12" xfId="0" applyNumberFormat="1" applyFont="1" applyFill="1" applyBorder="1" applyAlignment="1">
      <x:alignment horizontal="center" vertical="center"/>
    </x:xf>
    <x:xf numFmtId="10" fontId="12" fillId="12" borderId="13" xfId="0" applyNumberFormat="1" applyFont="1" applyFill="1" applyBorder="1" applyAlignment="1">
      <x:alignment horizontal="center" vertical="center"/>
    </x:xf>
    <x:xf numFmtId="10" fontId="12" fillId="12" borderId="0" xfId="0" applyNumberFormat="1" applyFont="1" applyFill="1" applyBorder="1" applyAlignment="1">
      <x:alignment horizontal="center" vertical="center"/>
    </x:xf>
    <x:xf numFmtId="10" fontId="12" fillId="12" borderId="14" xfId="0" applyNumberFormat="1" applyFont="1" applyFill="1" applyBorder="1" applyAlignment="1">
      <x:alignment horizontal="center" vertical="center"/>
    </x:xf>
    <x:xf numFmtId="0" fontId="12" fillId="12" borderId="18" xfId="0" applyNumberFormat="1" applyFont="1" applyFill="1" applyBorder="1" applyAlignment="1">
      <x:alignment vertical="center"/>
    </x:xf>
    <x:xf numFmtId="0" fontId="12" fillId="12" borderId="19" xfId="0" applyNumberFormat="1" applyFont="1" applyFill="1" applyBorder="1" applyAlignment="1">
      <x:alignment vertical="center"/>
    </x:xf>
    <x:xf numFmtId="0" fontId="12" fillId="12" borderId="20" xfId="0" applyNumberFormat="1" applyFont="1" applyFill="1" applyBorder="1" applyAlignment="1">
      <x:alignment vertical="center"/>
    </x:xf>
    <x:xf numFmtId="10" fontId="12" fillId="12" borderId="21" xfId="0" applyNumberFormat="1" applyFont="1" applyFill="1" applyBorder="1" applyAlignment="1">
      <x:alignment vertical="center"/>
    </x:xf>
    <x:xf numFmtId="10" fontId="12" fillId="12" borderId="22" xfId="0" applyNumberFormat="1" applyFont="1" applyFill="1" applyBorder="1" applyAlignment="1">
      <x:alignment vertical="center"/>
    </x:xf>
    <x:xf numFmtId="0" fontId="12" fillId="12" borderId="18" xfId="0" applyNumberFormat="1" applyFont="1" applyFill="1" applyBorder="1" applyAlignment="1">
      <x:alignment horizontal="center" vertical="center"/>
    </x:xf>
    <x:xf numFmtId="0" fontId="12" fillId="12" borderId="19" xfId="0" applyNumberFormat="1" applyFont="1" applyFill="1" applyBorder="1" applyAlignment="1">
      <x:alignment horizontal="center" vertical="center"/>
    </x:xf>
    <x:xf numFmtId="0" fontId="12" fillId="12" borderId="20" xfId="0" applyNumberFormat="1" applyFont="1" applyFill="1" applyBorder="1" applyAlignment="1">
      <x:alignment horizontal="center" vertical="center"/>
    </x:xf>
    <x:xf numFmtId="10" fontId="12" fillId="12" borderId="21" xfId="0" applyNumberFormat="1" applyFont="1" applyFill="1" applyBorder="1" applyAlignment="1">
      <x:alignment horizontal="center" vertical="center"/>
    </x:xf>
    <x:xf numFmtId="10" fontId="12" fillId="12" borderId="2" xfId="0" applyNumberFormat="1" applyFont="1" applyFill="1" applyBorder="1" applyAlignment="1">
      <x:alignment horizontal="center" vertical="center"/>
    </x:xf>
    <x:xf numFmtId="10" fontId="12" fillId="12" borderId="22" xfId="0" applyNumberFormat="1" applyFont="1" applyFill="1" applyBorder="1" applyAlignment="1">
      <x:alignment horizontal="center" vertical="center"/>
    </x:xf>
    <x:xf numFmtId="10" fontId="12" fillId="13" borderId="13" xfId="0" applyNumberFormat="1" applyFont="1" applyFill="1" applyBorder="1" applyAlignment="1">
      <x:alignment horizontal="center" vertical="center"/>
    </x:xf>
    <x:xf numFmtId="10" fontId="12" fillId="13" borderId="0" xfId="0" applyNumberFormat="1" applyFont="1" applyFill="1" applyBorder="1" applyAlignment="1">
      <x:alignment horizontal="center" vertical="center"/>
    </x:xf>
    <x:xf numFmtId="10" fontId="12" fillId="13" borderId="14" xfId="0" applyNumberFormat="1" applyFont="1" applyFill="1" applyBorder="1" applyAlignment="1">
      <x:alignment horizontal="center" vertical="center"/>
    </x:xf>
    <x:xf numFmtId="10" fontId="12" fillId="13" borderId="21" xfId="0" applyNumberFormat="1" applyFont="1" applyFill="1" applyBorder="1" applyAlignment="1">
      <x:alignment horizontal="center" vertical="center"/>
    </x:xf>
    <x:xf numFmtId="10" fontId="12" fillId="13" borderId="2" xfId="0" applyNumberFormat="1" applyFont="1" applyFill="1" applyBorder="1" applyAlignment="1">
      <x:alignment horizontal="center" vertical="center"/>
    </x:xf>
    <x:xf numFmtId="10" fontId="12" fillId="13" borderId="22" xfId="0" applyNumberFormat="1" applyFont="1" applyFill="1" applyBorder="1" applyAlignment="1">
      <x:alignment horizontal="center" vertical="center"/>
    </x:xf>
  </x:cellXfs>
  <x:cellStyles count="3">
    <x:cellStyle name="Normal" xfId="0"/>
    <x:cellStyle name="Normal 2" xfId="1"/>
    <x:cellStyle name="Porcentaje" xfId="2"/>
  </x:cellStyles>
  <x:dxfs count="4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0F6E56"/>
      </x:font>
      <x:fill>
        <x:patternFill patternType="solid">
          <x:bgColor rgb="FFEAF8F1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0F6E56"/>
      </x:font>
      <x:fill>
        <x:patternFill patternType="solid">
          <x:bgColor rgb="FFEAF8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4a941e9b3445ce" /><Relationship Type="http://schemas.openxmlformats.org/officeDocument/2006/relationships/theme" Target="/xl/theme/theme1.xml" Id="Ra54abdfe005f4b51" /><Relationship Type="http://schemas.openxmlformats.org/officeDocument/2006/relationships/sharedStrings" Target="/xl/sharedStrings.xml" Id="Rec7faf7e698d4af3" /><Relationship Type="http://schemas.openxmlformats.org/officeDocument/2006/relationships/worksheet" Target="/xl/worksheets/sheet1.xml" Id="R706116306fad4349" /><Relationship Type="http://schemas.openxmlformats.org/officeDocument/2006/relationships/worksheet" Target="/xl/worksheets/sheet2.xml" Id="Rc7c08443463e46c1" /><Relationship Type="http://schemas.openxmlformats.org/officeDocument/2006/relationships/worksheet" Target="/xl/worksheets/sheet3.xml" Id="Rba7910e5f5d64bd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6640625" defaultRowHeight="14.399999618530273"/>
  <x:cols>
    <x:col min="1" max="1" width="24.109375" style="5" customWidth="1"/>
    <x:col min="2" max="2" width="18.44140625" style="9" customWidth="1"/>
    <x:col min="3" max="5" width="14.77734375" style="1" customWidth="1"/>
    <x:col min="6" max="6" width="16.5546875" style="1" customWidth="1"/>
    <x:col min="7" max="7" width="14.77734375" style="1" customWidth="1"/>
    <x:col min="8" max="8" width="21.5546875" style="1" customWidth="1"/>
    <x:col min="9" max="15" width="14.77734375" style="1" customWidth="1"/>
    <x:col min="16" max="16384" width="8.6640625" style="1" customWidth="0"/>
    <x:col min="11" max="11" width="17" hidden="0" customWidth="1"/>
    <x:col min="12" max="12" width="18" hidden="0" customWidth="1"/>
    <x:col min="13" max="13" width="16" hidden="0" customWidth="1"/>
    <x:col min="14" max="14" width="20" hidden="0" customWidth="1"/>
    <x:col min="15" max="15" width="11" hidden="0" customWidth="1"/>
    <x:col min="16" max="16" width="15" hidden="0" customWidth="1"/>
    <x:col min="17" max="17" width="15" hidden="0" customWidth="1"/>
    <x:col min="18" max="18" width="21" hidden="0" customWidth="1"/>
  </x:cols>
  <x:sheetData>
    <x:row r="1" ht="28" customHeight="1">
      <x:c r="A1" s="28" t="s">
        <x:v>0</x:v>
      </x:c>
      <x:c r="K1" s="61" t="str">
        <x:v>BASE CONSOLIDADA · PRODUCTIVIDAD DE MANO DE OBRA</x:v>
      </x:c>
      <x:c r="L1" s="61"/>
      <x:c r="M1" s="61"/>
      <x:c r="N1" s="61"/>
      <x:c r="O1" s="61"/>
      <x:c r="P1" s="61"/>
      <x:c r="Q1" s="61"/>
      <x:c r="R1" s="61"/>
    </x:row>
    <x:row r="3" ht="32" customHeight="1">
      <x:c r="A3" s="3" t="s">
        <x:v>1</x:v>
      </x:c>
      <x:c r="B3" s="10" t="s">
        <x:v>2</x:v>
      </x:c>
      <x:c r="K3" s="77" t="str">
        <x:v>ÁREA</x:v>
      </x:c>
      <x:c r="L3" s="78" t="str">
        <x:v>PERIODO</x:v>
      </x:c>
      <x:c r="M3" s="78" t="str">
        <x:v>VENTA</x:v>
      </x:c>
      <x:c r="N3" s="78" t="str">
        <x:v>MARGEN COMERCIAL %</x:v>
      </x:c>
      <x:c r="O3" s="78" t="str">
        <x:v>PERSONAS</x:v>
      </x:c>
      <x:c r="P3" s="78" t="str">
        <x:v>COSTO MO</x:v>
      </x:c>
      <x:c r="Q3" s="78" t="str">
        <x:v>% COSTO MO</x:v>
      </x:c>
      <x:c r="R3" s="79" t="str">
        <x:v>MARGEN GENERADO %</x:v>
      </x:c>
    </x:row>
    <x:row r="4">
      <x:c r="A4" s="3" t="s">
        <x:v>3</x:v>
      </x:c>
      <x:c r="B4" s="10" t="s">
        <x:v>4</x:v>
      </x:c>
      <x:c r="K4" s="186" t="str">
        <x:v>COMERCIAL</x:v>
      </x:c>
      <x:c r="L4" s="131" t="str">
        <x:v>2024 Ene–Dic</x:v>
      </x:c>
      <x:c r="M4" s="154" t="n">
        <x:v>15445161.971694916</x:v>
      </x:c>
      <x:c r="N4" s="162" t="n">
        <x:v>0.153</x:v>
      </x:c>
      <x:c r="O4" s="170" t="n">
        <x:f>$B$42</x:f>
        <x:v>7</x:v>
      </x:c>
      <x:c r="P4" s="154" t="n">
        <x:f>$I$32</x:f>
        <x:v>528885.5647058823</x:v>
      </x:c>
      <x:c r="Q4" s="162" t="n">
        <x:f>IF(M4=0,"N/A",P4/M4)</x:f>
        <x:v>0.034242798209246854</x:v>
      </x:c>
      <x:c r="R4" s="178" t="n">
        <x:f>IF(M4=0,"N/A",N4-Q4)</x:f>
        <x:v>0.11875720179075314</x:v>
      </x:c>
    </x:row>
    <x:row r="5">
      <x:c r="A5" s="4">
        <x:v>2024</x:v>
      </x:c>
      <x:c r="B5" s="10">
        <x:v>631500</x:v>
      </x:c>
      <x:c r="K5" s="187" t="str">
        <x:v>COMERCIAL</x:v>
      </x:c>
      <x:c r="L5" s="134" t="str">
        <x:v>2025 Ene–Dic</x:v>
      </x:c>
      <x:c r="M5" s="155" t="n">
        <x:v>34962311.74066017</x:v>
      </x:c>
      <x:c r="N5" s="163" t="n">
        <x:v>0.1587</x:v>
      </x:c>
      <x:c r="O5" s="171" t="n">
        <x:f>$B$43</x:f>
        <x:v>9</x:v>
      </x:c>
      <x:c r="P5" s="155" t="n">
        <x:f>$I$33</x:f>
        <x:v>668987.2735294118</x:v>
      </x:c>
      <x:c r="Q5" s="163" t="n">
        <x:f>IF(M5=0,"N/A",P5/M5)</x:f>
        <x:v>0.01913452630054204</x:v>
      </x:c>
      <x:c r="R5" s="179" t="n">
        <x:f>IF(M5=0,"N/A",N5-Q5)</x:f>
        <x:v>0.13956547369945796</x:v>
      </x:c>
    </x:row>
    <x:row r="6">
      <x:c r="A6" s="4">
        <x:v>2025</x:v>
      </x:c>
      <x:c r="B6" s="10">
        <x:v>862960</x:v>
      </x:c>
      <x:c r="K6" s="187" t="str">
        <x:v>COMERCIAL</x:v>
      </x:c>
      <x:c r="L6" s="134" t="str">
        <x:v>2026 Ene–Jun</x:v>
      </x:c>
      <x:c r="M6" s="155" t="n">
        <x:v>28260657.069999997</x:v>
      </x:c>
      <x:c r="N6" s="163" t="n">
        <x:v>0.1527</x:v>
      </x:c>
      <x:c r="O6" s="171" t="n">
        <x:f>$B$44</x:f>
        <x:v>12</x:v>
      </x:c>
      <x:c r="P6" s="155" t="n">
        <x:f>$I$34</x:f>
        <x:v>333892.71470588236</x:v>
      </x:c>
      <x:c r="Q6" s="163" t="n">
        <x:f>IF(M6=0,"N/A",P6/M6)</x:f>
        <x:v>0.011814754125456094</x:v>
      </x:c>
      <x:c r="R6" s="179" t="n">
        <x:f>IF(M6=0,"N/A",N6-Q6)</x:f>
        <x:v>0.1408852458745439</x:v>
      </x:c>
    </x:row>
    <x:row r="7">
      <x:c r="A7" s="3" t="s">
        <x:v>3</x:v>
      </x:c>
      <x:c r="B7" s="10" t="s">
        <x:v>5</x:v>
      </x:c>
      <x:c r="K7" s="188" t="str">
        <x:v>ARQUITECTURA</x:v>
      </x:c>
      <x:c r="L7" s="143" t="str">
        <x:v>2024 Ene–Dic</x:v>
      </x:c>
      <x:c r="M7" s="156" t="n">
        <x:v>0</x:v>
      </x:c>
      <x:c r="N7" s="164" t="n">
        <x:v>0</x:v>
      </x:c>
      <x:c r="O7" s="172" t="n">
        <x:f>$B$48</x:f>
        <x:v>2</x:v>
      </x:c>
      <x:c r="P7" s="156" t="n">
        <x:f>$I$39</x:f>
        <x:v>76803.59794117647</x:v>
      </x:c>
      <x:c r="Q7" s="164" t="str">
        <x:f>IF(M7=0,"N/A",P7/M7)</x:f>
        <x:v>N/A</x:v>
      </x:c>
      <x:c r="R7" s="180" t="str">
        <x:f>IF(M7=0,"N/A",N7-Q7)</x:f>
        <x:v>N/A</x:v>
      </x:c>
    </x:row>
    <x:row r="8">
      <x:c r="A8" s="5">
        <x:v>2026</x:v>
      </x:c>
      <x:c r="B8" s="11">
        <x:v>419900</x:v>
      </x:c>
      <x:c r="K8" s="188" t="str">
        <x:v>ARQUITECTURA</x:v>
      </x:c>
      <x:c r="L8" s="143" t="str">
        <x:v>2025 Ene–Dic</x:v>
      </x:c>
      <x:c r="M8" s="156" t="n">
        <x:v>496549.4</x:v>
      </x:c>
      <x:c r="N8" s="164" t="n">
        <x:v>0.1416</x:v>
      </x:c>
      <x:c r="O8" s="172" t="n">
        <x:f>$B$49</x:f>
        <x:v>3</x:v>
      </x:c>
      <x:c r="P8" s="156" t="n">
        <x:f>$I$40</x:f>
        <x:v>123660.26823529412</x:v>
      </x:c>
      <x:c r="Q8" s="164" t="n">
        <x:f>IF(M8=0,"N/A",P8/M8)</x:f>
        <x:v>0.24903920583791686</x:v>
      </x:c>
      <x:c r="R8" s="180" t="n">
        <x:f>IF(M8=0,"N/A",N8-Q8)</x:f>
        <x:v>-0.10743920583791686</x:v>
      </x:c>
    </x:row>
    <x:row r="9">
      <x:c r="K9" s="189" t="str">
        <x:v>ARQUITECTURA</x:v>
      </x:c>
      <x:c r="L9" s="146" t="str">
        <x:v>2026 Ene–Jun</x:v>
      </x:c>
      <x:c r="M9" s="157" t="n">
        <x:v>95325</x:v>
      </x:c>
      <x:c r="N9" s="165" t="n">
        <x:v>0.15</x:v>
      </x:c>
      <x:c r="O9" s="173" t="n">
        <x:f>$B$50</x:f>
        <x:v>4</x:v>
      </x:c>
      <x:c r="P9" s="157" t="n">
        <x:f>$I$41</x:f>
        <x:v>91861.92172268899</x:v>
      </x:c>
      <x:c r="Q9" s="165" t="n">
        <x:f>IF(M9=0,"N/A",P9/M9)</x:f>
        <x:v>0.9636708284572671</x:v>
      </x:c>
      <x:c r="R9" s="181" t="n">
        <x:f>IF(M9=0,"N/A",N9-Q9)</x:f>
        <x:v>-0.8136708284572671</x:v>
      </x:c>
    </x:row>
    <x:row r="10">
      <x:c r="A10" s="7" t="s">
        <x:v>3</x:v>
      </x:c>
      <x:c r="B10" s="2" t="s">
        <x:v>6</x:v>
      </x:c>
      <x:c r="C10" s="2" t="s">
        <x:v>7</x:v>
      </x:c>
      <x:c r="D10" s="2" t="s">
        <x:v>8</x:v>
      </x:c>
      <x:c r="E10" s="2" t="s">
        <x:v>9</x:v>
      </x:c>
      <x:c r="F10" s="2" t="s">
        <x:v>10</x:v>
      </x:c>
      <x:c r="G10" s="2" t="s">
        <x:v>11</x:v>
      </x:c>
      <x:c r="H10" s="2" t="s">
        <x:v>12</x:v>
      </x:c>
    </x:row>
    <x:row r="11" s="9" customFormat="1" ht="22" customHeight="1">
      <x:c r="A11" s="14" t="s">
        <x:v>13</x:v>
      </x:c>
      <x:c r="B11" s="12">
        <x:f>'[1]Detalle 2026'!M21</x:f>
        <x:v>73000</x:v>
      </x:c>
      <x:c r="C11" s="15">
        <x:f>$B$11+1800</x:f>
        <x:v>74800</x:v>
      </x:c>
      <x:c r="D11" s="15">
        <x:f t="shared" ref="D11:G11" si="0">$B$11+1800</x:f>
        <x:v>74800</x:v>
      </x:c>
      <x:c r="E11" s="15">
        <x:f t="shared" si="0"/>
        <x:v>74800</x:v>
      </x:c>
      <x:c r="F11" s="15">
        <x:f t="shared" si="0"/>
        <x:v>74800</x:v>
      </x:c>
      <x:c r="G11" s="15">
        <x:f t="shared" si="0"/>
        <x:v>74800</x:v>
      </x:c>
      <x:c r="H11" s="16">
        <x:f>B8+B11+C11+D11+E11+F11+G11</x:f>
        <x:v>866900</x:v>
      </x:c>
      <x:c r="K11" s="197" t="str">
        <x:v>Margen generado % = Margen comercial % − (% costo de mano de obra sobre ventas).</x:v>
      </x:c>
      <x:c r="L11" s="197"/>
      <x:c r="M11" s="197"/>
      <x:c r="N11" s="197"/>
      <x:c r="O11" s="197"/>
      <x:c r="P11" s="197"/>
      <x:c r="Q11" s="197"/>
      <x:c r="R11" s="197"/>
    </x:row>
    <x:row r="13">
      <x:c r="A13" s="28" t="s">
        <x:v>14</x:v>
      </x:c>
    </x:row>
    <x:row r="15">
      <x:c r="A15" s="3" t="s">
        <x:v>1</x:v>
      </x:c>
      <x:c r="B15" s="10"/>
    </x:row>
    <x:row r="16">
      <x:c r="A16" s="3" t="s">
        <x:v>3</x:v>
      </x:c>
      <x:c r="B16" s="10" t="s">
        <x:v>4</x:v>
      </x:c>
    </x:row>
    <x:row r="17">
      <x:c r="A17" s="4">
        <x:v>2024</x:v>
      </x:c>
      <x:c r="B17" s="10">
        <x:f>29894*3.45</x:f>
        <x:v>103134.3</x:v>
      </x:c>
    </x:row>
    <x:row r="18">
      <x:c r="A18" s="4">
        <x:v>2025</x:v>
      </x:c>
      <x:c r="B18" s="10">
        <x:v>163516.20000000001</x:v>
      </x:c>
      <x:c r="H18" s="8"/>
      <x:c r="I18" s="8"/>
    </x:row>
    <x:row r="19">
      <x:c r="A19" s="3" t="s">
        <x:v>3</x:v>
      </x:c>
      <x:c r="B19" s="10" t="s">
        <x:v>5</x:v>
      </x:c>
      <x:c r="H19" s="8"/>
    </x:row>
    <x:row r="20">
      <x:c r="A20" s="5">
        <x:v>2026</x:v>
      </x:c>
      <x:c r="B20" s="11">
        <x:v>112137.814285714</x:v>
      </x:c>
      <x:c r="D20" s="6"/>
    </x:row>
    <x:row r="21">
      <x:c r="J21" s="20"/>
    </x:row>
    <x:row r="22">
      <x:c r="A22" s="7" t="s">
        <x:v>3</x:v>
      </x:c>
      <x:c r="B22" s="2" t="s">
        <x:v>6</x:v>
      </x:c>
      <x:c r="C22" s="2" t="s">
        <x:v>7</x:v>
      </x:c>
      <x:c r="D22" s="2" t="s">
        <x:v>8</x:v>
      </x:c>
      <x:c r="E22" s="2" t="s">
        <x:v>9</x:v>
      </x:c>
      <x:c r="F22" s="2" t="s">
        <x:v>10</x:v>
      </x:c>
      <x:c r="G22" s="2" t="s">
        <x:v>11</x:v>
      </x:c>
      <x:c r="H22" s="2" t="s">
        <x:v>12</x:v>
      </x:c>
      <x:c r="J22" s="20"/>
    </x:row>
    <x:row r="23" s="9" customFormat="1">
      <x:c r="A23" s="14" t="s">
        <x:v>13</x:v>
      </x:c>
      <x:c r="B23" s="12">
        <x:v>18689.635714285716</x:v>
      </x:c>
      <x:c r="C23" s="15">
        <x:f>$B$23+1800</x:f>
        <x:v>20489.635714285716</x:v>
      </x:c>
      <x:c r="D23" s="15">
        <x:f t="shared" ref="D23:G23" si="1">$B$23+1800</x:f>
        <x:v>20489.635714285716</x:v>
      </x:c>
      <x:c r="E23" s="15">
        <x:f t="shared" si="1"/>
        <x:v>20489.635714285716</x:v>
      </x:c>
      <x:c r="F23" s="15">
        <x:f t="shared" si="1"/>
        <x:v>20489.635714285716</x:v>
      </x:c>
      <x:c r="G23" s="15">
        <x:f t="shared" si="1"/>
        <x:v>20489.635714285716</x:v>
      </x:c>
      <x:c r="H23" s="16">
        <x:f>B20+B23+C23+D23+E23+F23+G23</x:f>
        <x:v>233275.6285714283</x:v>
      </x:c>
    </x:row>
    <x:row r="25">
      <x:c r="A25" s="17" t="s">
        <x:v>15</x:v>
      </x:c>
    </x:row>
    <x:row r="26">
      <x:c r="A26" s="5">
        <x:v>2024</x:v>
      </x:c>
      <x:c r="B26" s="13">
        <x:f>B5*1.51</x:f>
        <x:v>953565</x:v>
      </x:c>
      <x:c r="J26" s="21"/>
    </x:row>
    <x:row r="27">
      <x:c r="A27" s="5">
        <x:v>2025</x:v>
      </x:c>
      <x:c r="B27" s="13">
        <x:f>B6*1.51</x:f>
        <x:v>1303069.6000000001</x:v>
      </x:c>
    </x:row>
    <x:row r="28">
      <x:c r="B28" s="13"/>
    </x:row>
    <x:row r="29">
      <x:c r="A29" s="5">
        <x:v>2026</x:v>
      </x:c>
      <x:c r="B29" s="11"/>
      <x:c r="G29" s="24" t="s">
        <x:v>16</x:v>
      </x:c>
      <x:c r="I29" s="24"/>
    </x:row>
    <x:row r="30">
      <x:c r="A30" s="5" t="s">
        <x:v>17</x:v>
      </x:c>
      <x:c r="B30" s="11">
        <x:f>B8*1.51</x:f>
        <x:v>634049</x:v>
      </x:c>
      <x:c r="G30" s="24" t="s">
        <x:v>2</x:v>
      </x:c>
      <x:c r="H30" s="24" t="s">
        <x:v>18</x:v>
      </x:c>
      <x:c r="I30" s="24"/>
    </x:row>
    <x:row r="31">
      <x:c r="A31" s="1" t="s">
        <x:v>19</x:v>
      </x:c>
      <x:c r="B31" s="6">
        <x:f>(SUM(B11:G11)*1.51)</x:f>
        <x:v>674970</x:v>
      </x:c>
      <x:c r="G31" s="24"/>
      <x:c r="H31" s="24" t="s">
        <x:v>20</x:v>
      </x:c>
      <x:c r="I31" s="24" t="s">
        <x:v>21</x:v>
      </x:c>
    </x:row>
    <x:row r="32">
      <x:c r="A32" s="1"/>
      <x:c r="B32" s="1"/>
      <x:c r="G32" s="24">
        <x:v>2024</x:v>
      </x:c>
      <x:c r="H32" s="25">
        <x:f>B5+B26+B55</x:f>
        <x:v>1798210.92</x:v>
      </x:c>
      <x:c r="I32" s="27">
        <x:f>H32/3.4</x:f>
        <x:v>528885.56470588234</x:v>
      </x:c>
    </x:row>
    <x:row r="33">
      <x:c r="A33" s="1"/>
      <x:c r="B33" s="1"/>
      <x:c r="G33" s="24">
        <x:v>2025</x:v>
      </x:c>
      <x:c r="H33" s="25">
        <x:f>B6+B27+B56</x:f>
        <x:v>2274556.73</x:v>
      </x:c>
      <x:c r="I33" s="27">
        <x:f>H33/3.4</x:f>
        <x:v>668987.27352941176</x:v>
      </x:c>
    </x:row>
    <x:row r="34">
      <x:c r="A34" s="17" t="s">
        <x:v>22</x:v>
      </x:c>
      <x:c r="G34" s="24">
        <x:v>2026</x:v>
      </x:c>
      <x:c r="H34" s="26">
        <x:f>B8+B30+B58</x:f>
        <x:v>1135235.23</x:v>
      </x:c>
      <x:c r="I34" s="27">
        <x:f t="shared" ref="I34" si="2">H34/3.4</x:f>
        <x:v>333892.71470588236</x:v>
      </x:c>
    </x:row>
    <x:row r="35">
      <x:c r="A35" s="5">
        <x:v>2024</x:v>
      </x:c>
      <x:c r="B35" s="13">
        <x:f>B17*1.51</x:f>
        <x:v>155732.79300000001</x:v>
      </x:c>
    </x:row>
    <x:row r="36">
      <x:c r="A36" s="5">
        <x:v>2025</x:v>
      </x:c>
      <x:c r="B36" s="13">
        <x:f>B18*1.51</x:f>
        <x:v>246909.46200000003</x:v>
      </x:c>
    </x:row>
    <x:row r="37">
      <x:c r="A37" s="5">
        <x:v>2026</x:v>
      </x:c>
      <x:c r="B37" s="11"/>
      <x:c r="G37" s="24" t="s">
        <x:v>23</x:v>
      </x:c>
      <x:c r="H37" s="24" t="s">
        <x:v>18</x:v>
      </x:c>
      <x:c r="I37" s="24"/>
    </x:row>
    <x:row r="38">
      <x:c r="A38" s="5" t="s">
        <x:v>17</x:v>
      </x:c>
      <x:c r="B38" s="11">
        <x:f>B20*1.51</x:f>
        <x:v>169328.09957142815</x:v>
      </x:c>
      <x:c r="G38" s="24"/>
      <x:c r="H38" s="24" t="s">
        <x:v>20</x:v>
      </x:c>
      <x:c r="I38" s="24" t="s">
        <x:v>21</x:v>
      </x:c>
    </x:row>
    <x:row r="39">
      <x:c r="A39" s="1" t="s">
        <x:v>19</x:v>
      </x:c>
      <x:c r="B39" s="6">
        <x:f>(SUM(B23:G23)*1.51)</x:f>
        <x:v>182918.09957142858</x:v>
      </x:c>
      <x:c r="C39" s="6"/>
      <x:c r="D39" s="6"/>
      <x:c r="G39" s="24">
        <x:v>2024</x:v>
      </x:c>
      <x:c r="H39" s="25">
        <x:f>B17+B35+B62</x:f>
        <x:v>261132.23300000001</x:v>
      </x:c>
      <x:c r="I39" s="27">
        <x:f>H39/3.4</x:f>
        <x:v>76803.597941176471</x:v>
      </x:c>
    </x:row>
    <x:row r="40">
      <x:c r="G40" s="24">
        <x:v>2025</x:v>
      </x:c>
      <x:c r="H40" s="25">
        <x:f>B18+B36+B63</x:f>
        <x:v>420444.91200000001</x:v>
      </x:c>
      <x:c r="I40" s="27">
        <x:f>H40/3.4</x:f>
        <x:v>123660.26823529412</x:v>
      </x:c>
    </x:row>
    <x:row r="41">
      <x:c r="A41" s="18" t="s">
        <x:v>24</x:v>
      </x:c>
      <x:c r="G41" s="24">
        <x:v>2026</x:v>
      </x:c>
      <x:c r="H41" s="26">
        <x:f>B20+B39+B65</x:f>
        <x:v>312330.53385714255</x:v>
      </x:c>
      <x:c r="I41" s="27">
        <x:f t="shared" ref="I41" si="3">H41/3.4</x:f>
        <x:v>91861.921722688989</x:v>
      </x:c>
    </x:row>
    <x:row r="42">
      <x:c r="A42" s="5">
        <x:v>2024</x:v>
      </x:c>
      <x:c r="B42" s="9">
        <x:v>7</x:v>
      </x:c>
    </x:row>
    <x:row r="43">
      <x:c r="A43" s="5">
        <x:v>2025</x:v>
      </x:c>
      <x:c r="B43" s="9">
        <x:v>9</x:v>
      </x:c>
    </x:row>
    <x:row r="44">
      <x:c r="A44" s="5" t="s">
        <x:v>25</x:v>
      </x:c>
      <x:c r="B44" s="9">
        <x:v>12</x:v>
      </x:c>
    </x:row>
    <x:row r="45">
      <x:c r="A45" s="5" t="s">
        <x:v>26</x:v>
      </x:c>
      <x:c r="B45" s="9">
        <x:v>13</x:v>
      </x:c>
    </x:row>
    <x:row r="47">
      <x:c r="A47" s="18" t="s">
        <x:v>27</x:v>
      </x:c>
    </x:row>
    <x:row r="48">
      <x:c r="A48" s="5">
        <x:v>2024</x:v>
      </x:c>
      <x:c r="B48" s="9">
        <x:v>2</x:v>
      </x:c>
    </x:row>
    <x:row r="49">
      <x:c r="A49" s="5">
        <x:v>2025</x:v>
      </x:c>
      <x:c r="B49" s="9">
        <x:v>3</x:v>
      </x:c>
    </x:row>
    <x:row r="50">
      <x:c r="A50" s="5" t="s">
        <x:v>25</x:v>
      </x:c>
      <x:c r="B50" s="9">
        <x:v>4</x:v>
      </x:c>
    </x:row>
    <x:row r="51">
      <x:c r="A51" s="5" t="s">
        <x:v>26</x:v>
      </x:c>
      <x:c r="B51" s="9">
        <x:v>5</x:v>
      </x:c>
    </x:row>
    <x:row r="53">
      <x:c r="A53" s="19" t="s">
        <x:v>28</x:v>
      </x:c>
    </x:row>
    <x:row r="54">
      <x:c r="A54" s="5" t="s">
        <x:v>29</x:v>
      </x:c>
    </x:row>
    <x:row r="55">
      <x:c r="A55" s="5">
        <x:v>2024</x:v>
      </x:c>
      <x:c r="B55" s="13">
        <x:v>213145.92</x:v>
      </x:c>
    </x:row>
    <x:row r="56">
      <x:c r="A56" s="5">
        <x:v>2025</x:v>
      </x:c>
      <x:c r="B56" s="13">
        <x:v>108527.13</x:v>
      </x:c>
    </x:row>
    <x:row r="57">
      <x:c r="A57" s="5" t="s">
        <x:v>17</x:v>
      </x:c>
      <x:c r="B57" s="13"/>
    </x:row>
    <x:row r="58">
      <x:c r="A58" s="5">
        <x:v>2026</x:v>
      </x:c>
      <x:c r="B58" s="13">
        <x:v>81286.23</x:v>
      </x:c>
    </x:row>
    <x:row r="59">
      <x:c r="B59" s="13"/>
    </x:row>
    <x:row r="60">
      <x:c r="A60" s="19" t="s">
        <x:v>30</x:v>
      </x:c>
      <x:c r="B60" s="13"/>
    </x:row>
    <x:row r="61">
      <x:c r="A61" s="5" t="s">
        <x:v>29</x:v>
      </x:c>
      <x:c r="B61" s="1"/>
    </x:row>
    <x:row r="62">
      <x:c r="A62" s="5">
        <x:v>2024</x:v>
      </x:c>
      <x:c r="B62" s="13">
        <x:v>2265.14</x:v>
      </x:c>
    </x:row>
    <x:row r="63">
      <x:c r="A63" s="5">
        <x:v>2025</x:v>
      </x:c>
      <x:c r="B63" s="13">
        <x:v>10019.25</x:v>
      </x:c>
    </x:row>
    <x:row r="64">
      <x:c r="A64" s="5" t="s">
        <x:v>17</x:v>
      </x:c>
      <x:c r="B64" s="13"/>
    </x:row>
    <x:row r="65">
      <x:c r="A65" s="5">
        <x:v>2026</x:v>
      </x:c>
      <x:c r="B65" s="13">
        <x:v>17274.62</x:v>
      </x:c>
    </x:row>
    <x:row r="66">
      <x:c r="A66" s="1"/>
      <x:c r="B66" s="1"/>
    </x:row>
    <x:row r="68">
      <x:c r="A68" s="3"/>
      <x:c r="B68" s="10"/>
    </x:row>
    <x:row r="69">
      <x:c r="A69" s="4"/>
      <x:c r="B69" s="10"/>
    </x:row>
    <x:row r="70">
      <x:c r="A70" s="4"/>
      <x:c r="B70" s="10"/>
    </x:row>
    <x:row r="71">
      <x:c r="A71" s="4"/>
      <x:c r="B71" s="10"/>
    </x:row>
    <x:row r="72">
      <x:c r="B72" s="11"/>
    </x:row>
    <x:row r="77">
      <x:c r="A77" s="3"/>
      <x:c r="B77" s="10"/>
    </x:row>
    <x:row r="78">
      <x:c r="A78" s="4"/>
      <x:c r="B78" s="10"/>
    </x:row>
    <x:row r="79">
      <x:c r="A79" s="4"/>
      <x:c r="B79" s="10"/>
    </x:row>
    <x:row r="80">
      <x:c r="A80" s="4"/>
      <x:c r="B80" s="10"/>
    </x:row>
    <x:row r="81">
      <x:c r="B81" s="11"/>
    </x:row>
  </x:sheetData>
  <x:mergeCells>
    <x:mergeCell ref="K1:R1"/>
    <x:mergeCell ref="K11:R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4.399999618530273"/>
  <x:cols>
    <x:col min="6" max="6" width="19.77734375" style="22" customWidth="1"/>
    <x:col min="7" max="7" width="14.44140625" style="22" customWidth="1"/>
    <x:col min="1" max="1" width="30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2" customHeight="1">
      <x:c r="A1" s="216" t="str">
        <x:v>PRODUCTIVIDAD DE MANO DE OBRA · COMERCIAL</x:v>
      </x:c>
      <x:c r="B1" s="216"/>
      <x:c r="C1" s="216"/>
      <x:c r="D1" s="216"/>
    </x:row>
    <x:row r="2" ht="22" customHeight="1">
      <x:c r="A2" s="222" t="str">
        <x:v>Evolución de ventas, margen comercial y eficiencia del costo de MO</x:v>
      </x:c>
      <x:c r="B2" s="222"/>
      <x:c r="C2" s="222"/>
      <x:c r="D2" s="222"/>
    </x:row>
    <x:row r="3">
      <x:c r="A3" s="206"/>
      <x:c r="B3" s="206"/>
      <x:c r="C3" s="206"/>
      <x:c r="D3" s="206"/>
    </x:row>
    <x:row r="4" ht="34" customHeight="1">
      <x:c r="A4" s="77" t="str">
        <x:v>INDICADOR</x:v>
      </x:c>
      <x:c r="B4" s="78" t="str">
        <x:v>2024
Ene–Dic</x:v>
      </x:c>
      <x:c r="C4" s="78" t="str">
        <x:v>2025
Ene–Dic</x:v>
      </x:c>
      <x:c r="D4" s="79" t="str">
        <x:v>2026
Ene–Jun</x:v>
      </x:c>
    </x:row>
    <x:row r="5" ht="27" customHeight="1">
      <x:c r="A5" s="250" t="str">
        <x:v>VENTA</x:v>
      </x:c>
      <x:c r="B5" s="320" t="n">
        <x:f>'TODOS LOS DATOS'!$M$4</x:f>
        <x:v>15445161.971694916</x:v>
      </x:c>
      <x:c r="C5" s="321" t="n">
        <x:f>'TODOS LOS DATOS'!$M$5</x:f>
        <x:v>34962311.74066017</x:v>
      </x:c>
      <x:c r="D5" s="322" t="n">
        <x:f>'TODOS LOS DATOS'!$M$6</x:f>
        <x:v>28260657.069999997</x:v>
      </x:c>
    </x:row>
    <x:row r="6" ht="27" customHeight="1">
      <x:c r="A6" s="251" t="str">
        <x:v>MARGEN COMERCIAL</x:v>
      </x:c>
      <x:c r="B6" s="326" t="n">
        <x:f>'TODOS LOS DATOS'!$N$4</x:f>
        <x:v>0.153</x:v>
      </x:c>
      <x:c r="C6" s="327" t="n">
        <x:f>'TODOS LOS DATOS'!$N$5</x:f>
        <x:v>0.1587</x:v>
      </x:c>
      <x:c r="D6" s="328" t="n">
        <x:f>'TODOS LOS DATOS'!$N$6</x:f>
        <x:v>0.1527</x:v>
      </x:c>
      <x:c r="L6" s="27"/>
    </x:row>
    <x:row r="7" ht="27" customHeight="1">
      <x:c r="A7" s="251" t="str">
        <x:v>% COSTO DE MANO DE OBRA</x:v>
      </x:c>
      <x:c r="B7" s="326" t="n">
        <x:f>'TODOS LOS DATOS'!$Q$4</x:f>
        <x:v>0.034242798209246854</x:v>
      </x:c>
      <x:c r="C7" s="327" t="n">
        <x:f>'TODOS LOS DATOS'!$Q$5</x:f>
        <x:v>0.01913452630054204</x:v>
      </x:c>
      <x:c r="D7" s="328" t="n">
        <x:f>'TODOS LOS DATOS'!$Q$6</x:f>
        <x:v>0.011814754125456094</x:v>
      </x:c>
      <x:c r="L7" s="27"/>
    </x:row>
    <x:row r="8" ht="27" customHeight="1">
      <x:c r="A8" s="312" t="str">
        <x:v>MARGEN GENERADO %</x:v>
      </x:c>
      <x:c r="B8" s="329" t="n">
        <x:f>'TODOS LOS DATOS'!$R$4</x:f>
        <x:v>0.11875720179075314</x:v>
      </x:c>
      <x:c r="C8" s="330" t="n">
        <x:f>'TODOS LOS DATOS'!$R$5</x:f>
        <x:v>0.13956547369945796</x:v>
      </x:c>
      <x:c r="D8" s="331" t="n">
        <x:f>'TODOS LOS DATOS'!$R$6</x:f>
        <x:v>0.1408852458745439</x:v>
      </x:c>
      <x:c r="L8" s="27"/>
    </x:row>
    <x:row r="9">
      <x:c r="A9" s="206"/>
      <x:c r="B9" s="206"/>
      <x:c r="C9" s="206"/>
      <x:c r="D9" s="206"/>
    </x:row>
    <x:row r="10" ht="24" customHeight="1">
      <x:c r="A10" s="197" t="str">
        <x:v>Margen generado % = Margen comercial % − % costo de mano de obra.</x:v>
      </x:c>
      <x:c r="B10" s="197"/>
      <x:c r="C10" s="197"/>
      <x:c r="D10" s="197"/>
    </x:row>
    <x:row r="11">
      <x:c r="A11" s="206"/>
      <x:c r="B11" s="206"/>
      <x:c r="C11" s="206"/>
      <x:c r="D11" s="206"/>
    </x:row>
    <x:row r="12">
      <x:c r="A12" s="206"/>
      <x:c r="B12" s="206"/>
      <x:c r="C12" s="206"/>
      <x:c r="D12" s="206"/>
    </x:row>
    <x:row r="13">
      <x:c r="A13" s="206"/>
      <x:c r="B13" s="206"/>
      <x:c r="C13" s="206"/>
      <x:c r="D13" s="206"/>
    </x:row>
    <x:row r="14">
      <x:c r="A14" s="206"/>
      <x:c r="B14" s="206"/>
      <x:c r="C14" s="206"/>
      <x:c r="D14" s="206"/>
    </x:row>
  </x:sheetData>
  <x:mergeCells>
    <x:mergeCell ref="A1:D1"/>
    <x:mergeCell ref="A2:D2"/>
    <x:mergeCell ref="A10:D10"/>
  </x:mergeCells>
  <x:conditionalFormatting sqref="B8:D8">
    <x:cfRule type="cellIs" dxfId="0" priority="1" operator="lessThan">
      <x:formula>0</x:formula>
    </x:cfRule>
    <x:cfRule type="cellIs" dxfId="1" priority="2" operator="greaterThanOrEqual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RowHeight="14.399999618530273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2" customHeight="1">
      <x:c r="A1" s="216" t="str">
        <x:v>PRODUCTIVIDAD DE MANO DE OBRA · ARQUITECTURA</x:v>
      </x:c>
      <x:c r="B1" s="216"/>
      <x:c r="C1" s="216"/>
      <x:c r="D1" s="216"/>
    </x:row>
    <x:row r="2" ht="22" customHeight="1">
      <x:c r="A2" s="222" t="str">
        <x:v>Evolución de ventas, margen comercial y eficiencia del costo de MO</x:v>
      </x:c>
      <x:c r="B2" s="222"/>
      <x:c r="C2" s="222"/>
      <x:c r="D2" s="222"/>
    </x:row>
    <x:row r="3">
      <x:c r="A3" s="206"/>
      <x:c r="B3" s="206"/>
      <x:c r="C3" s="206"/>
      <x:c r="D3" s="206"/>
    </x:row>
    <x:row r="4" ht="34" customHeight="1">
      <x:c r="A4" s="77" t="str">
        <x:v>INDICADOR</x:v>
      </x:c>
      <x:c r="B4" s="78" t="str">
        <x:v>2024
Ene–Dic</x:v>
      </x:c>
      <x:c r="C4" s="78" t="str">
        <x:v>2025
Ene–Dic</x:v>
      </x:c>
      <x:c r="D4" s="79" t="str">
        <x:v>2026
Ene–Jun</x:v>
      </x:c>
    </x:row>
    <x:row r="5" ht="27" customHeight="1">
      <x:c r="A5" s="250" t="str">
        <x:v>VENTA</x:v>
      </x:c>
      <x:c r="B5" s="320" t="n">
        <x:f>'TODOS LOS DATOS'!$M$7</x:f>
        <x:v>0</x:v>
      </x:c>
      <x:c r="C5" s="321" t="n">
        <x:f>'TODOS LOS DATOS'!$M$8</x:f>
        <x:v>496549.4</x:v>
      </x:c>
      <x:c r="D5" s="322" t="n">
        <x:f>'TODOS LOS DATOS'!$M$9</x:f>
        <x:v>95325</x:v>
      </x:c>
    </x:row>
    <x:row r="6" ht="27" customHeight="1">
      <x:c r="A6" s="251" t="str">
        <x:v>MARGEN COMERCIAL</x:v>
      </x:c>
      <x:c r="B6" s="326" t="n">
        <x:f>'TODOS LOS DATOS'!$N$7</x:f>
        <x:v>0</x:v>
      </x:c>
      <x:c r="C6" s="327" t="n">
        <x:f>'TODOS LOS DATOS'!$N$8</x:f>
        <x:v>0.1416</x:v>
      </x:c>
      <x:c r="D6" s="328" t="n">
        <x:f>'TODOS LOS DATOS'!$N$9</x:f>
        <x:v>0.15</x:v>
      </x:c>
    </x:row>
    <x:row r="7" ht="27" customHeight="1">
      <x:c r="A7" s="251" t="str">
        <x:v>% COSTO DE MANO DE OBRA</x:v>
      </x:c>
      <x:c r="B7" s="326" t="str">
        <x:f>'TODOS LOS DATOS'!$Q$7</x:f>
        <x:v>N/A</x:v>
      </x:c>
      <x:c r="C7" s="327" t="n">
        <x:f>'TODOS LOS DATOS'!$Q$8</x:f>
        <x:v>0.24903920583791686</x:v>
      </x:c>
      <x:c r="D7" s="328" t="n">
        <x:f>'TODOS LOS DATOS'!$Q$9</x:f>
        <x:v>0.9636708284572671</x:v>
      </x:c>
    </x:row>
    <x:row r="8" ht="27" customHeight="1">
      <x:c r="A8" s="312" t="str">
        <x:v>MARGEN GENERADO %</x:v>
      </x:c>
      <x:c r="B8" s="329" t="str">
        <x:f>'TODOS LOS DATOS'!$R$7</x:f>
        <x:v>N/A</x:v>
      </x:c>
      <x:c r="C8" s="330" t="n">
        <x:f>'TODOS LOS DATOS'!$R$8</x:f>
        <x:v>-0.10743920583791686</x:v>
      </x:c>
      <x:c r="D8" s="331" t="n">
        <x:f>'TODOS LOS DATOS'!$R$9</x:f>
        <x:v>-0.8136708284572671</x:v>
      </x:c>
    </x:row>
    <x:row r="9">
      <x:c r="A9" s="206"/>
      <x:c r="B9" s="206"/>
      <x:c r="C9" s="206"/>
      <x:c r="D9" s="206"/>
    </x:row>
    <x:row r="10" ht="24" customHeight="1">
      <x:c r="A10" s="197" t="str">
        <x:v>Margen generado % = Margen comercial % − % costo de mano de obra.</x:v>
      </x:c>
      <x:c r="B10" s="197"/>
      <x:c r="C10" s="197"/>
      <x:c r="D10" s="197"/>
    </x:row>
    <x:row r="11">
      <x:c r="A11" s="206"/>
      <x:c r="B11" s="206"/>
      <x:c r="C11" s="206"/>
      <x:c r="D11" s="206"/>
    </x:row>
    <x:row r="12">
      <x:c r="A12" s="206"/>
      <x:c r="B12" s="206"/>
      <x:c r="C12" s="206"/>
      <x:c r="D12" s="206"/>
    </x:row>
    <x:row r="13">
      <x:c r="A13" s="206"/>
      <x:c r="B13" s="206"/>
      <x:c r="C13" s="206"/>
      <x:c r="D13" s="206"/>
    </x:row>
    <x:row r="14">
      <x:c r="A14" s="206"/>
      <x:c r="B14" s="206"/>
      <x:c r="C14" s="206"/>
      <x:c r="D14" s="206"/>
    </x:row>
  </x:sheetData>
  <x:mergeCells>
    <x:mergeCell ref="A1:D1"/>
    <x:mergeCell ref="A2:D2"/>
    <x:mergeCell ref="A10:D10"/>
  </x:mergeCells>
  <x:conditionalFormatting sqref="B8:D8">
    <x:cfRule type="cellIs" dxfId="2" priority="1" operator="lessThan">
      <x:formula>0</x:formula>
    </x:cfRule>
    <x:cfRule type="cellIs" dxfId="3" priority="2" operator="greaterThanOrEqual">
      <x:formula>0</x:formula>
    </x:cfRule>
  </x:conditionalFormatting>
  <x:pageMargins left="0.7" right="0.7" top="0.75" bottom="0.75" header="0.3" footer="0.3"/>
</x:worksheet>
</file>