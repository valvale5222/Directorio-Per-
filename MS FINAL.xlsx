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rodriguez\Desktop\Directorio J\"/>
    </mc:Choice>
  </mc:AlternateContent>
  <xr:revisionPtr revIDLastSave="0" documentId="13_ncr:1_{A8D499D5-FDBF-47A0-888F-5956EE3D96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5-2026" sheetId="1" r:id="rId1"/>
    <sheet name="2024-2025" sheetId="2" r:id="rId2"/>
    <sheet name="2023-2024" sheetId="3" r:id="rId3"/>
    <sheet name="2022-2023" sheetId="4" r:id="rId4"/>
    <sheet name="2021-202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5" l="1"/>
  <c r="C34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L28" i="5" s="1"/>
  <c r="K15" i="5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L20" i="4"/>
  <c r="K20" i="4"/>
  <c r="L19" i="4"/>
  <c r="K19" i="4"/>
  <c r="L18" i="4"/>
  <c r="K18" i="4"/>
  <c r="L17" i="4"/>
  <c r="K17" i="4"/>
  <c r="L16" i="4"/>
  <c r="K16" i="4"/>
  <c r="L15" i="4"/>
  <c r="L28" i="4" s="1"/>
  <c r="C34" i="4" s="1"/>
  <c r="K15" i="4"/>
  <c r="K28" i="4" s="1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L28" i="3" s="1"/>
  <c r="C34" i="3" s="1"/>
  <c r="K15" i="3"/>
  <c r="K28" i="3" s="1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L28" i="2" s="1"/>
  <c r="C34" i="2" s="1"/>
  <c r="K15" i="2"/>
  <c r="K28" i="2" s="1"/>
  <c r="C34" i="1"/>
  <c r="C35" i="1" s="1"/>
  <c r="J28" i="1"/>
  <c r="K28" i="1"/>
  <c r="I28" i="1"/>
  <c r="L28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L15" i="1"/>
  <c r="K15" i="1"/>
  <c r="C42" i="5" l="1"/>
  <c r="C41" i="5"/>
  <c r="C39" i="5"/>
  <c r="C38" i="5"/>
  <c r="C40" i="5"/>
  <c r="C43" i="5"/>
  <c r="C42" i="4"/>
  <c r="C41" i="4"/>
  <c r="C40" i="4"/>
  <c r="C39" i="4"/>
  <c r="C43" i="4" s="1"/>
  <c r="C38" i="4"/>
  <c r="C35" i="4"/>
  <c r="C36" i="4" s="1"/>
  <c r="C42" i="3"/>
  <c r="C41" i="3"/>
  <c r="C39" i="3"/>
  <c r="C38" i="3"/>
  <c r="C36" i="3"/>
  <c r="C35" i="3"/>
  <c r="C40" i="3"/>
  <c r="C40" i="2"/>
  <c r="C41" i="2"/>
  <c r="C42" i="2"/>
  <c r="C39" i="2"/>
  <c r="C38" i="2"/>
  <c r="C35" i="2"/>
  <c r="C43" i="2"/>
  <c r="C39" i="1"/>
  <c r="C38" i="1"/>
  <c r="H28" i="1"/>
  <c r="C43" i="1"/>
  <c r="C40" i="1"/>
  <c r="C41" i="1"/>
  <c r="C36" i="5" l="1"/>
  <c r="C35" i="5"/>
  <c r="C43" i="3"/>
  <c r="E28" i="5" l="1"/>
  <c r="F27" i="5"/>
  <c r="G27" i="5" s="1"/>
  <c r="A27" i="5"/>
  <c r="A26" i="5"/>
  <c r="F24" i="5"/>
  <c r="G24" i="5" s="1"/>
  <c r="F20" i="5"/>
  <c r="G20" i="5" s="1"/>
  <c r="F17" i="5"/>
  <c r="G17" i="5" s="1"/>
  <c r="C8" i="5"/>
  <c r="F23" i="5" s="1"/>
  <c r="G23" i="5" s="1"/>
  <c r="E28" i="4"/>
  <c r="F24" i="4"/>
  <c r="G24" i="4" s="1"/>
  <c r="F21" i="4"/>
  <c r="G21" i="4" s="1"/>
  <c r="F17" i="4"/>
  <c r="G17" i="4" s="1"/>
  <c r="C8" i="4"/>
  <c r="E28" i="3"/>
  <c r="A27" i="3"/>
  <c r="F25" i="3"/>
  <c r="G25" i="3" s="1"/>
  <c r="G21" i="3"/>
  <c r="F21" i="3"/>
  <c r="F18" i="3"/>
  <c r="G18" i="3" s="1"/>
  <c r="C8" i="3"/>
  <c r="E28" i="2"/>
  <c r="G27" i="2"/>
  <c r="F27" i="2"/>
  <c r="A27" i="2"/>
  <c r="F26" i="2"/>
  <c r="G26" i="2" s="1"/>
  <c r="A26" i="2"/>
  <c r="F25" i="2"/>
  <c r="G25" i="2" s="1"/>
  <c r="F24" i="2"/>
  <c r="G24" i="2" s="1"/>
  <c r="F23" i="2"/>
  <c r="G23" i="2" s="1"/>
  <c r="F22" i="2"/>
  <c r="G22" i="2" s="1"/>
  <c r="G20" i="2"/>
  <c r="F20" i="2"/>
  <c r="F19" i="2"/>
  <c r="G19" i="2" s="1"/>
  <c r="G18" i="2"/>
  <c r="F18" i="2"/>
  <c r="F17" i="2"/>
  <c r="G17" i="2" s="1"/>
  <c r="F16" i="2"/>
  <c r="G16" i="2" s="1"/>
  <c r="F15" i="2"/>
  <c r="G15" i="2" s="1"/>
  <c r="C8" i="2"/>
  <c r="F21" i="2" s="1"/>
  <c r="G21" i="2" s="1"/>
  <c r="E28" i="1"/>
  <c r="F27" i="1"/>
  <c r="G27" i="1" s="1"/>
  <c r="A27" i="1"/>
  <c r="F26" i="1"/>
  <c r="G26" i="1" s="1"/>
  <c r="A26" i="1"/>
  <c r="A25" i="1"/>
  <c r="F23" i="1"/>
  <c r="G23" i="1" s="1"/>
  <c r="F22" i="1"/>
  <c r="G22" i="1" s="1"/>
  <c r="F20" i="1"/>
  <c r="G20" i="1" s="1"/>
  <c r="F19" i="1"/>
  <c r="G19" i="1" s="1"/>
  <c r="F16" i="1"/>
  <c r="G16" i="1" s="1"/>
  <c r="F15" i="1"/>
  <c r="G15" i="1" s="1"/>
  <c r="C8" i="1"/>
  <c r="F25" i="1" s="1"/>
  <c r="G25" i="1" s="1"/>
  <c r="A15" i="2" l="1"/>
  <c r="A25" i="2"/>
  <c r="H25" i="2"/>
  <c r="A22" i="2"/>
  <c r="H23" i="2"/>
  <c r="A23" i="2"/>
  <c r="H24" i="2"/>
  <c r="A24" i="2"/>
  <c r="G28" i="2"/>
  <c r="C9" i="2" s="1"/>
  <c r="A16" i="2"/>
  <c r="H16" i="2"/>
  <c r="A18" i="2"/>
  <c r="H26" i="2"/>
  <c r="H17" i="2"/>
  <c r="A17" i="2"/>
  <c r="H18" i="2"/>
  <c r="A19" i="2"/>
  <c r="H27" i="2"/>
  <c r="H20" i="2"/>
  <c r="F24" i="3"/>
  <c r="G24" i="3" s="1"/>
  <c r="F17" i="3"/>
  <c r="G17" i="3" s="1"/>
  <c r="F27" i="3"/>
  <c r="G27" i="3" s="1"/>
  <c r="F20" i="3"/>
  <c r="G20" i="3" s="1"/>
  <c r="F23" i="3"/>
  <c r="G23" i="3" s="1"/>
  <c r="F16" i="3"/>
  <c r="G16" i="3" s="1"/>
  <c r="F26" i="3"/>
  <c r="G26" i="3" s="1"/>
  <c r="F19" i="3"/>
  <c r="G19" i="3" s="1"/>
  <c r="F22" i="3"/>
  <c r="G22" i="3" s="1"/>
  <c r="F15" i="3"/>
  <c r="G15" i="3" s="1"/>
  <c r="A21" i="2"/>
  <c r="H22" i="2"/>
  <c r="F27" i="4"/>
  <c r="G27" i="4" s="1"/>
  <c r="F20" i="4"/>
  <c r="G20" i="4" s="1"/>
  <c r="F23" i="4"/>
  <c r="G23" i="4" s="1"/>
  <c r="F16" i="4"/>
  <c r="G16" i="4" s="1"/>
  <c r="F25" i="4"/>
  <c r="G25" i="4" s="1"/>
  <c r="F18" i="4"/>
  <c r="G18" i="4" s="1"/>
  <c r="F26" i="4"/>
  <c r="G26" i="4" s="1"/>
  <c r="F19" i="4"/>
  <c r="G19" i="4" s="1"/>
  <c r="F22" i="4"/>
  <c r="G22" i="4" s="1"/>
  <c r="F15" i="4"/>
  <c r="G15" i="4" s="1"/>
  <c r="A24" i="4" s="1"/>
  <c r="F18" i="5"/>
  <c r="G18" i="5" s="1"/>
  <c r="F25" i="5"/>
  <c r="G25" i="5" s="1"/>
  <c r="F21" i="5"/>
  <c r="G21" i="5" s="1"/>
  <c r="A20" i="2"/>
  <c r="F17" i="1"/>
  <c r="G17" i="1" s="1"/>
  <c r="F24" i="1"/>
  <c r="G24" i="1" s="1"/>
  <c r="F15" i="5"/>
  <c r="G15" i="5" s="1"/>
  <c r="F22" i="5"/>
  <c r="G22" i="5" s="1"/>
  <c r="F21" i="1"/>
  <c r="G21" i="1" s="1"/>
  <c r="F19" i="5"/>
  <c r="G19" i="5" s="1"/>
  <c r="F26" i="5"/>
  <c r="G26" i="5" s="1"/>
  <c r="F18" i="1"/>
  <c r="G18" i="1" s="1"/>
  <c r="A19" i="1" s="1"/>
  <c r="F16" i="5"/>
  <c r="G16" i="5" s="1"/>
  <c r="G28" i="5" l="1"/>
  <c r="A15" i="5"/>
  <c r="A24" i="5"/>
  <c r="A17" i="5"/>
  <c r="A20" i="4"/>
  <c r="A24" i="3"/>
  <c r="H23" i="4"/>
  <c r="A23" i="4"/>
  <c r="A17" i="3"/>
  <c r="H17" i="3"/>
  <c r="A22" i="1"/>
  <c r="A24" i="1"/>
  <c r="A17" i="1"/>
  <c r="A27" i="4"/>
  <c r="H27" i="4"/>
  <c r="A20" i="5"/>
  <c r="A20" i="1"/>
  <c r="A21" i="5"/>
  <c r="H21" i="5"/>
  <c r="A16" i="1"/>
  <c r="H21" i="2"/>
  <c r="H27" i="3"/>
  <c r="H25" i="5"/>
  <c r="A25" i="5"/>
  <c r="A23" i="5"/>
  <c r="A23" i="1"/>
  <c r="H22" i="5"/>
  <c r="A22" i="5"/>
  <c r="H16" i="4"/>
  <c r="A16" i="4"/>
  <c r="A18" i="1"/>
  <c r="H19" i="4"/>
  <c r="A19" i="4"/>
  <c r="H26" i="3"/>
  <c r="A26" i="3"/>
  <c r="H26" i="5"/>
  <c r="A26" i="4"/>
  <c r="A16" i="3"/>
  <c r="H19" i="2"/>
  <c r="H15" i="2"/>
  <c r="G28" i="1"/>
  <c r="H17" i="1" s="1"/>
  <c r="H18" i="5"/>
  <c r="A18" i="5"/>
  <c r="A15" i="3"/>
  <c r="G28" i="3"/>
  <c r="H24" i="3" s="1"/>
  <c r="A25" i="3"/>
  <c r="A21" i="3"/>
  <c r="A15" i="4"/>
  <c r="G28" i="4"/>
  <c r="H20" i="4" s="1"/>
  <c r="A21" i="4"/>
  <c r="A22" i="3"/>
  <c r="H22" i="4"/>
  <c r="A22" i="4"/>
  <c r="A19" i="3"/>
  <c r="H18" i="4"/>
  <c r="A18" i="4"/>
  <c r="H23" i="3"/>
  <c r="A23" i="3"/>
  <c r="A17" i="4"/>
  <c r="A15" i="1"/>
  <c r="A16" i="5"/>
  <c r="H16" i="5"/>
  <c r="H19" i="5"/>
  <c r="A19" i="5"/>
  <c r="H21" i="1"/>
  <c r="A21" i="1"/>
  <c r="H25" i="4"/>
  <c r="A25" i="4"/>
  <c r="A20" i="3"/>
  <c r="A18" i="3"/>
  <c r="H15" i="3" l="1"/>
  <c r="H19" i="3"/>
  <c r="H18" i="1"/>
  <c r="C9" i="3"/>
  <c r="H25" i="3"/>
  <c r="H18" i="3"/>
  <c r="H21" i="3"/>
  <c r="H20" i="3"/>
  <c r="H28" i="2"/>
  <c r="C10" i="2"/>
  <c r="H22" i="3"/>
  <c r="C9" i="4"/>
  <c r="H24" i="4"/>
  <c r="H17" i="4"/>
  <c r="H21" i="4"/>
  <c r="H16" i="3"/>
  <c r="C9" i="1"/>
  <c r="H19" i="1"/>
  <c r="H26" i="1"/>
  <c r="H23" i="1"/>
  <c r="H15" i="1"/>
  <c r="H16" i="1"/>
  <c r="H25" i="1"/>
  <c r="H20" i="1"/>
  <c r="H27" i="1"/>
  <c r="H22" i="1"/>
  <c r="C9" i="5"/>
  <c r="H23" i="5"/>
  <c r="H17" i="5"/>
  <c r="H24" i="5"/>
  <c r="H27" i="5"/>
  <c r="H20" i="5"/>
  <c r="H15" i="4"/>
  <c r="H26" i="4"/>
  <c r="H24" i="1"/>
  <c r="H15" i="5"/>
  <c r="H28" i="5" l="1"/>
  <c r="C10" i="5"/>
  <c r="C10" i="1"/>
  <c r="C10" i="4"/>
  <c r="H28" i="4"/>
  <c r="C10" i="3"/>
  <c r="H28" i="3"/>
</calcChain>
</file>

<file path=xl/sharedStrings.xml><?xml version="1.0" encoding="utf-8"?>
<sst xmlns="http://schemas.openxmlformats.org/spreadsheetml/2006/main" count="390" uniqueCount="68">
  <si>
    <t>Refrigeración industrial (amoníaco y freón) · Excluye aire acondicionado · Universo competitivo seleccionado</t>
  </si>
  <si>
    <t>CALIBRACIÓN FRIOPACKING</t>
  </si>
  <si>
    <t>METODOLOGÍA SIMPLE</t>
  </si>
  <si>
    <t>Importaciones Friopacking (US$ CIF)</t>
  </si>
  <si>
    <t>2. Facturación estimada = Importaciones de cada empresa × Factor del periodo.</t>
  </si>
  <si>
    <t>3. Participación = Facturación estimada / Mercado estimado seleccionado.</t>
  </si>
  <si>
    <t>Factor facturación / importación</t>
  </si>
  <si>
    <t>4. El resultado es un proxy del grupo analizado, no del mercado industrial total.</t>
  </si>
  <si>
    <t>Mercado estimado seleccionado (US$)</t>
  </si>
  <si>
    <t>Supuesto central: todas las empresas mantienen la misma relación importación/facturación que Friopacking.</t>
  </si>
  <si>
    <t>Market share Friopacking</t>
  </si>
  <si>
    <t>La estimación no ajusta compras locales, servicios puros, márgenes ni diferencias del modelo comercial.</t>
  </si>
  <si>
    <t>Ranking</t>
  </si>
  <si>
    <t>Empresa</t>
  </si>
  <si>
    <t>Refrigerante</t>
  </si>
  <si>
    <t>Sector</t>
  </si>
  <si>
    <t>Importaciones (US$ CIF)</t>
  </si>
  <si>
    <t>Factor</t>
  </si>
  <si>
    <t>Facturación estimada (US$)</t>
  </si>
  <si>
    <t>Participación</t>
  </si>
  <si>
    <t>Friopacking</t>
  </si>
  <si>
    <t>Amoníaco / Freón</t>
  </si>
  <si>
    <t>Multisector</t>
  </si>
  <si>
    <t>Energy Project Group</t>
  </si>
  <si>
    <t>Freón</t>
  </si>
  <si>
    <t>Mayekawa Perú</t>
  </si>
  <si>
    <t>Amoníaco</t>
  </si>
  <si>
    <t>Control Automation</t>
  </si>
  <si>
    <t>Asym Industrial</t>
  </si>
  <si>
    <t>Fricold</t>
  </si>
  <si>
    <t>Mitor Ingenieros</t>
  </si>
  <si>
    <t>Pesca</t>
  </si>
  <si>
    <t>Inema Perú</t>
  </si>
  <si>
    <t>ASAP Consulting</t>
  </si>
  <si>
    <t>Booster Group Perú</t>
  </si>
  <si>
    <t>Retail</t>
  </si>
  <si>
    <t>Autorel</t>
  </si>
  <si>
    <t>Lácteos</t>
  </si>
  <si>
    <t>Catri Perú</t>
  </si>
  <si>
    <t>HB Refrigeración</t>
  </si>
  <si>
    <t>TOTAL MERCADO SELECCIONADO</t>
  </si>
  <si>
    <t>Market Share estimado · Junio 2025 – Mayo 2026</t>
  </si>
  <si>
    <t>Periodo de importaciones</t>
  </si>
  <si>
    <t>Junio 2025 – Mayo 2026</t>
  </si>
  <si>
    <t>1. Factor = Ventas alineadas de Friopacking / Importaciones de Friopacking.</t>
  </si>
  <si>
    <t>Ventas Mar 2025 – Feb 2026 (US$)</t>
  </si>
  <si>
    <t>Market Share estimado · Junio 2024 – Mayo 2025</t>
  </si>
  <si>
    <t>Junio 2024 – Mayo 2025</t>
  </si>
  <si>
    <t>Ventas Mar 2024 – Feb 2025 (US$)</t>
  </si>
  <si>
    <t>Market Share estimado · Junio 2023 – Mayo 2024</t>
  </si>
  <si>
    <t>Junio 2023 – Mayo 2024</t>
  </si>
  <si>
    <t>Ventas Mar 2023 – Feb 2024 (US$)</t>
  </si>
  <si>
    <t>Market Share estimado · Junio 2022 – Mayo 2023</t>
  </si>
  <si>
    <t>Junio 2022 – Mayo 2023</t>
  </si>
  <si>
    <t>Ventas Mar 2022 – Feb 2023 (US$)</t>
  </si>
  <si>
    <t>Market Share estimado · Junio 2021 – Mayo 2022</t>
  </si>
  <si>
    <t>Junio 2021 – Mayo 2022</t>
  </si>
  <si>
    <t>Ventas Mar 2021 – Feb 2022 (US$)</t>
  </si>
  <si>
    <t>Agroexportación</t>
  </si>
  <si>
    <t xml:space="preserve">AMONIACO </t>
  </si>
  <si>
    <t>FREON</t>
  </si>
  <si>
    <t>PARTICIPACIÓN % SECTOR ECONOMICO</t>
  </si>
  <si>
    <t>PARTICIPACION % REFRIGERANTE</t>
  </si>
  <si>
    <t>AGROEXPORTACION</t>
  </si>
  <si>
    <t>Lacteos</t>
  </si>
  <si>
    <t>AMONIACO</t>
  </si>
  <si>
    <t>Facturacion por freon</t>
  </si>
  <si>
    <t>Facturacion por Amoniaco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</si>
</sst>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[Red]\(\$#,##0\);\-"/>
    <numFmt numFmtId="165" formatCode="0.00\x"/>
  </numFmts>
  <fonts count="13">
    <font>
      <sz val="11"/>
      <name val="Carlito"/>
    </font>
    <font>
      <b/>
      <sz val="18"/>
      <color rgb="FFFFFFFF"/>
      <name val="Carlito"/>
    </font>
    <font>
      <i/>
      <sz val="10"/>
      <color rgb="FFFFFFFF"/>
      <name val="Carlito"/>
    </font>
    <font>
      <b/>
      <sz val="11"/>
      <color rgb="FFFFFFFF"/>
      <name val="Carlito"/>
    </font>
    <font>
      <b/>
      <sz val="11"/>
      <color rgb="FF172B4D"/>
      <name val="Carlito"/>
    </font>
    <font>
      <sz val="11"/>
      <color rgb="FF172B4D"/>
      <name val="Carlito"/>
    </font>
    <font>
      <sz val="11"/>
      <color rgb="FF0000FF"/>
      <name val="Carlito"/>
    </font>
    <font>
      <sz val="9"/>
      <color rgb="FF172B4D"/>
      <name val="Carlito"/>
    </font>
    <font>
      <sz val="10"/>
      <color rgb="FF172B4D"/>
      <name val="Carlito"/>
    </font>
    <font>
      <sz val="10"/>
      <color rgb="FF0000FF"/>
      <name val="Carlito"/>
    </font>
    <font>
      <b/>
      <sz val="10"/>
      <color rgb="FF0F6E56"/>
      <name val="Carlito"/>
    </font>
    <font>
      <i/>
      <sz val="9"/>
      <color rgb="FF627D98"/>
      <name val="Carlito"/>
    </font>
    <font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243B53"/>
      </patternFill>
    </fill>
    <fill>
      <patternFill patternType="solid">
        <fgColor rgb="FF0F6E56"/>
      </patternFill>
    </fill>
    <fill>
      <patternFill patternType="solid">
        <fgColor rgb="FFF3F7FA"/>
      </patternFill>
    </fill>
    <fill>
      <patternFill patternType="solid">
        <fgColor rgb="FFDDF7F1"/>
      </patternFill>
    </fill>
    <fill>
      <patternFill patternType="solid">
        <fgColor rgb="FF0F6E56"/>
      </patternFill>
    </fill>
    <fill>
      <patternFill patternType="solid">
        <fgColor rgb="FFF3F7FA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right" vertical="center"/>
    </xf>
    <xf numFmtId="164" fontId="8" fillId="0" borderId="0" xfId="0" applyNumberFormat="1" applyFont="1" applyAlignment="1">
      <alignment horizontal="right"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164" fontId="4" fillId="6" borderId="5" xfId="0" applyNumberFormat="1" applyFont="1" applyFill="1" applyBorder="1" applyAlignment="1">
      <alignment horizontal="right" vertical="center"/>
    </xf>
    <xf numFmtId="165" fontId="8" fillId="0" borderId="0" xfId="0" applyNumberFormat="1" applyFont="1" applyAlignment="1">
      <alignment horizontal="right" vertical="center" wrapText="1"/>
    </xf>
    <xf numFmtId="165" fontId="8" fillId="0" borderId="1" xfId="0" applyNumberFormat="1" applyFont="1" applyBorder="1" applyAlignment="1">
      <alignment horizontal="right" vertical="center" wrapText="1"/>
    </xf>
    <xf numFmtId="10" fontId="8" fillId="0" borderId="0" xfId="0" applyNumberFormat="1" applyFont="1" applyAlignment="1">
      <alignment horizontal="right" vertical="center" wrapText="1"/>
    </xf>
    <xf numFmtId="10" fontId="8" fillId="0" borderId="1" xfId="0" applyNumberFormat="1" applyFont="1" applyBorder="1" applyAlignment="1">
      <alignment horizontal="right" vertical="center" wrapText="1"/>
    </xf>
    <xf numFmtId="10" fontId="4" fillId="6" borderId="5" xfId="0" applyNumberFormat="1" applyFont="1" applyFill="1" applyBorder="1" applyAlignment="1">
      <alignment horizontal="right" vertical="center"/>
    </xf>
    <xf numFmtId="164" fontId="9" fillId="0" borderId="0" xfId="0" applyNumberFormat="1" applyFont="1" applyAlignment="1">
      <alignment horizontal="right" vertical="center" wrapText="1"/>
    </xf>
    <xf numFmtId="164" fontId="9" fillId="0" borderId="1" xfId="0" applyNumberFormat="1" applyFont="1" applyBorder="1" applyAlignment="1">
      <alignment horizontal="right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vertical="center" wrapText="1"/>
    </xf>
    <xf numFmtId="164" fontId="9" fillId="6" borderId="0" xfId="0" applyNumberFormat="1" applyFont="1" applyFill="1" applyAlignment="1">
      <alignment horizontal="right" vertical="center" wrapText="1"/>
    </xf>
    <xf numFmtId="165" fontId="8" fillId="6" borderId="0" xfId="0" applyNumberFormat="1" applyFont="1" applyFill="1" applyAlignment="1">
      <alignment horizontal="right" vertical="center" wrapText="1"/>
    </xf>
    <xf numFmtId="164" fontId="8" fillId="6" borderId="0" xfId="0" applyNumberFormat="1" applyFont="1" applyFill="1" applyAlignment="1">
      <alignment horizontal="right" vertical="center" wrapText="1"/>
    </xf>
    <xf numFmtId="10" fontId="8" fillId="6" borderId="0" xfId="0" applyNumberFormat="1" applyFont="1" applyFill="1" applyAlignment="1">
      <alignment horizontal="right" vertical="center" wrapText="1"/>
    </xf>
    <xf numFmtId="0" fontId="10" fillId="6" borderId="0" xfId="0" applyFont="1" applyFill="1" applyAlignment="1">
      <alignment vertical="center" wrapText="1"/>
    </xf>
    <xf numFmtId="164" fontId="6" fillId="9" borderId="0" xfId="0" applyNumberFormat="1" applyFont="1" applyFill="1" applyAlignment="1">
      <alignment horizontal="right" vertical="center"/>
    </xf>
    <xf numFmtId="10" fontId="5" fillId="0" borderId="6" xfId="0" applyNumberFormat="1" applyFont="1" applyBorder="1" applyAlignment="1">
      <alignment horizontal="right" vertical="center"/>
    </xf>
    <xf numFmtId="10" fontId="0" fillId="0" borderId="0" xfId="0" applyNumberFormat="1"/>
    <xf numFmtId="0" fontId="0" fillId="10" borderId="0" xfId="0" applyFill="1"/>
    <xf numFmtId="0" fontId="3" fillId="2" borderId="6" xfId="0" applyFont="1" applyFill="1" applyBorder="1" applyAlignment="1">
      <alignment horizontal="center" vertical="center" wrapText="1"/>
    </xf>
    <xf numFmtId="9" fontId="0" fillId="0" borderId="0" xfId="1" applyFont="1"/>
    <xf numFmtId="10" fontId="0" fillId="0" borderId="0" xfId="1" applyNumberFormat="1" applyFont="1"/>
    <xf numFmtId="0" fontId="11" fillId="0" borderId="0" xfId="0" applyFont="1" applyAlignment="1">
      <alignment vertical="center" wrapText="1"/>
    </xf>
    <xf numFmtId="0" fontId="3" fillId="7" borderId="0" xfId="0" applyFont="1" applyFill="1" applyAlignment="1">
      <alignment horizontal="left" vertical="center"/>
    </xf>
    <xf numFmtId="0" fontId="4" fillId="8" borderId="0" xfId="0" applyFont="1" applyFill="1" applyAlignment="1">
      <alignment vertical="center"/>
    </xf>
    <xf numFmtId="0" fontId="4" fillId="8" borderId="0" xfId="0" applyFont="1" applyFill="1" applyAlignment="1">
      <alignment horizontal="right" vertical="center"/>
    </xf>
    <xf numFmtId="164" fontId="4" fillId="8" borderId="0" xfId="0" applyNumberFormat="1" applyFont="1" applyFill="1" applyAlignment="1">
      <alignment horizontal="right" vertical="center"/>
    </xf>
    <xf numFmtId="165" fontId="4" fillId="8" borderId="0" xfId="0" applyNumberFormat="1" applyFont="1" applyFill="1" applyAlignment="1">
      <alignment horizontal="right" vertical="center"/>
    </xf>
    <xf numFmtId="0" fontId="4" fillId="8" borderId="6" xfId="0" applyFont="1" applyFill="1" applyBorder="1" applyAlignment="1">
      <alignment vertical="center"/>
    </xf>
    <xf numFmtId="10" fontId="4" fillId="8" borderId="6" xfId="0" applyNumberFormat="1" applyFont="1" applyFill="1" applyBorder="1" applyAlignment="1">
      <alignment horizontal="right" vertical="center"/>
    </xf>
    <xf numFmtId="0" fontId="7" fillId="5" borderId="0" xfId="0" applyFont="1" applyFill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12" workbookViewId="0">
      <selection activeCell="D25" sqref="D25"/>
    </sheetView>
  </sheetViews>
  <sheetFormatPr baseColWidth="10" defaultColWidth="8.796875" defaultRowHeight="13.8"/>
  <cols>
    <col min="1" max="1" width="9" customWidth="1"/>
    <col min="2" max="2" width="29.796875" customWidth="1"/>
    <col min="3" max="3" width="19" customWidth="1"/>
    <col min="4" max="4" width="18" customWidth="1"/>
    <col min="5" max="5" width="21" customWidth="1"/>
    <col min="6" max="6" width="12" customWidth="1"/>
    <col min="7" max="7" width="22.19921875" customWidth="1"/>
    <col min="8" max="8" width="17" customWidth="1"/>
    <col min="10" max="10" width="13" customWidth="1"/>
    <col min="11" max="11" width="14.8984375" customWidth="1"/>
    <col min="12" max="12" width="16.8984375" customWidth="1"/>
  </cols>
  <sheetData>
    <row r="1" spans="1:12" ht="20.55" customHeight="1">
      <c r="A1" s="48" t="s">
        <v>41</v>
      </c>
      <c r="B1" s="48"/>
      <c r="C1" s="48"/>
      <c r="D1" s="48"/>
      <c r="E1" s="48"/>
      <c r="F1" s="48"/>
      <c r="G1" s="48"/>
      <c r="H1" s="48"/>
    </row>
    <row r="2" spans="1:12" ht="13.95" customHeight="1">
      <c r="A2" s="49" t="s">
        <v>0</v>
      </c>
      <c r="B2" s="49"/>
      <c r="C2" s="49"/>
      <c r="D2" s="49"/>
      <c r="E2" s="49"/>
      <c r="F2" s="49"/>
      <c r="G2" s="49"/>
      <c r="H2" s="49"/>
    </row>
    <row r="4" spans="1:12">
      <c r="A4" s="39" t="s">
        <v>1</v>
      </c>
      <c r="B4" s="39"/>
      <c r="C4" s="39"/>
      <c r="D4" s="50" t="s">
        <v>2</v>
      </c>
      <c r="E4" s="50"/>
      <c r="F4" s="50"/>
      <c r="G4" s="50"/>
      <c r="H4" s="50"/>
    </row>
    <row r="5" spans="1:12" ht="15.3" customHeight="1">
      <c r="A5" s="40" t="s">
        <v>42</v>
      </c>
      <c r="B5" s="41"/>
      <c r="C5" s="1" t="s">
        <v>43</v>
      </c>
      <c r="D5" s="46" t="s">
        <v>44</v>
      </c>
      <c r="E5" s="46"/>
      <c r="F5" s="46"/>
      <c r="G5" s="46"/>
      <c r="H5" s="46"/>
    </row>
    <row r="6" spans="1:12" ht="15.3" customHeight="1">
      <c r="A6" s="40" t="s">
        <v>3</v>
      </c>
      <c r="B6" s="42"/>
      <c r="C6" s="2">
        <v>5151627</v>
      </c>
      <c r="D6" s="46" t="s">
        <v>4</v>
      </c>
      <c r="E6" s="46"/>
      <c r="F6" s="46"/>
      <c r="G6" s="46"/>
      <c r="H6" s="46"/>
    </row>
    <row r="7" spans="1:12" ht="15.3" customHeight="1">
      <c r="A7" s="40" t="s">
        <v>45</v>
      </c>
      <c r="B7" s="42"/>
      <c r="C7" s="31">
        <v>41603437.850000001</v>
      </c>
      <c r="D7" s="46" t="s">
        <v>5</v>
      </c>
      <c r="E7" s="46"/>
      <c r="F7" s="46"/>
      <c r="G7" s="46"/>
      <c r="H7" s="46"/>
    </row>
    <row r="8" spans="1:12" ht="15.3" customHeight="1">
      <c r="A8" s="40" t="s">
        <v>6</v>
      </c>
      <c r="B8" s="43"/>
      <c r="C8" s="3">
        <f>IFERROR(C7/C6,0)</f>
        <v>8.0757861254318293</v>
      </c>
      <c r="D8" s="46" t="s">
        <v>7</v>
      </c>
      <c r="E8" s="46"/>
      <c r="F8" s="46"/>
      <c r="G8" s="46"/>
      <c r="H8" s="46"/>
    </row>
    <row r="9" spans="1:12" ht="15.3" customHeight="1">
      <c r="A9" s="40" t="s">
        <v>8</v>
      </c>
      <c r="B9" s="42"/>
      <c r="C9" s="4">
        <f>G28</f>
        <v>92490476.398351416</v>
      </c>
      <c r="D9" s="46" t="s">
        <v>9</v>
      </c>
      <c r="E9" s="46"/>
      <c r="F9" s="46"/>
      <c r="G9" s="46"/>
      <c r="H9" s="46"/>
    </row>
    <row r="10" spans="1:12" ht="15.3" customHeight="1">
      <c r="A10" s="44" t="s">
        <v>10</v>
      </c>
      <c r="B10" s="45"/>
      <c r="C10" s="32">
        <f>SUMIF(B15:B27,"Friopacking",H15:H27)</f>
        <v>0.44981320747896542</v>
      </c>
      <c r="D10" s="47" t="s">
        <v>11</v>
      </c>
      <c r="E10" s="47"/>
      <c r="F10" s="47"/>
      <c r="G10" s="47"/>
      <c r="H10" s="47"/>
    </row>
    <row r="14" spans="1:12" ht="36.6" customHeight="1">
      <c r="A14" s="5" t="s">
        <v>12</v>
      </c>
      <c r="B14" s="6" t="s">
        <v>13</v>
      </c>
      <c r="C14" s="6" t="s">
        <v>14</v>
      </c>
      <c r="D14" s="6" t="s">
        <v>15</v>
      </c>
      <c r="E14" s="6" t="s">
        <v>16</v>
      </c>
      <c r="F14" s="6" t="s">
        <v>17</v>
      </c>
      <c r="G14" s="6" t="s">
        <v>18</v>
      </c>
      <c r="H14" s="7" t="s">
        <v>19</v>
      </c>
      <c r="I14" s="35" t="s">
        <v>60</v>
      </c>
      <c r="J14" s="35" t="s">
        <v>65</v>
      </c>
      <c r="K14" s="35" t="s">
        <v>66</v>
      </c>
      <c r="L14" s="35" t="s">
        <v>67</v>
      </c>
    </row>
    <row r="15" spans="1:12" ht="13.95" customHeight="1">
      <c r="A15" s="24">
        <f t="shared" ref="A15:A27" si="0">IF(E15=0,"",COUNTIF($G$15:$G$27,"&gt;"&amp;G15)+1)</f>
        <v>1</v>
      </c>
      <c r="B15" s="30" t="s">
        <v>20</v>
      </c>
      <c r="C15" s="9" t="s">
        <v>26</v>
      </c>
      <c r="D15" s="25" t="s">
        <v>58</v>
      </c>
      <c r="E15" s="26">
        <v>5151627</v>
      </c>
      <c r="F15" s="27">
        <f t="shared" ref="F15:F27" si="1">$C$8</f>
        <v>8.0757861254318293</v>
      </c>
      <c r="G15" s="28">
        <f t="shared" ref="G15:G27" si="2">E15*F15</f>
        <v>41603437.850000001</v>
      </c>
      <c r="H15" s="29">
        <f t="shared" ref="H15:H27" si="3">IFERROR(G15/$G$28,0)</f>
        <v>0.44981320747896542</v>
      </c>
      <c r="I15" s="37">
        <v>0.2</v>
      </c>
      <c r="J15" s="37">
        <v>0.8</v>
      </c>
      <c r="K15" s="16">
        <f>I15*G15</f>
        <v>8320687.5700000003</v>
      </c>
      <c r="L15" s="16">
        <f>J15*G15</f>
        <v>33282750.280000001</v>
      </c>
    </row>
    <row r="16" spans="1:12" ht="13.95" customHeight="1">
      <c r="A16" s="11">
        <f t="shared" si="0"/>
        <v>2</v>
      </c>
      <c r="B16" s="9" t="s">
        <v>23</v>
      </c>
      <c r="C16" s="9" t="s">
        <v>24</v>
      </c>
      <c r="D16" s="9" t="s">
        <v>22</v>
      </c>
      <c r="E16" s="22">
        <v>2297894</v>
      </c>
      <c r="F16" s="17">
        <f t="shared" si="1"/>
        <v>8.0757861254318293</v>
      </c>
      <c r="G16" s="14">
        <f t="shared" si="2"/>
        <v>18557300.482913047</v>
      </c>
      <c r="H16" s="19">
        <f t="shared" si="3"/>
        <v>0.20064012215687776</v>
      </c>
      <c r="I16" s="37">
        <v>1</v>
      </c>
      <c r="J16" s="37"/>
      <c r="K16" s="16">
        <f t="shared" ref="K16:K27" si="4">I16*G16</f>
        <v>18557300.482913047</v>
      </c>
      <c r="L16" s="16">
        <f t="shared" ref="L16:L27" si="5">J16*G16</f>
        <v>0</v>
      </c>
    </row>
    <row r="17" spans="1:12" ht="13.95" customHeight="1">
      <c r="A17" s="11">
        <f t="shared" si="0"/>
        <v>3</v>
      </c>
      <c r="B17" s="9" t="s">
        <v>25</v>
      </c>
      <c r="C17" s="9" t="s">
        <v>26</v>
      </c>
      <c r="D17" s="9" t="s">
        <v>22</v>
      </c>
      <c r="E17" s="22">
        <v>1916208</v>
      </c>
      <c r="F17" s="17">
        <f t="shared" si="1"/>
        <v>8.0757861254318293</v>
      </c>
      <c r="G17" s="14">
        <f t="shared" si="2"/>
        <v>15474885.979841474</v>
      </c>
      <c r="H17" s="19">
        <f t="shared" si="3"/>
        <v>0.16731329086458577</v>
      </c>
      <c r="I17" s="37"/>
      <c r="J17" s="37">
        <v>1</v>
      </c>
      <c r="K17" s="16">
        <f t="shared" si="4"/>
        <v>0</v>
      </c>
      <c r="L17" s="16">
        <f t="shared" si="5"/>
        <v>15474885.979841474</v>
      </c>
    </row>
    <row r="18" spans="1:12" ht="13.95" customHeight="1">
      <c r="A18" s="11">
        <f t="shared" si="0"/>
        <v>4</v>
      </c>
      <c r="B18" s="9" t="s">
        <v>27</v>
      </c>
      <c r="C18" s="9" t="s">
        <v>24</v>
      </c>
      <c r="D18" s="9" t="s">
        <v>22</v>
      </c>
      <c r="E18" s="22">
        <v>690462</v>
      </c>
      <c r="F18" s="17">
        <f t="shared" si="1"/>
        <v>8.0757861254318293</v>
      </c>
      <c r="G18" s="14">
        <f t="shared" si="2"/>
        <v>5576023.4397379113</v>
      </c>
      <c r="H18" s="19">
        <f t="shared" si="3"/>
        <v>6.0287541559655114E-2</v>
      </c>
      <c r="I18" s="37">
        <v>0.5</v>
      </c>
      <c r="J18" s="37">
        <v>0.5</v>
      </c>
      <c r="K18" s="16">
        <f t="shared" si="4"/>
        <v>2788011.7198689557</v>
      </c>
      <c r="L18" s="16">
        <f t="shared" si="5"/>
        <v>2788011.7198689557</v>
      </c>
    </row>
    <row r="19" spans="1:12" ht="13.95" customHeight="1">
      <c r="A19" s="11">
        <f t="shared" si="0"/>
        <v>5</v>
      </c>
      <c r="B19" s="9" t="s">
        <v>28</v>
      </c>
      <c r="C19" s="9" t="s">
        <v>26</v>
      </c>
      <c r="D19" s="9" t="s">
        <v>22</v>
      </c>
      <c r="E19" s="22">
        <v>357728</v>
      </c>
      <c r="F19" s="17">
        <f t="shared" si="1"/>
        <v>8.0757861254318293</v>
      </c>
      <c r="G19" s="14">
        <f t="shared" si="2"/>
        <v>2888934.8190784776</v>
      </c>
      <c r="H19" s="19">
        <f t="shared" si="3"/>
        <v>3.123494365664194E-2</v>
      </c>
      <c r="I19" s="37">
        <v>0.5</v>
      </c>
      <c r="J19" s="37">
        <v>0.5</v>
      </c>
      <c r="K19" s="16">
        <f t="shared" si="4"/>
        <v>1444467.4095392388</v>
      </c>
      <c r="L19" s="16">
        <f t="shared" si="5"/>
        <v>1444467.4095392388</v>
      </c>
    </row>
    <row r="20" spans="1:12" ht="13.95" customHeight="1">
      <c r="A20" s="11">
        <f t="shared" si="0"/>
        <v>6</v>
      </c>
      <c r="B20" s="9" t="s">
        <v>29</v>
      </c>
      <c r="C20" s="9" t="s">
        <v>24</v>
      </c>
      <c r="D20" s="9" t="s">
        <v>22</v>
      </c>
      <c r="E20" s="22">
        <v>261219</v>
      </c>
      <c r="F20" s="17">
        <f t="shared" si="1"/>
        <v>8.0757861254318293</v>
      </c>
      <c r="G20" s="14">
        <f t="shared" si="2"/>
        <v>2109548.775899177</v>
      </c>
      <c r="H20" s="19">
        <f t="shared" si="3"/>
        <v>2.2808281004127018E-2</v>
      </c>
      <c r="I20" s="37">
        <v>1</v>
      </c>
      <c r="J20" s="37"/>
      <c r="K20" s="16">
        <f t="shared" si="4"/>
        <v>2109548.775899177</v>
      </c>
      <c r="L20" s="16">
        <f t="shared" si="5"/>
        <v>0</v>
      </c>
    </row>
    <row r="21" spans="1:12" ht="13.95" customHeight="1">
      <c r="A21" s="11">
        <f t="shared" si="0"/>
        <v>7</v>
      </c>
      <c r="B21" s="9" t="s">
        <v>30</v>
      </c>
      <c r="C21" s="9" t="s">
        <v>26</v>
      </c>
      <c r="D21" s="9" t="s">
        <v>31</v>
      </c>
      <c r="E21" s="22">
        <v>249889</v>
      </c>
      <c r="F21" s="17">
        <f t="shared" si="1"/>
        <v>8.0757861254318293</v>
      </c>
      <c r="G21" s="14">
        <f t="shared" si="2"/>
        <v>2018050.1190980345</v>
      </c>
      <c r="H21" s="19">
        <f t="shared" si="3"/>
        <v>2.1819004482217207E-2</v>
      </c>
      <c r="I21" s="37">
        <v>0.5</v>
      </c>
      <c r="J21" s="37">
        <v>0.5</v>
      </c>
      <c r="K21" s="16">
        <f t="shared" si="4"/>
        <v>1009025.0595490172</v>
      </c>
      <c r="L21" s="16">
        <f t="shared" si="5"/>
        <v>1009025.0595490172</v>
      </c>
    </row>
    <row r="22" spans="1:12" ht="13.95" customHeight="1">
      <c r="A22" s="11">
        <f t="shared" si="0"/>
        <v>8</v>
      </c>
      <c r="B22" s="9" t="s">
        <v>32</v>
      </c>
      <c r="C22" s="9" t="s">
        <v>26</v>
      </c>
      <c r="D22" s="9" t="s">
        <v>22</v>
      </c>
      <c r="E22" s="22">
        <v>244429</v>
      </c>
      <c r="F22" s="17">
        <f t="shared" si="1"/>
        <v>8.0757861254318293</v>
      </c>
      <c r="G22" s="14">
        <f t="shared" si="2"/>
        <v>1973956.3268531766</v>
      </c>
      <c r="H22" s="19">
        <f t="shared" si="3"/>
        <v>2.1342265752329514E-2</v>
      </c>
      <c r="I22" s="37">
        <v>0.5</v>
      </c>
      <c r="J22" s="37">
        <v>0.5</v>
      </c>
      <c r="K22" s="16">
        <f t="shared" si="4"/>
        <v>986978.16342658829</v>
      </c>
      <c r="L22" s="16">
        <f t="shared" si="5"/>
        <v>986978.16342658829</v>
      </c>
    </row>
    <row r="23" spans="1:12" ht="13.95" customHeight="1">
      <c r="A23" s="11">
        <f t="shared" si="0"/>
        <v>9</v>
      </c>
      <c r="B23" s="9" t="s">
        <v>33</v>
      </c>
      <c r="C23" s="9" t="s">
        <v>26</v>
      </c>
      <c r="D23" s="9" t="s">
        <v>31</v>
      </c>
      <c r="E23" s="22">
        <v>206522</v>
      </c>
      <c r="F23" s="17">
        <f t="shared" si="1"/>
        <v>8.0757861254318293</v>
      </c>
      <c r="G23" s="14">
        <f t="shared" si="2"/>
        <v>1667827.5021964323</v>
      </c>
      <c r="H23" s="19">
        <f t="shared" si="3"/>
        <v>1.803242417103779E-2</v>
      </c>
      <c r="I23" s="37"/>
      <c r="J23" s="37">
        <v>1</v>
      </c>
      <c r="K23" s="16">
        <f t="shared" si="4"/>
        <v>0</v>
      </c>
      <c r="L23" s="16">
        <f t="shared" si="5"/>
        <v>1667827.5021964323</v>
      </c>
    </row>
    <row r="24" spans="1:12" ht="13.95" customHeight="1">
      <c r="A24" s="11">
        <f t="shared" si="0"/>
        <v>10</v>
      </c>
      <c r="B24" s="9" t="s">
        <v>34</v>
      </c>
      <c r="C24" s="9" t="s">
        <v>26</v>
      </c>
      <c r="D24" s="9" t="s">
        <v>35</v>
      </c>
      <c r="E24" s="22">
        <v>76836</v>
      </c>
      <c r="F24" s="17">
        <f t="shared" si="1"/>
        <v>8.0757861254318293</v>
      </c>
      <c r="G24" s="14">
        <f t="shared" si="2"/>
        <v>620511.10273368005</v>
      </c>
      <c r="H24" s="19">
        <f t="shared" si="3"/>
        <v>6.7089188735624276E-3</v>
      </c>
      <c r="I24" s="37"/>
      <c r="J24" s="37">
        <v>1</v>
      </c>
      <c r="K24" s="16">
        <f t="shared" si="4"/>
        <v>0</v>
      </c>
      <c r="L24" s="16">
        <f t="shared" si="5"/>
        <v>620511.10273368005</v>
      </c>
    </row>
    <row r="25" spans="1:12" ht="13.95" customHeight="1">
      <c r="A25" s="11" t="str">
        <f t="shared" si="0"/>
        <v/>
      </c>
      <c r="B25" s="9" t="s">
        <v>36</v>
      </c>
      <c r="C25" s="9" t="s">
        <v>24</v>
      </c>
      <c r="D25" s="9" t="s">
        <v>22</v>
      </c>
      <c r="E25" s="22">
        <v>0</v>
      </c>
      <c r="F25" s="17">
        <f t="shared" si="1"/>
        <v>8.0757861254318293</v>
      </c>
      <c r="G25" s="14">
        <f t="shared" si="2"/>
        <v>0</v>
      </c>
      <c r="H25" s="19">
        <f t="shared" si="3"/>
        <v>0</v>
      </c>
      <c r="I25" s="37">
        <v>1</v>
      </c>
      <c r="J25" s="37"/>
      <c r="K25" s="16">
        <f t="shared" si="4"/>
        <v>0</v>
      </c>
      <c r="L25" s="16">
        <f t="shared" si="5"/>
        <v>0</v>
      </c>
    </row>
    <row r="26" spans="1:12" ht="13.95" customHeight="1">
      <c r="A26" s="11" t="str">
        <f t="shared" si="0"/>
        <v/>
      </c>
      <c r="B26" s="9" t="s">
        <v>38</v>
      </c>
      <c r="C26" s="9" t="s">
        <v>26</v>
      </c>
      <c r="D26" s="9" t="s">
        <v>22</v>
      </c>
      <c r="E26" s="22">
        <v>0</v>
      </c>
      <c r="F26" s="17">
        <f t="shared" si="1"/>
        <v>8.0757861254318293</v>
      </c>
      <c r="G26" s="14">
        <f t="shared" si="2"/>
        <v>0</v>
      </c>
      <c r="H26" s="19">
        <f t="shared" si="3"/>
        <v>0</v>
      </c>
      <c r="I26" s="37">
        <v>0.5</v>
      </c>
      <c r="J26" s="37">
        <v>0.5</v>
      </c>
      <c r="K26" s="16">
        <f t="shared" si="4"/>
        <v>0</v>
      </c>
      <c r="L26" s="16">
        <f t="shared" si="5"/>
        <v>0</v>
      </c>
    </row>
    <row r="27" spans="1:12" ht="13.95" customHeight="1">
      <c r="A27" s="12" t="str">
        <f t="shared" si="0"/>
        <v/>
      </c>
      <c r="B27" s="10" t="s">
        <v>39</v>
      </c>
      <c r="C27" s="10" t="s">
        <v>24</v>
      </c>
      <c r="D27" s="10" t="s">
        <v>22</v>
      </c>
      <c r="E27" s="23">
        <v>0</v>
      </c>
      <c r="F27" s="18">
        <f t="shared" si="1"/>
        <v>8.0757861254318293</v>
      </c>
      <c r="G27" s="15">
        <f t="shared" si="2"/>
        <v>0</v>
      </c>
      <c r="H27" s="20">
        <f t="shared" si="3"/>
        <v>0</v>
      </c>
      <c r="I27" s="37">
        <v>1</v>
      </c>
      <c r="J27" s="37"/>
      <c r="K27" s="16">
        <f t="shared" si="4"/>
        <v>0</v>
      </c>
      <c r="L27" s="16">
        <f t="shared" si="5"/>
        <v>0</v>
      </c>
    </row>
    <row r="28" spans="1:12" ht="13.95" customHeight="1">
      <c r="A28" s="8"/>
      <c r="B28" s="8" t="s">
        <v>40</v>
      </c>
      <c r="C28" s="8"/>
      <c r="D28" s="8"/>
      <c r="E28" s="16">
        <f>SUM(E15:E27)</f>
        <v>11452814</v>
      </c>
      <c r="F28" s="13"/>
      <c r="G28" s="16">
        <f>SUM(G15:G27)</f>
        <v>92490476.398351416</v>
      </c>
      <c r="H28" s="21">
        <f>SUM(H15:H27)</f>
        <v>1</v>
      </c>
      <c r="I28" s="21">
        <f t="shared" ref="I28:L28" si="6">SUM(I15:I27)</f>
        <v>6.7</v>
      </c>
      <c r="J28" s="21">
        <f>SUM(J15:J27)</f>
        <v>6.3</v>
      </c>
      <c r="K28" s="16">
        <f>SUM(K15:K27)</f>
        <v>35216019.181196019</v>
      </c>
      <c r="L28" s="16">
        <f t="shared" si="6"/>
        <v>57274457.217155382</v>
      </c>
    </row>
    <row r="31" spans="1:12" ht="13.95" customHeight="1">
      <c r="A31" s="38"/>
      <c r="B31" s="38"/>
      <c r="C31" s="38"/>
      <c r="D31" s="38"/>
      <c r="E31" s="38"/>
      <c r="F31" s="38"/>
      <c r="G31" s="38"/>
      <c r="H31" s="38"/>
    </row>
    <row r="32" spans="1:12" ht="13.95" customHeight="1">
      <c r="A32" s="38"/>
      <c r="B32" s="38"/>
      <c r="C32" s="38"/>
      <c r="D32" s="38"/>
      <c r="E32" s="38"/>
      <c r="F32" s="38"/>
      <c r="G32" s="38"/>
      <c r="H32" s="38"/>
    </row>
    <row r="33" spans="2:3">
      <c r="B33" t="s">
        <v>62</v>
      </c>
    </row>
    <row r="34" spans="2:3">
      <c r="B34" t="s">
        <v>59</v>
      </c>
      <c r="C34" s="33">
        <f>L28/G28</f>
        <v>0.61924707761778019</v>
      </c>
    </row>
    <row r="35" spans="2:3">
      <c r="B35" t="s">
        <v>60</v>
      </c>
      <c r="C35" s="33">
        <f>1-C34</f>
        <v>0.38075292238221981</v>
      </c>
    </row>
    <row r="37" spans="2:3">
      <c r="B37" t="s">
        <v>61</v>
      </c>
    </row>
    <row r="38" spans="2:3">
      <c r="B38" t="s">
        <v>63</v>
      </c>
      <c r="C38" s="33">
        <f>H15</f>
        <v>0.44981320747896542</v>
      </c>
    </row>
    <row r="39" spans="2:3">
      <c r="B39" t="s">
        <v>22</v>
      </c>
      <c r="C39" s="33">
        <f>H16+H18+H17+H19+H20+H22</f>
        <v>0.50362644499421716</v>
      </c>
    </row>
    <row r="40" spans="2:3">
      <c r="B40" t="s">
        <v>31</v>
      </c>
      <c r="C40" s="33">
        <f>H21+H23</f>
        <v>3.9851428653255E-2</v>
      </c>
    </row>
    <row r="41" spans="2:3">
      <c r="B41" t="s">
        <v>35</v>
      </c>
      <c r="C41" s="33">
        <f>H24</f>
        <v>6.7089188735624276E-3</v>
      </c>
    </row>
    <row r="42" spans="2:3">
      <c r="B42" t="s">
        <v>64</v>
      </c>
      <c r="C42" s="33">
        <v>0</v>
      </c>
    </row>
    <row r="43" spans="2:3">
      <c r="C43" s="33">
        <f>SUM(C38:C42)</f>
        <v>0.99999999999999989</v>
      </c>
    </row>
  </sheetData>
  <mergeCells count="18">
    <mergeCell ref="A1:H1"/>
    <mergeCell ref="A2:H2"/>
    <mergeCell ref="D4:H4"/>
    <mergeCell ref="D5:H5"/>
    <mergeCell ref="D6:H6"/>
    <mergeCell ref="A32:H32"/>
    <mergeCell ref="A4:C4"/>
    <mergeCell ref="A5:B5"/>
    <mergeCell ref="A6:B6"/>
    <mergeCell ref="A7:B7"/>
    <mergeCell ref="A8:B8"/>
    <mergeCell ref="A9:B9"/>
    <mergeCell ref="A10:B10"/>
    <mergeCell ref="D7:H7"/>
    <mergeCell ref="D8:H8"/>
    <mergeCell ref="D9:H9"/>
    <mergeCell ref="D10:H10"/>
    <mergeCell ref="A31:H31"/>
  </mergeCells>
  <conditionalFormatting sqref="H15:H27">
    <cfRule type="dataBar" priority="1">
      <dataBar>
        <cfvo type="min"/>
        <cfvo type="max"/>
        <color rgb="FF3EC6AC"/>
      </dataBar>
    </cfRule>
    <cfRule type="dataBar" priority="2">
      <dataBar>
        <cfvo type="min"/>
        <cfvo type="max"/>
        <color rgb="FF3EC6AC"/>
      </dataBar>
    </cfRule>
    <cfRule type="dataBar" priority="3">
      <dataBar>
        <cfvo type="min"/>
        <cfvo type="max"/>
        <color rgb="FF3EC6AC"/>
      </dataBar>
      <extLst>
        <ext xmlns:x14="http://schemas.microsoft.com/office/spreadsheetml/2009/9/main" uri="{B025F937-C7B1-47D3-B67F-A62EFF666E3E}">
          <x14:id>{358D45C3-C3C1-52CF-D50F-21FEEC661237}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8D45C3-C3C1-52CF-D50F-21FEEC661237}">
            <x14:dataBar>
              <x14:cfvo type="min"/>
              <x14:cfvo type="max"/>
              <x14:negativeFillColor auto="1"/>
              <x14:axisColor auto="1"/>
            </x14:dataBar>
          </x14:cfRule>
          <xm:sqref>H15:H27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topLeftCell="A7" workbookViewId="0">
      <selection activeCell="D25" sqref="D25"/>
    </sheetView>
  </sheetViews>
  <sheetFormatPr baseColWidth="10" defaultColWidth="8.796875" defaultRowHeight="13.8"/>
  <cols>
    <col min="1" max="1" width="9" customWidth="1"/>
    <col min="2" max="2" width="27" customWidth="1"/>
    <col min="3" max="3" width="19" customWidth="1"/>
    <col min="4" max="4" width="18" customWidth="1"/>
    <col min="5" max="5" width="21" customWidth="1"/>
    <col min="6" max="6" width="12" customWidth="1"/>
    <col min="7" max="7" width="24" customWidth="1"/>
    <col min="8" max="8" width="17" customWidth="1"/>
    <col min="11" max="11" width="11.3984375" customWidth="1"/>
    <col min="12" max="12" width="12.59765625" customWidth="1"/>
  </cols>
  <sheetData>
    <row r="1" spans="1:12" ht="20.55" customHeight="1">
      <c r="A1" s="48" t="s">
        <v>46</v>
      </c>
      <c r="B1" s="48"/>
      <c r="C1" s="48"/>
      <c r="D1" s="48"/>
      <c r="E1" s="48"/>
      <c r="F1" s="48"/>
      <c r="G1" s="48"/>
      <c r="H1" s="48"/>
    </row>
    <row r="2" spans="1:12" ht="13.95" customHeight="1">
      <c r="A2" s="49" t="s">
        <v>0</v>
      </c>
      <c r="B2" s="49"/>
      <c r="C2" s="49"/>
      <c r="D2" s="49"/>
      <c r="E2" s="49"/>
      <c r="F2" s="49"/>
      <c r="G2" s="49"/>
      <c r="H2" s="49"/>
    </row>
    <row r="4" spans="1:12">
      <c r="A4" s="39" t="s">
        <v>1</v>
      </c>
      <c r="B4" s="39"/>
      <c r="C4" s="39"/>
      <c r="D4" s="50" t="s">
        <v>2</v>
      </c>
      <c r="E4" s="50"/>
      <c r="F4" s="50"/>
      <c r="G4" s="50"/>
      <c r="H4" s="50"/>
    </row>
    <row r="5" spans="1:12" ht="15.3" customHeight="1">
      <c r="A5" s="40" t="s">
        <v>42</v>
      </c>
      <c r="B5" s="41"/>
      <c r="C5" s="1" t="s">
        <v>47</v>
      </c>
      <c r="D5" s="46" t="s">
        <v>44</v>
      </c>
      <c r="E5" s="46"/>
      <c r="F5" s="46"/>
      <c r="G5" s="46"/>
      <c r="H5" s="46"/>
    </row>
    <row r="6" spans="1:12" ht="15.3" customHeight="1">
      <c r="A6" s="40" t="s">
        <v>3</v>
      </c>
      <c r="B6" s="42"/>
      <c r="C6" s="2">
        <v>2475660</v>
      </c>
      <c r="D6" s="46" t="s">
        <v>4</v>
      </c>
      <c r="E6" s="46"/>
      <c r="F6" s="46"/>
      <c r="G6" s="46"/>
      <c r="H6" s="46"/>
    </row>
    <row r="7" spans="1:12" ht="15.3" customHeight="1">
      <c r="A7" s="40" t="s">
        <v>48</v>
      </c>
      <c r="B7" s="42"/>
      <c r="C7" s="31">
        <v>15498989.550000001</v>
      </c>
      <c r="D7" s="46" t="s">
        <v>5</v>
      </c>
      <c r="E7" s="46"/>
      <c r="F7" s="46"/>
      <c r="G7" s="46"/>
      <c r="H7" s="46"/>
    </row>
    <row r="8" spans="1:12" ht="15.3" customHeight="1">
      <c r="A8" s="40" t="s">
        <v>6</v>
      </c>
      <c r="B8" s="43"/>
      <c r="C8" s="3">
        <f>IFERROR(C7/C6,0)</f>
        <v>6.2605485203945621</v>
      </c>
      <c r="D8" s="46" t="s">
        <v>7</v>
      </c>
      <c r="E8" s="46"/>
      <c r="F8" s="46"/>
      <c r="G8" s="46"/>
      <c r="H8" s="46"/>
    </row>
    <row r="9" spans="1:12" ht="15.3" customHeight="1">
      <c r="A9" s="40" t="s">
        <v>8</v>
      </c>
      <c r="B9" s="42"/>
      <c r="C9" s="4">
        <f>G28</f>
        <v>45406481.266523592</v>
      </c>
      <c r="D9" s="46" t="s">
        <v>9</v>
      </c>
      <c r="E9" s="46"/>
      <c r="F9" s="46"/>
      <c r="G9" s="46"/>
      <c r="H9" s="46"/>
    </row>
    <row r="10" spans="1:12" ht="15.3" customHeight="1">
      <c r="A10" s="44" t="s">
        <v>10</v>
      </c>
      <c r="B10" s="45"/>
      <c r="C10" s="32">
        <f>SUMIF(B15:B27,"Friopacking",H15:H27)</f>
        <v>0.34133870579015324</v>
      </c>
      <c r="D10" s="47" t="s">
        <v>11</v>
      </c>
      <c r="E10" s="47"/>
      <c r="F10" s="47"/>
      <c r="G10" s="47"/>
      <c r="H10" s="47"/>
    </row>
    <row r="14" spans="1:12" ht="19.2" customHeight="1">
      <c r="A14" s="5" t="s">
        <v>12</v>
      </c>
      <c r="B14" s="6" t="s">
        <v>13</v>
      </c>
      <c r="C14" s="6" t="s">
        <v>14</v>
      </c>
      <c r="D14" s="6" t="s">
        <v>15</v>
      </c>
      <c r="E14" s="6" t="s">
        <v>16</v>
      </c>
      <c r="F14" s="6" t="s">
        <v>17</v>
      </c>
      <c r="G14" s="6" t="s">
        <v>18</v>
      </c>
      <c r="H14" s="7" t="s">
        <v>19</v>
      </c>
      <c r="I14" s="35" t="s">
        <v>60</v>
      </c>
      <c r="J14" s="35" t="s">
        <v>65</v>
      </c>
      <c r="K14" s="35" t="s">
        <v>66</v>
      </c>
      <c r="L14" s="35" t="s">
        <v>67</v>
      </c>
    </row>
    <row r="15" spans="1:12" ht="13.95" customHeight="1">
      <c r="A15" s="24">
        <f t="shared" ref="A15:A27" si="0">IF(E15=0,"",COUNTIF($G$15:$G$27,"&gt;"&amp;G15)+1)</f>
        <v>1</v>
      </c>
      <c r="B15" s="30" t="s">
        <v>20</v>
      </c>
      <c r="C15" s="25" t="s">
        <v>21</v>
      </c>
      <c r="D15" s="25" t="s">
        <v>58</v>
      </c>
      <c r="E15" s="26">
        <v>2475660</v>
      </c>
      <c r="F15" s="27">
        <f t="shared" ref="F15:F27" si="1">$C$8</f>
        <v>6.2605485203945621</v>
      </c>
      <c r="G15" s="28">
        <f t="shared" ref="G15:G27" si="2">E15*F15</f>
        <v>15498989.550000001</v>
      </c>
      <c r="H15" s="29">
        <f t="shared" ref="H15:H27" si="3">IFERROR(G15/$G$28,0)</f>
        <v>0.34133870579015324</v>
      </c>
      <c r="I15" s="37">
        <v>0.42</v>
      </c>
      <c r="J15" s="37">
        <v>0.57999999999999996</v>
      </c>
      <c r="K15" s="16">
        <f>I15*G15</f>
        <v>6509575.6110000005</v>
      </c>
      <c r="L15" s="16">
        <f>J15*G15</f>
        <v>8989413.9389999993</v>
      </c>
    </row>
    <row r="16" spans="1:12" ht="13.95" customHeight="1">
      <c r="A16" s="11">
        <f t="shared" si="0"/>
        <v>2</v>
      </c>
      <c r="B16" s="9" t="s">
        <v>23</v>
      </c>
      <c r="C16" s="9" t="s">
        <v>24</v>
      </c>
      <c r="D16" s="9" t="s">
        <v>22</v>
      </c>
      <c r="E16" s="22">
        <v>1406674</v>
      </c>
      <c r="F16" s="17">
        <f t="shared" si="1"/>
        <v>6.2605485203945621</v>
      </c>
      <c r="G16" s="14">
        <f t="shared" si="2"/>
        <v>8806550.8293775003</v>
      </c>
      <c r="H16" s="19">
        <f t="shared" si="3"/>
        <v>0.19394920248687544</v>
      </c>
      <c r="I16" s="37">
        <v>1</v>
      </c>
      <c r="J16" s="37"/>
      <c r="K16" s="16">
        <f t="shared" ref="K16:K27" si="4">I16*G16</f>
        <v>8806550.8293775003</v>
      </c>
      <c r="L16" s="16">
        <f t="shared" ref="L16:L27" si="5">J16*G16</f>
        <v>0</v>
      </c>
    </row>
    <row r="17" spans="1:12" ht="13.95" customHeight="1">
      <c r="A17" s="11">
        <f t="shared" si="0"/>
        <v>3</v>
      </c>
      <c r="B17" s="9" t="s">
        <v>34</v>
      </c>
      <c r="C17" s="9" t="s">
        <v>26</v>
      </c>
      <c r="D17" s="9" t="s">
        <v>35</v>
      </c>
      <c r="E17" s="22">
        <v>864981</v>
      </c>
      <c r="F17" s="17">
        <f t="shared" si="1"/>
        <v>6.2605485203945621</v>
      </c>
      <c r="G17" s="14">
        <f t="shared" si="2"/>
        <v>5415255.5197194088</v>
      </c>
      <c r="H17" s="19">
        <f t="shared" si="3"/>
        <v>0.11926173023479499</v>
      </c>
      <c r="I17" s="37"/>
      <c r="J17" s="37">
        <v>1</v>
      </c>
      <c r="K17" s="16">
        <f t="shared" si="4"/>
        <v>0</v>
      </c>
      <c r="L17" s="16">
        <f t="shared" si="5"/>
        <v>5415255.5197194088</v>
      </c>
    </row>
    <row r="18" spans="1:12" ht="13.95" customHeight="1">
      <c r="A18" s="11">
        <f t="shared" si="0"/>
        <v>4</v>
      </c>
      <c r="B18" s="9" t="s">
        <v>39</v>
      </c>
      <c r="C18" s="9" t="s">
        <v>24</v>
      </c>
      <c r="D18" s="9" t="s">
        <v>22</v>
      </c>
      <c r="E18" s="22">
        <v>663356</v>
      </c>
      <c r="F18" s="17">
        <f t="shared" si="1"/>
        <v>6.2605485203945621</v>
      </c>
      <c r="G18" s="14">
        <f t="shared" si="2"/>
        <v>4152972.424294855</v>
      </c>
      <c r="H18" s="19">
        <f t="shared" si="3"/>
        <v>9.1462106475902541E-2</v>
      </c>
      <c r="I18" s="37">
        <v>0.5</v>
      </c>
      <c r="J18" s="37">
        <v>0.5</v>
      </c>
      <c r="K18" s="16">
        <f t="shared" si="4"/>
        <v>2076486.2121474275</v>
      </c>
      <c r="L18" s="16">
        <f t="shared" si="5"/>
        <v>2076486.2121474275</v>
      </c>
    </row>
    <row r="19" spans="1:12" ht="13.95" customHeight="1">
      <c r="A19" s="11">
        <f t="shared" si="0"/>
        <v>5</v>
      </c>
      <c r="B19" s="9" t="s">
        <v>25</v>
      </c>
      <c r="C19" s="9" t="s">
        <v>26</v>
      </c>
      <c r="D19" s="9" t="s">
        <v>22</v>
      </c>
      <c r="E19" s="22">
        <v>549268</v>
      </c>
      <c r="F19" s="17">
        <f t="shared" si="1"/>
        <v>6.2605485203945621</v>
      </c>
      <c r="G19" s="14">
        <f t="shared" si="2"/>
        <v>3438718.9647000805</v>
      </c>
      <c r="H19" s="19">
        <f t="shared" si="3"/>
        <v>7.5731897050461655E-2</v>
      </c>
      <c r="I19" s="37">
        <v>0.5</v>
      </c>
      <c r="J19" s="37">
        <v>0.5</v>
      </c>
      <c r="K19" s="16">
        <f t="shared" si="4"/>
        <v>1719359.4823500402</v>
      </c>
      <c r="L19" s="16">
        <f t="shared" si="5"/>
        <v>1719359.4823500402</v>
      </c>
    </row>
    <row r="20" spans="1:12" ht="13.95" customHeight="1">
      <c r="A20" s="11">
        <f t="shared" si="0"/>
        <v>6</v>
      </c>
      <c r="B20" s="9" t="s">
        <v>30</v>
      </c>
      <c r="C20" s="9" t="s">
        <v>26</v>
      </c>
      <c r="D20" s="9" t="s">
        <v>31</v>
      </c>
      <c r="E20" s="22">
        <v>447393</v>
      </c>
      <c r="F20" s="17">
        <f t="shared" si="1"/>
        <v>6.2605485203945621</v>
      </c>
      <c r="G20" s="14">
        <f t="shared" si="2"/>
        <v>2800925.5841848841</v>
      </c>
      <c r="H20" s="19">
        <f t="shared" si="3"/>
        <v>6.168558994351972E-2</v>
      </c>
      <c r="I20" s="37">
        <v>1</v>
      </c>
      <c r="J20" s="37"/>
      <c r="K20" s="16">
        <f t="shared" si="4"/>
        <v>2800925.5841848841</v>
      </c>
      <c r="L20" s="16">
        <f t="shared" si="5"/>
        <v>0</v>
      </c>
    </row>
    <row r="21" spans="1:12" ht="13.95" customHeight="1">
      <c r="A21" s="11">
        <f t="shared" si="0"/>
        <v>7</v>
      </c>
      <c r="B21" s="9" t="s">
        <v>33</v>
      </c>
      <c r="C21" s="9" t="s">
        <v>26</v>
      </c>
      <c r="D21" s="9" t="s">
        <v>31</v>
      </c>
      <c r="E21" s="22">
        <v>397237</v>
      </c>
      <c r="F21" s="17">
        <f t="shared" si="1"/>
        <v>6.2605485203945621</v>
      </c>
      <c r="G21" s="14">
        <f t="shared" si="2"/>
        <v>2486921.5125959748</v>
      </c>
      <c r="H21" s="19">
        <f t="shared" si="3"/>
        <v>5.4770187938555016E-2</v>
      </c>
      <c r="I21" s="37">
        <v>0.5</v>
      </c>
      <c r="J21" s="37">
        <v>0.5</v>
      </c>
      <c r="K21" s="16">
        <f t="shared" si="4"/>
        <v>1243460.7562979874</v>
      </c>
      <c r="L21" s="16">
        <f t="shared" si="5"/>
        <v>1243460.7562979874</v>
      </c>
    </row>
    <row r="22" spans="1:12" ht="13.95" customHeight="1">
      <c r="A22" s="11">
        <f t="shared" si="0"/>
        <v>8</v>
      </c>
      <c r="B22" s="9" t="s">
        <v>32</v>
      </c>
      <c r="C22" s="9" t="s">
        <v>26</v>
      </c>
      <c r="D22" s="9" t="s">
        <v>22</v>
      </c>
      <c r="E22" s="22">
        <v>247984</v>
      </c>
      <c r="F22" s="17">
        <f t="shared" si="1"/>
        <v>6.2605485203945621</v>
      </c>
      <c r="G22" s="14">
        <f t="shared" si="2"/>
        <v>1552515.8642815251</v>
      </c>
      <c r="H22" s="19">
        <f t="shared" si="3"/>
        <v>3.4191503524985407E-2</v>
      </c>
      <c r="I22" s="37">
        <v>0.5</v>
      </c>
      <c r="J22" s="37">
        <v>0.5</v>
      </c>
      <c r="K22" s="16">
        <f t="shared" si="4"/>
        <v>776257.93214076257</v>
      </c>
      <c r="L22" s="16">
        <f t="shared" si="5"/>
        <v>776257.93214076257</v>
      </c>
    </row>
    <row r="23" spans="1:12" ht="13.95" customHeight="1">
      <c r="A23" s="11">
        <f t="shared" si="0"/>
        <v>9</v>
      </c>
      <c r="B23" s="9" t="s">
        <v>29</v>
      </c>
      <c r="C23" s="9" t="s">
        <v>24</v>
      </c>
      <c r="D23" s="9" t="s">
        <v>22</v>
      </c>
      <c r="E23" s="22">
        <v>131299</v>
      </c>
      <c r="F23" s="17">
        <f t="shared" si="1"/>
        <v>6.2605485203945621</v>
      </c>
      <c r="G23" s="14">
        <f t="shared" si="2"/>
        <v>822003.76017928566</v>
      </c>
      <c r="H23" s="19">
        <f t="shared" si="3"/>
        <v>1.8103225294079695E-2</v>
      </c>
      <c r="I23" s="37"/>
      <c r="J23" s="37">
        <v>1</v>
      </c>
      <c r="K23" s="16">
        <f t="shared" si="4"/>
        <v>0</v>
      </c>
      <c r="L23" s="16">
        <f t="shared" si="5"/>
        <v>822003.76017928566</v>
      </c>
    </row>
    <row r="24" spans="1:12" ht="13.95" customHeight="1">
      <c r="A24" s="11">
        <f t="shared" si="0"/>
        <v>10</v>
      </c>
      <c r="B24" s="9" t="s">
        <v>27</v>
      </c>
      <c r="C24" s="9" t="s">
        <v>24</v>
      </c>
      <c r="D24" s="9" t="s">
        <v>22</v>
      </c>
      <c r="E24" s="22">
        <v>66663</v>
      </c>
      <c r="F24" s="17">
        <f t="shared" si="1"/>
        <v>6.2605485203945621</v>
      </c>
      <c r="G24" s="14">
        <f t="shared" si="2"/>
        <v>417346.94601506268</v>
      </c>
      <c r="H24" s="19">
        <f t="shared" si="3"/>
        <v>9.1913518593381097E-3</v>
      </c>
      <c r="I24" s="37"/>
      <c r="J24" s="37">
        <v>1</v>
      </c>
      <c r="K24" s="16">
        <f t="shared" si="4"/>
        <v>0</v>
      </c>
      <c r="L24" s="16">
        <f t="shared" si="5"/>
        <v>417346.94601506268</v>
      </c>
    </row>
    <row r="25" spans="1:12" ht="13.95" customHeight="1">
      <c r="A25" s="11">
        <f t="shared" si="0"/>
        <v>11</v>
      </c>
      <c r="B25" s="9" t="s">
        <v>36</v>
      </c>
      <c r="C25" s="9" t="s">
        <v>24</v>
      </c>
      <c r="D25" s="9" t="s">
        <v>22</v>
      </c>
      <c r="E25" s="22">
        <v>2281</v>
      </c>
      <c r="F25" s="17">
        <f t="shared" si="1"/>
        <v>6.2605485203945621</v>
      </c>
      <c r="G25" s="14">
        <f t="shared" si="2"/>
        <v>14280.311175019997</v>
      </c>
      <c r="H25" s="19">
        <f t="shared" si="3"/>
        <v>3.1449940133432687E-4</v>
      </c>
      <c r="I25" s="37">
        <v>1</v>
      </c>
      <c r="J25" s="37"/>
      <c r="K25" s="16">
        <f t="shared" si="4"/>
        <v>14280.311175019997</v>
      </c>
      <c r="L25" s="16">
        <f t="shared" si="5"/>
        <v>0</v>
      </c>
    </row>
    <row r="26" spans="1:12" ht="13.95" customHeight="1">
      <c r="A26" s="11" t="str">
        <f t="shared" si="0"/>
        <v/>
      </c>
      <c r="B26" s="9" t="s">
        <v>28</v>
      </c>
      <c r="C26" s="9" t="s">
        <v>26</v>
      </c>
      <c r="D26" s="9" t="s">
        <v>22</v>
      </c>
      <c r="E26" s="22">
        <v>0</v>
      </c>
      <c r="F26" s="17">
        <f t="shared" si="1"/>
        <v>6.2605485203945621</v>
      </c>
      <c r="G26" s="14">
        <f t="shared" si="2"/>
        <v>0</v>
      </c>
      <c r="H26" s="19">
        <f t="shared" si="3"/>
        <v>0</v>
      </c>
      <c r="I26" s="37">
        <v>0.5</v>
      </c>
      <c r="J26" s="37">
        <v>0.5</v>
      </c>
      <c r="K26" s="16">
        <f t="shared" si="4"/>
        <v>0</v>
      </c>
      <c r="L26" s="16">
        <f t="shared" si="5"/>
        <v>0</v>
      </c>
    </row>
    <row r="27" spans="1:12" ht="13.95" customHeight="1">
      <c r="A27" s="12" t="str">
        <f t="shared" si="0"/>
        <v/>
      </c>
      <c r="B27" s="10" t="s">
        <v>38</v>
      </c>
      <c r="C27" s="10" t="s">
        <v>26</v>
      </c>
      <c r="D27" s="10" t="s">
        <v>22</v>
      </c>
      <c r="E27" s="23">
        <v>0</v>
      </c>
      <c r="F27" s="18">
        <f t="shared" si="1"/>
        <v>6.2605485203945621</v>
      </c>
      <c r="G27" s="15">
        <f t="shared" si="2"/>
        <v>0</v>
      </c>
      <c r="H27" s="20">
        <f t="shared" si="3"/>
        <v>0</v>
      </c>
      <c r="I27" s="37">
        <v>1</v>
      </c>
      <c r="J27" s="37"/>
      <c r="K27" s="16">
        <f t="shared" si="4"/>
        <v>0</v>
      </c>
      <c r="L27" s="16">
        <f t="shared" si="5"/>
        <v>0</v>
      </c>
    </row>
    <row r="28" spans="1:12" ht="13.95" customHeight="1">
      <c r="A28" s="8"/>
      <c r="B28" s="8" t="s">
        <v>40</v>
      </c>
      <c r="C28" s="8"/>
      <c r="D28" s="8"/>
      <c r="E28" s="16">
        <f>SUM(E15:E27)</f>
        <v>7252796</v>
      </c>
      <c r="F28" s="13"/>
      <c r="G28" s="16">
        <f>SUM(G15:G27)</f>
        <v>45406481.266523592</v>
      </c>
      <c r="H28" s="21">
        <f>SUM(H15:H27)</f>
        <v>1.0000000000000002</v>
      </c>
      <c r="I28" s="36"/>
      <c r="J28" s="36"/>
      <c r="K28" s="16">
        <f>SUM(K15:K27)</f>
        <v>23946896.71867362</v>
      </c>
      <c r="L28" s="16">
        <f t="shared" ref="L28" si="6">SUM(L15:L27)</f>
        <v>21459584.547849976</v>
      </c>
    </row>
    <row r="31" spans="1:12" ht="13.95" customHeight="1">
      <c r="A31" s="38"/>
      <c r="B31" s="38"/>
      <c r="C31" s="38"/>
      <c r="D31" s="38"/>
      <c r="E31" s="38"/>
      <c r="F31" s="38"/>
      <c r="G31" s="38"/>
      <c r="H31" s="38"/>
    </row>
    <row r="32" spans="1:12" ht="13.95" customHeight="1">
      <c r="A32" s="38"/>
      <c r="B32" s="38"/>
      <c r="C32" s="38"/>
      <c r="D32" s="38"/>
      <c r="E32" s="38"/>
      <c r="F32" s="38"/>
      <c r="G32" s="38"/>
      <c r="H32" s="38"/>
    </row>
    <row r="33" spans="2:3">
      <c r="B33" t="s">
        <v>62</v>
      </c>
    </row>
    <row r="34" spans="2:3">
      <c r="B34" t="s">
        <v>59</v>
      </c>
      <c r="C34" s="33">
        <f>L28/G28</f>
        <v>0.47261060424145396</v>
      </c>
    </row>
    <row r="35" spans="2:3">
      <c r="B35" t="s">
        <v>60</v>
      </c>
      <c r="C35" s="33">
        <f>1-C34</f>
        <v>0.52738939575854604</v>
      </c>
    </row>
    <row r="37" spans="2:3">
      <c r="B37" t="s">
        <v>61</v>
      </c>
    </row>
    <row r="38" spans="2:3">
      <c r="B38" t="s">
        <v>63</v>
      </c>
      <c r="C38" s="33">
        <f>H15</f>
        <v>0.34133870579015324</v>
      </c>
    </row>
    <row r="39" spans="2:3">
      <c r="B39" t="s">
        <v>22</v>
      </c>
      <c r="C39" s="33">
        <f>H16+H18+H19+H22+H23+H24</f>
        <v>0.4226292866916429</v>
      </c>
    </row>
    <row r="40" spans="2:3">
      <c r="B40" t="s">
        <v>31</v>
      </c>
      <c r="C40" s="33">
        <f>H20+H21</f>
        <v>0.11645577788207473</v>
      </c>
    </row>
    <row r="41" spans="2:3">
      <c r="B41" t="s">
        <v>35</v>
      </c>
      <c r="C41" s="33">
        <f>H17</f>
        <v>0.11926173023479499</v>
      </c>
    </row>
    <row r="42" spans="2:3">
      <c r="B42" t="s">
        <v>64</v>
      </c>
      <c r="C42" s="33">
        <f>H25</f>
        <v>3.1449940133432687E-4</v>
      </c>
    </row>
    <row r="43" spans="2:3">
      <c r="C43" s="33">
        <f>SUM(C38:C42)</f>
        <v>1.0000000000000002</v>
      </c>
    </row>
  </sheetData>
  <mergeCells count="18">
    <mergeCell ref="A1:H1"/>
    <mergeCell ref="A2:H2"/>
    <mergeCell ref="D4:H4"/>
    <mergeCell ref="D5:H5"/>
    <mergeCell ref="D6:H6"/>
    <mergeCell ref="A32:H32"/>
    <mergeCell ref="A4:C4"/>
    <mergeCell ref="A5:B5"/>
    <mergeCell ref="A6:B6"/>
    <mergeCell ref="A7:B7"/>
    <mergeCell ref="A8:B8"/>
    <mergeCell ref="A9:B9"/>
    <mergeCell ref="A10:B10"/>
    <mergeCell ref="D7:H7"/>
    <mergeCell ref="D8:H8"/>
    <mergeCell ref="D9:H9"/>
    <mergeCell ref="D10:H10"/>
    <mergeCell ref="A31:H31"/>
  </mergeCells>
  <conditionalFormatting sqref="H15:H27">
    <cfRule type="dataBar" priority="1">
      <dataBar>
        <cfvo type="min"/>
        <cfvo type="max"/>
        <color rgb="FF3EC6AC"/>
      </dataBar>
    </cfRule>
    <cfRule type="dataBar" priority="2">
      <dataBar>
        <cfvo type="min"/>
        <cfvo type="max"/>
        <color rgb="FF3EC6AC"/>
      </dataBar>
    </cfRule>
    <cfRule type="dataBar" priority="3">
      <dataBar>
        <cfvo type="min"/>
        <cfvo type="max"/>
        <color rgb="FF3EC6AC"/>
      </dataBar>
      <extLst>
        <ext xmlns:x14="http://schemas.microsoft.com/office/spreadsheetml/2009/9/main" uri="{B025F937-C7B1-47D3-B67F-A62EFF666E3E}">
          <x14:id>{FF16302B-807D-7E96-39CF-F9AB1D6A4821}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16302B-807D-7E96-39CF-F9AB1D6A4821}">
            <x14:dataBar>
              <x14:cfvo type="min"/>
              <x14:cfvo type="max"/>
              <x14:negativeFillColor auto="1"/>
              <x14:axisColor auto="1"/>
            </x14:dataBar>
          </x14:cfRule>
          <xm:sqref>H15:H27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"/>
  <sheetViews>
    <sheetView topLeftCell="A14" workbookViewId="0">
      <selection activeCell="D26" sqref="D26"/>
    </sheetView>
  </sheetViews>
  <sheetFormatPr baseColWidth="10" defaultColWidth="8.796875" defaultRowHeight="13.8"/>
  <cols>
    <col min="1" max="1" width="9" customWidth="1"/>
    <col min="2" max="2" width="27" customWidth="1"/>
    <col min="3" max="3" width="19" customWidth="1"/>
    <col min="4" max="4" width="18" customWidth="1"/>
    <col min="5" max="5" width="21" customWidth="1"/>
    <col min="6" max="6" width="12" customWidth="1"/>
    <col min="7" max="7" width="24" customWidth="1"/>
    <col min="8" max="8" width="17" customWidth="1"/>
    <col min="10" max="10" width="12.19921875" customWidth="1"/>
    <col min="11" max="11" width="13.3984375" customWidth="1"/>
    <col min="12" max="12" width="13" customWidth="1"/>
  </cols>
  <sheetData>
    <row r="1" spans="1:12" ht="20.55" customHeight="1">
      <c r="A1" s="48" t="s">
        <v>49</v>
      </c>
      <c r="B1" s="48"/>
      <c r="C1" s="48"/>
      <c r="D1" s="48"/>
      <c r="E1" s="48"/>
      <c r="F1" s="48"/>
      <c r="G1" s="48"/>
      <c r="H1" s="48"/>
    </row>
    <row r="2" spans="1:12" ht="13.95" customHeight="1">
      <c r="A2" s="49" t="s">
        <v>0</v>
      </c>
      <c r="B2" s="49"/>
      <c r="C2" s="49"/>
      <c r="D2" s="49"/>
      <c r="E2" s="49"/>
      <c r="F2" s="49"/>
      <c r="G2" s="49"/>
      <c r="H2" s="49"/>
    </row>
    <row r="4" spans="1:12">
      <c r="A4" s="39" t="s">
        <v>1</v>
      </c>
      <c r="B4" s="39"/>
      <c r="C4" s="39"/>
      <c r="D4" s="50" t="s">
        <v>2</v>
      </c>
      <c r="E4" s="50"/>
      <c r="F4" s="50"/>
      <c r="G4" s="50"/>
      <c r="H4" s="50"/>
    </row>
    <row r="5" spans="1:12" ht="15.3" customHeight="1">
      <c r="A5" s="40" t="s">
        <v>42</v>
      </c>
      <c r="B5" s="41"/>
      <c r="C5" s="1" t="s">
        <v>50</v>
      </c>
      <c r="D5" s="46" t="s">
        <v>44</v>
      </c>
      <c r="E5" s="46"/>
      <c r="F5" s="46"/>
      <c r="G5" s="46"/>
      <c r="H5" s="46"/>
    </row>
    <row r="6" spans="1:12" ht="15.3" customHeight="1">
      <c r="A6" s="40" t="s">
        <v>3</v>
      </c>
      <c r="B6" s="42"/>
      <c r="C6" s="2">
        <v>1562952</v>
      </c>
      <c r="D6" s="46" t="s">
        <v>4</v>
      </c>
      <c r="E6" s="46"/>
      <c r="F6" s="46"/>
      <c r="G6" s="46"/>
      <c r="H6" s="46"/>
    </row>
    <row r="7" spans="1:12" ht="15.3" customHeight="1">
      <c r="A7" s="40" t="s">
        <v>51</v>
      </c>
      <c r="B7" s="42"/>
      <c r="C7" s="31">
        <v>15345395.380000001</v>
      </c>
      <c r="D7" s="46" t="s">
        <v>5</v>
      </c>
      <c r="E7" s="46"/>
      <c r="F7" s="46"/>
      <c r="G7" s="46"/>
      <c r="H7" s="46"/>
    </row>
    <row r="8" spans="1:12" ht="15.3" customHeight="1">
      <c r="A8" s="40" t="s">
        <v>6</v>
      </c>
      <c r="B8" s="43"/>
      <c r="C8" s="3">
        <f>IFERROR(C7/C6,0)</f>
        <v>9.8182128305923673</v>
      </c>
      <c r="D8" s="46" t="s">
        <v>7</v>
      </c>
      <c r="E8" s="46"/>
      <c r="F8" s="46"/>
      <c r="G8" s="46"/>
      <c r="H8" s="46"/>
    </row>
    <row r="9" spans="1:12" ht="15.3" customHeight="1">
      <c r="A9" s="40" t="s">
        <v>8</v>
      </c>
      <c r="B9" s="42"/>
      <c r="C9" s="4">
        <f>G28</f>
        <v>62700835.141621038</v>
      </c>
      <c r="D9" s="46" t="s">
        <v>9</v>
      </c>
      <c r="E9" s="46"/>
      <c r="F9" s="46"/>
      <c r="G9" s="46"/>
      <c r="H9" s="46"/>
    </row>
    <row r="10" spans="1:12" ht="15.3" customHeight="1">
      <c r="A10" s="44" t="s">
        <v>10</v>
      </c>
      <c r="B10" s="45"/>
      <c r="C10" s="32">
        <f>SUMIF(B15:B27,"Friopacking",H15:H27)</f>
        <v>0.24473988815842218</v>
      </c>
      <c r="D10" s="47" t="s">
        <v>11</v>
      </c>
      <c r="E10" s="47"/>
      <c r="F10" s="47"/>
      <c r="G10" s="47"/>
      <c r="H10" s="47"/>
    </row>
    <row r="14" spans="1:12" ht="19.2" customHeight="1">
      <c r="A14" s="5" t="s">
        <v>12</v>
      </c>
      <c r="B14" s="6" t="s">
        <v>13</v>
      </c>
      <c r="C14" s="6" t="s">
        <v>14</v>
      </c>
      <c r="D14" s="6" t="s">
        <v>15</v>
      </c>
      <c r="E14" s="6" t="s">
        <v>16</v>
      </c>
      <c r="F14" s="6" t="s">
        <v>17</v>
      </c>
      <c r="G14" s="6" t="s">
        <v>18</v>
      </c>
      <c r="H14" s="7" t="s">
        <v>19</v>
      </c>
      <c r="I14" s="35" t="s">
        <v>60</v>
      </c>
      <c r="J14" s="35" t="s">
        <v>65</v>
      </c>
      <c r="K14" s="35" t="s">
        <v>66</v>
      </c>
      <c r="L14" s="35" t="s">
        <v>67</v>
      </c>
    </row>
    <row r="15" spans="1:12" ht="13.95" customHeight="1">
      <c r="A15" s="24">
        <f t="shared" ref="A15:A27" si="0">IF(E15=0,"",COUNTIF($G$15:$G$27,"&gt;"&amp;G15)+1)</f>
        <v>1</v>
      </c>
      <c r="B15" s="30" t="s">
        <v>20</v>
      </c>
      <c r="C15" s="25" t="s">
        <v>21</v>
      </c>
      <c r="D15" s="25" t="s">
        <v>58</v>
      </c>
      <c r="E15" s="26">
        <v>1562952</v>
      </c>
      <c r="F15" s="27">
        <f t="shared" ref="F15:F27" si="1">$C$8</f>
        <v>9.8182128305923673</v>
      </c>
      <c r="G15" s="28">
        <f t="shared" ref="G15:G27" si="2">E15*F15</f>
        <v>15345395.380000001</v>
      </c>
      <c r="H15" s="29">
        <f t="shared" ref="H15:H27" si="3">IFERROR(G15/$G$28,0)</f>
        <v>0.24473988815842218</v>
      </c>
      <c r="I15" s="37">
        <v>0.65</v>
      </c>
      <c r="J15" s="37">
        <v>0.35</v>
      </c>
      <c r="K15" s="16">
        <f>I15*G15</f>
        <v>9974506.9970000014</v>
      </c>
      <c r="L15" s="16">
        <f>J15*G15</f>
        <v>5370888.3830000004</v>
      </c>
    </row>
    <row r="16" spans="1:12" ht="13.95" customHeight="1">
      <c r="A16" s="11">
        <f t="shared" si="0"/>
        <v>2</v>
      </c>
      <c r="B16" s="9" t="s">
        <v>25</v>
      </c>
      <c r="C16" s="9" t="s">
        <v>26</v>
      </c>
      <c r="D16" s="9" t="s">
        <v>22</v>
      </c>
      <c r="E16" s="22">
        <v>1538877</v>
      </c>
      <c r="F16" s="17">
        <f t="shared" si="1"/>
        <v>9.8182128305923673</v>
      </c>
      <c r="G16" s="14">
        <f t="shared" si="2"/>
        <v>15109021.90610349</v>
      </c>
      <c r="H16" s="19">
        <f t="shared" si="3"/>
        <v>0.24097002650725569</v>
      </c>
      <c r="I16" s="37">
        <v>1</v>
      </c>
      <c r="J16" s="37"/>
      <c r="K16" s="16">
        <f t="shared" ref="K16:K27" si="4">I16*G16</f>
        <v>15109021.90610349</v>
      </c>
      <c r="L16" s="16">
        <f t="shared" ref="L16:L27" si="5">J16*G16</f>
        <v>0</v>
      </c>
    </row>
    <row r="17" spans="1:12" ht="13.95" customHeight="1">
      <c r="A17" s="11">
        <f t="shared" si="0"/>
        <v>3</v>
      </c>
      <c r="B17" s="9" t="s">
        <v>23</v>
      </c>
      <c r="C17" s="9" t="s">
        <v>24</v>
      </c>
      <c r="D17" s="9" t="s">
        <v>22</v>
      </c>
      <c r="E17" s="22">
        <v>1171348</v>
      </c>
      <c r="F17" s="17">
        <f t="shared" si="1"/>
        <v>9.8182128305923673</v>
      </c>
      <c r="G17" s="14">
        <f t="shared" si="2"/>
        <v>11500543.962688709</v>
      </c>
      <c r="H17" s="19">
        <f t="shared" si="3"/>
        <v>0.18341931071113607</v>
      </c>
      <c r="I17" s="37"/>
      <c r="J17" s="37">
        <v>1</v>
      </c>
      <c r="K17" s="16">
        <f t="shared" si="4"/>
        <v>0</v>
      </c>
      <c r="L17" s="16">
        <f t="shared" si="5"/>
        <v>11500543.962688709</v>
      </c>
    </row>
    <row r="18" spans="1:12" ht="13.95" customHeight="1">
      <c r="A18" s="11">
        <f t="shared" si="0"/>
        <v>4</v>
      </c>
      <c r="B18" s="9" t="s">
        <v>28</v>
      </c>
      <c r="C18" s="9" t="s">
        <v>26</v>
      </c>
      <c r="D18" s="9" t="s">
        <v>22</v>
      </c>
      <c r="E18" s="22">
        <v>504957</v>
      </c>
      <c r="F18" s="17">
        <f t="shared" si="1"/>
        <v>9.8182128305923673</v>
      </c>
      <c r="G18" s="14">
        <f t="shared" si="2"/>
        <v>4957775.2962974301</v>
      </c>
      <c r="H18" s="19">
        <f t="shared" si="3"/>
        <v>7.907032314799968E-2</v>
      </c>
      <c r="I18" s="37">
        <v>0.5</v>
      </c>
      <c r="J18" s="37">
        <v>0.5</v>
      </c>
      <c r="K18" s="16">
        <f t="shared" si="4"/>
        <v>2478887.648148715</v>
      </c>
      <c r="L18" s="16">
        <f t="shared" si="5"/>
        <v>2478887.648148715</v>
      </c>
    </row>
    <row r="19" spans="1:12" ht="13.95" customHeight="1">
      <c r="A19" s="11">
        <f t="shared" si="0"/>
        <v>5</v>
      </c>
      <c r="B19" s="9" t="s">
        <v>34</v>
      </c>
      <c r="C19" s="9" t="s">
        <v>26</v>
      </c>
      <c r="D19" s="9" t="s">
        <v>35</v>
      </c>
      <c r="E19" s="22">
        <v>459303</v>
      </c>
      <c r="F19" s="17">
        <f t="shared" si="1"/>
        <v>9.8182128305923673</v>
      </c>
      <c r="G19" s="14">
        <f t="shared" si="2"/>
        <v>4509534.6077295663</v>
      </c>
      <c r="H19" s="19">
        <f t="shared" si="3"/>
        <v>7.1921444069189461E-2</v>
      </c>
      <c r="I19" s="37">
        <v>0.5</v>
      </c>
      <c r="J19" s="37">
        <v>0.5</v>
      </c>
      <c r="K19" s="16">
        <f t="shared" si="4"/>
        <v>2254767.3038647831</v>
      </c>
      <c r="L19" s="16">
        <f t="shared" si="5"/>
        <v>2254767.3038647831</v>
      </c>
    </row>
    <row r="20" spans="1:12" ht="13.95" customHeight="1">
      <c r="A20" s="11">
        <f t="shared" si="0"/>
        <v>6</v>
      </c>
      <c r="B20" s="9" t="s">
        <v>30</v>
      </c>
      <c r="C20" s="9" t="s">
        <v>26</v>
      </c>
      <c r="D20" s="9" t="s">
        <v>31</v>
      </c>
      <c r="E20" s="22">
        <v>250755</v>
      </c>
      <c r="F20" s="17">
        <f t="shared" si="1"/>
        <v>9.8182128305923673</v>
      </c>
      <c r="G20" s="14">
        <f t="shared" si="2"/>
        <v>2461965.9583351891</v>
      </c>
      <c r="H20" s="19">
        <f t="shared" si="3"/>
        <v>3.9265281758598579E-2</v>
      </c>
      <c r="I20" s="37">
        <v>1</v>
      </c>
      <c r="J20" s="37"/>
      <c r="K20" s="16">
        <f t="shared" si="4"/>
        <v>2461965.9583351891</v>
      </c>
      <c r="L20" s="16">
        <f t="shared" si="5"/>
        <v>0</v>
      </c>
    </row>
    <row r="21" spans="1:12" ht="13.95" customHeight="1">
      <c r="A21" s="11">
        <f t="shared" si="0"/>
        <v>7</v>
      </c>
      <c r="B21" s="9" t="s">
        <v>33</v>
      </c>
      <c r="C21" s="9" t="s">
        <v>26</v>
      </c>
      <c r="D21" s="9" t="s">
        <v>31</v>
      </c>
      <c r="E21" s="22">
        <v>212480</v>
      </c>
      <c r="F21" s="17">
        <f t="shared" si="1"/>
        <v>9.8182128305923673</v>
      </c>
      <c r="G21" s="14">
        <f t="shared" si="2"/>
        <v>2086173.8622442661</v>
      </c>
      <c r="H21" s="19">
        <f t="shared" si="3"/>
        <v>3.3271867233223763E-2</v>
      </c>
      <c r="I21" s="37">
        <v>0.5</v>
      </c>
      <c r="J21" s="37">
        <v>0.5</v>
      </c>
      <c r="K21" s="16">
        <f t="shared" si="4"/>
        <v>1043086.931122133</v>
      </c>
      <c r="L21" s="16">
        <f t="shared" si="5"/>
        <v>1043086.931122133</v>
      </c>
    </row>
    <row r="22" spans="1:12" ht="13.95" customHeight="1">
      <c r="A22" s="11">
        <f t="shared" si="0"/>
        <v>8</v>
      </c>
      <c r="B22" s="9" t="s">
        <v>27</v>
      </c>
      <c r="C22" s="9" t="s">
        <v>24</v>
      </c>
      <c r="D22" s="9" t="s">
        <v>22</v>
      </c>
      <c r="E22" s="22">
        <v>202118</v>
      </c>
      <c r="F22" s="17">
        <f t="shared" si="1"/>
        <v>9.8182128305923673</v>
      </c>
      <c r="G22" s="14">
        <f t="shared" si="2"/>
        <v>1984437.5408936681</v>
      </c>
      <c r="H22" s="19">
        <f t="shared" si="3"/>
        <v>3.1649299987974028E-2</v>
      </c>
      <c r="I22" s="37">
        <v>0.5</v>
      </c>
      <c r="J22" s="37">
        <v>0.5</v>
      </c>
      <c r="K22" s="16">
        <f t="shared" si="4"/>
        <v>992218.77044683404</v>
      </c>
      <c r="L22" s="16">
        <f t="shared" si="5"/>
        <v>992218.77044683404</v>
      </c>
    </row>
    <row r="23" spans="1:12" ht="13.95" customHeight="1">
      <c r="A23" s="11">
        <f t="shared" si="0"/>
        <v>9</v>
      </c>
      <c r="B23" s="9" t="s">
        <v>39</v>
      </c>
      <c r="C23" s="9" t="s">
        <v>24</v>
      </c>
      <c r="D23" s="9" t="s">
        <v>22</v>
      </c>
      <c r="E23" s="22">
        <v>182948</v>
      </c>
      <c r="F23" s="17">
        <f t="shared" si="1"/>
        <v>9.8182128305923673</v>
      </c>
      <c r="G23" s="14">
        <f t="shared" si="2"/>
        <v>1796222.4009312124</v>
      </c>
      <c r="H23" s="19">
        <f t="shared" si="3"/>
        <v>2.8647503607792835E-2</v>
      </c>
      <c r="I23" s="37"/>
      <c r="J23" s="37">
        <v>1</v>
      </c>
      <c r="K23" s="16">
        <f t="shared" si="4"/>
        <v>0</v>
      </c>
      <c r="L23" s="16">
        <f t="shared" si="5"/>
        <v>1796222.4009312124</v>
      </c>
    </row>
    <row r="24" spans="1:12" ht="13.95" customHeight="1">
      <c r="A24" s="11">
        <f t="shared" si="0"/>
        <v>10</v>
      </c>
      <c r="B24" s="9" t="s">
        <v>29</v>
      </c>
      <c r="C24" s="9" t="s">
        <v>24</v>
      </c>
      <c r="D24" s="9" t="s">
        <v>22</v>
      </c>
      <c r="E24" s="22">
        <v>173807</v>
      </c>
      <c r="F24" s="17">
        <f t="shared" si="1"/>
        <v>9.8182128305923673</v>
      </c>
      <c r="G24" s="14">
        <f t="shared" si="2"/>
        <v>1706474.1174467676</v>
      </c>
      <c r="H24" s="19">
        <f t="shared" si="3"/>
        <v>2.7216130592078894E-2</v>
      </c>
      <c r="I24" s="37"/>
      <c r="J24" s="37">
        <v>1</v>
      </c>
      <c r="K24" s="16">
        <f t="shared" si="4"/>
        <v>0</v>
      </c>
      <c r="L24" s="16">
        <f t="shared" si="5"/>
        <v>1706474.1174467676</v>
      </c>
    </row>
    <row r="25" spans="1:12" ht="13.95" customHeight="1">
      <c r="A25" s="11">
        <f t="shared" si="0"/>
        <v>11</v>
      </c>
      <c r="B25" s="9" t="s">
        <v>38</v>
      </c>
      <c r="C25" s="9" t="s">
        <v>26</v>
      </c>
      <c r="D25" s="9" t="s">
        <v>22</v>
      </c>
      <c r="E25" s="22">
        <v>126265</v>
      </c>
      <c r="F25" s="17">
        <f t="shared" si="1"/>
        <v>9.8182128305923673</v>
      </c>
      <c r="G25" s="14">
        <f t="shared" si="2"/>
        <v>1239696.6430547452</v>
      </c>
      <c r="H25" s="19">
        <f t="shared" si="3"/>
        <v>1.9771612933937303E-2</v>
      </c>
      <c r="I25" s="37">
        <v>1</v>
      </c>
      <c r="J25" s="37"/>
      <c r="K25" s="16">
        <f t="shared" si="4"/>
        <v>1239696.6430547452</v>
      </c>
      <c r="L25" s="16">
        <f t="shared" si="5"/>
        <v>0</v>
      </c>
    </row>
    <row r="26" spans="1:12" ht="13.95" customHeight="1">
      <c r="A26" s="11">
        <f t="shared" si="0"/>
        <v>12</v>
      </c>
      <c r="B26" s="9" t="s">
        <v>36</v>
      </c>
      <c r="C26" s="9" t="s">
        <v>24</v>
      </c>
      <c r="D26" s="10" t="s">
        <v>22</v>
      </c>
      <c r="E26" s="22">
        <v>366</v>
      </c>
      <c r="F26" s="17">
        <f t="shared" si="1"/>
        <v>9.8182128305923673</v>
      </c>
      <c r="G26" s="14">
        <f t="shared" si="2"/>
        <v>3593.4658959968065</v>
      </c>
      <c r="H26" s="19">
        <f t="shared" si="3"/>
        <v>5.7311292391565787E-5</v>
      </c>
      <c r="I26" s="37">
        <v>0.5</v>
      </c>
      <c r="J26" s="37">
        <v>0.5</v>
      </c>
      <c r="K26" s="16">
        <f t="shared" si="4"/>
        <v>1796.7329479984032</v>
      </c>
      <c r="L26" s="16">
        <f t="shared" si="5"/>
        <v>1796.7329479984032</v>
      </c>
    </row>
    <row r="27" spans="1:12" ht="13.95" customHeight="1">
      <c r="A27" s="12" t="str">
        <f t="shared" si="0"/>
        <v/>
      </c>
      <c r="B27" s="10" t="s">
        <v>32</v>
      </c>
      <c r="C27" s="10" t="s">
        <v>26</v>
      </c>
      <c r="D27" s="10" t="s">
        <v>22</v>
      </c>
      <c r="E27" s="23">
        <v>0</v>
      </c>
      <c r="F27" s="18">
        <f t="shared" si="1"/>
        <v>9.8182128305923673</v>
      </c>
      <c r="G27" s="15">
        <f t="shared" si="2"/>
        <v>0</v>
      </c>
      <c r="H27" s="20">
        <f t="shared" si="3"/>
        <v>0</v>
      </c>
      <c r="I27" s="37">
        <v>1</v>
      </c>
      <c r="J27" s="37"/>
      <c r="K27" s="16">
        <f t="shared" si="4"/>
        <v>0</v>
      </c>
      <c r="L27" s="16">
        <f t="shared" si="5"/>
        <v>0</v>
      </c>
    </row>
    <row r="28" spans="1:12" ht="13.95" customHeight="1">
      <c r="A28" s="8"/>
      <c r="B28" s="8" t="s">
        <v>40</v>
      </c>
      <c r="C28" s="8"/>
      <c r="D28" s="8"/>
      <c r="E28" s="16">
        <f>SUM(E15:E27)</f>
        <v>6386176</v>
      </c>
      <c r="F28" s="13"/>
      <c r="G28" s="16">
        <f>SUM(G15:G27)</f>
        <v>62700835.141621038</v>
      </c>
      <c r="H28" s="21">
        <f>SUM(H15:H27)</f>
        <v>1</v>
      </c>
      <c r="I28" s="36"/>
      <c r="J28" s="36"/>
      <c r="K28" s="16">
        <f>SUM(K15:K27)</f>
        <v>35555948.891023897</v>
      </c>
      <c r="L28" s="16">
        <f t="shared" ref="L28" si="6">SUM(L15:L27)</f>
        <v>27144886.250597153</v>
      </c>
    </row>
    <row r="31" spans="1:12" ht="13.95" customHeight="1">
      <c r="A31" s="38"/>
      <c r="B31" s="38"/>
      <c r="C31" s="38"/>
      <c r="D31" s="38"/>
      <c r="E31" s="38"/>
      <c r="F31" s="38"/>
      <c r="G31" s="38"/>
      <c r="H31" s="38"/>
    </row>
    <row r="32" spans="1:12" ht="13.95" customHeight="1">
      <c r="A32" s="38"/>
      <c r="B32" s="38"/>
      <c r="C32" s="38"/>
      <c r="D32" s="38"/>
      <c r="E32" s="38"/>
      <c r="F32" s="38"/>
      <c r="G32" s="38"/>
      <c r="H32" s="38"/>
    </row>
    <row r="33" spans="2:3">
      <c r="B33" t="s">
        <v>62</v>
      </c>
    </row>
    <row r="34" spans="2:3">
      <c r="B34" t="s">
        <v>59</v>
      </c>
      <c r="C34" s="33">
        <f>L28/G28</f>
        <v>0.43292702863184479</v>
      </c>
    </row>
    <row r="35" spans="2:3">
      <c r="B35" t="s">
        <v>60</v>
      </c>
      <c r="C35" s="33">
        <f>1-C34</f>
        <v>0.56707297136815527</v>
      </c>
    </row>
    <row r="36" spans="2:3">
      <c r="C36" s="33">
        <f>SUM(C31:C35)</f>
        <v>1</v>
      </c>
    </row>
    <row r="37" spans="2:3">
      <c r="B37" t="s">
        <v>61</v>
      </c>
    </row>
    <row r="38" spans="2:3">
      <c r="B38" t="s">
        <v>63</v>
      </c>
      <c r="C38" s="33">
        <f>H15</f>
        <v>0.24473988815842218</v>
      </c>
    </row>
    <row r="39" spans="2:3">
      <c r="B39" t="s">
        <v>22</v>
      </c>
      <c r="C39" s="33">
        <f>H16+H18+H25+H22+H23+H24+H17</f>
        <v>0.61074420748817448</v>
      </c>
    </row>
    <row r="40" spans="2:3">
      <c r="B40" t="s">
        <v>31</v>
      </c>
      <c r="C40" s="33">
        <f>H20+H21</f>
        <v>7.2537148991822342E-2</v>
      </c>
    </row>
    <row r="41" spans="2:3">
      <c r="B41" t="s">
        <v>35</v>
      </c>
      <c r="C41" s="33">
        <f>H19</f>
        <v>7.1921444069189461E-2</v>
      </c>
    </row>
    <row r="42" spans="2:3">
      <c r="B42" t="s">
        <v>64</v>
      </c>
      <c r="C42" s="33">
        <f>H26</f>
        <v>5.7311292391565787E-5</v>
      </c>
    </row>
    <row r="43" spans="2:3">
      <c r="C43" s="33">
        <f>SUM(C38:C42)</f>
        <v>1</v>
      </c>
    </row>
  </sheetData>
  <mergeCells count="18">
    <mergeCell ref="A1:H1"/>
    <mergeCell ref="A2:H2"/>
    <mergeCell ref="D4:H4"/>
    <mergeCell ref="D5:H5"/>
    <mergeCell ref="D6:H6"/>
    <mergeCell ref="A32:H32"/>
    <mergeCell ref="A4:C4"/>
    <mergeCell ref="A5:B5"/>
    <mergeCell ref="A6:B6"/>
    <mergeCell ref="A7:B7"/>
    <mergeCell ref="A8:B8"/>
    <mergeCell ref="A9:B9"/>
    <mergeCell ref="A10:B10"/>
    <mergeCell ref="D7:H7"/>
    <mergeCell ref="D8:H8"/>
    <mergeCell ref="D9:H9"/>
    <mergeCell ref="D10:H10"/>
    <mergeCell ref="A31:H31"/>
  </mergeCells>
  <conditionalFormatting sqref="H15:H27">
    <cfRule type="dataBar" priority="1">
      <dataBar>
        <cfvo type="min"/>
        <cfvo type="max"/>
        <color rgb="FF3EC6AC"/>
      </dataBar>
    </cfRule>
    <cfRule type="dataBar" priority="2">
      <dataBar>
        <cfvo type="min"/>
        <cfvo type="max"/>
        <color rgb="FF3EC6AC"/>
      </dataBar>
    </cfRule>
    <cfRule type="dataBar" priority="3">
      <dataBar>
        <cfvo type="min"/>
        <cfvo type="max"/>
        <color rgb="FF3EC6AC"/>
      </dataBar>
      <extLst>
        <ext xmlns:x14="http://schemas.microsoft.com/office/spreadsheetml/2009/9/main" uri="{B025F937-C7B1-47D3-B67F-A62EFF666E3E}">
          <x14:id>{597BCAF4-0297-BB4E-8C96-0DC2FD4F52D6}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7BCAF4-0297-BB4E-8C96-0DC2FD4F52D6}">
            <x14:dataBar>
              <x14:cfvo type="min"/>
              <x14:cfvo type="max"/>
              <x14:negativeFillColor auto="1"/>
              <x14:axisColor auto="1"/>
            </x14:dataBar>
          </x14:cfRule>
          <xm:sqref>H15:H27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"/>
  <sheetViews>
    <sheetView topLeftCell="A12" workbookViewId="0">
      <selection activeCell="D27" sqref="D27"/>
    </sheetView>
  </sheetViews>
  <sheetFormatPr baseColWidth="10" defaultColWidth="8.796875" defaultRowHeight="13.8"/>
  <cols>
    <col min="1" max="1" width="9" customWidth="1"/>
    <col min="2" max="2" width="27" customWidth="1"/>
    <col min="3" max="3" width="19" customWidth="1"/>
    <col min="4" max="4" width="18" customWidth="1"/>
    <col min="5" max="5" width="21" customWidth="1"/>
    <col min="6" max="6" width="12" customWidth="1"/>
    <col min="7" max="7" width="24" customWidth="1"/>
    <col min="8" max="8" width="17" customWidth="1"/>
    <col min="10" max="10" width="11.296875" customWidth="1"/>
    <col min="11" max="11" width="13.09765625" customWidth="1"/>
    <col min="12" max="12" width="14.59765625" customWidth="1"/>
  </cols>
  <sheetData>
    <row r="1" spans="1:12" ht="20.55" customHeight="1">
      <c r="A1" s="48" t="s">
        <v>52</v>
      </c>
      <c r="B1" s="48"/>
      <c r="C1" s="48"/>
      <c r="D1" s="48"/>
      <c r="E1" s="48"/>
      <c r="F1" s="48"/>
      <c r="G1" s="48"/>
      <c r="H1" s="48"/>
    </row>
    <row r="2" spans="1:12" ht="13.95" customHeight="1">
      <c r="A2" s="49" t="s">
        <v>0</v>
      </c>
      <c r="B2" s="49"/>
      <c r="C2" s="49"/>
      <c r="D2" s="49"/>
      <c r="E2" s="49"/>
      <c r="F2" s="49"/>
      <c r="G2" s="49"/>
      <c r="H2" s="49"/>
    </row>
    <row r="4" spans="1:12">
      <c r="A4" s="39" t="s">
        <v>1</v>
      </c>
      <c r="B4" s="39"/>
      <c r="C4" s="39"/>
      <c r="D4" s="50" t="s">
        <v>2</v>
      </c>
      <c r="E4" s="50"/>
      <c r="F4" s="50"/>
      <c r="G4" s="50"/>
      <c r="H4" s="50"/>
    </row>
    <row r="5" spans="1:12" ht="15.3" customHeight="1">
      <c r="A5" s="40" t="s">
        <v>42</v>
      </c>
      <c r="B5" s="41"/>
      <c r="C5" s="1" t="s">
        <v>53</v>
      </c>
      <c r="D5" s="46" t="s">
        <v>44</v>
      </c>
      <c r="E5" s="46"/>
      <c r="F5" s="46"/>
      <c r="G5" s="46"/>
      <c r="H5" s="46"/>
    </row>
    <row r="6" spans="1:12" ht="15.3" customHeight="1">
      <c r="A6" s="40" t="s">
        <v>3</v>
      </c>
      <c r="B6" s="42"/>
      <c r="C6" s="2">
        <v>4434118</v>
      </c>
      <c r="D6" s="46" t="s">
        <v>4</v>
      </c>
      <c r="E6" s="46"/>
      <c r="F6" s="46"/>
      <c r="G6" s="46"/>
      <c r="H6" s="46"/>
    </row>
    <row r="7" spans="1:12" ht="15.3" customHeight="1">
      <c r="A7" s="40" t="s">
        <v>54</v>
      </c>
      <c r="B7" s="42"/>
      <c r="C7" s="31">
        <v>30287783.73</v>
      </c>
      <c r="D7" s="46" t="s">
        <v>5</v>
      </c>
      <c r="E7" s="46"/>
      <c r="F7" s="46"/>
      <c r="G7" s="46"/>
      <c r="H7" s="46"/>
    </row>
    <row r="8" spans="1:12" ht="15.3" customHeight="1">
      <c r="A8" s="40" t="s">
        <v>6</v>
      </c>
      <c r="B8" s="43"/>
      <c r="C8" s="3">
        <f>IFERROR(C7/C6,0)</f>
        <v>6.8306219478146497</v>
      </c>
      <c r="D8" s="46" t="s">
        <v>7</v>
      </c>
      <c r="E8" s="46"/>
      <c r="F8" s="46"/>
      <c r="G8" s="46"/>
      <c r="H8" s="46"/>
    </row>
    <row r="9" spans="1:12" ht="15.3" customHeight="1">
      <c r="A9" s="40" t="s">
        <v>8</v>
      </c>
      <c r="B9" s="42"/>
      <c r="C9" s="4">
        <f>G28</f>
        <v>74871772.310654253</v>
      </c>
      <c r="D9" s="46" t="s">
        <v>9</v>
      </c>
      <c r="E9" s="46"/>
      <c r="F9" s="46"/>
      <c r="G9" s="46"/>
      <c r="H9" s="46"/>
    </row>
    <row r="10" spans="1:12" ht="15.3" customHeight="1">
      <c r="A10" s="44" t="s">
        <v>10</v>
      </c>
      <c r="B10" s="45"/>
      <c r="C10" s="32">
        <f>SUMIF(B15:B27,"Friopacking",H15:H27)</f>
        <v>0.40452874020841162</v>
      </c>
      <c r="D10" s="47" t="s">
        <v>11</v>
      </c>
      <c r="E10" s="47"/>
      <c r="F10" s="47"/>
      <c r="G10" s="47"/>
      <c r="H10" s="47"/>
    </row>
    <row r="14" spans="1:12" ht="34.200000000000003" customHeight="1">
      <c r="A14" s="5" t="s">
        <v>12</v>
      </c>
      <c r="B14" s="6" t="s">
        <v>13</v>
      </c>
      <c r="C14" s="6" t="s">
        <v>14</v>
      </c>
      <c r="D14" s="6" t="s">
        <v>15</v>
      </c>
      <c r="E14" s="6" t="s">
        <v>16</v>
      </c>
      <c r="F14" s="6" t="s">
        <v>17</v>
      </c>
      <c r="G14" s="6" t="s">
        <v>18</v>
      </c>
      <c r="H14" s="7" t="s">
        <v>19</v>
      </c>
      <c r="I14" s="35" t="s">
        <v>60</v>
      </c>
      <c r="J14" s="35" t="s">
        <v>65</v>
      </c>
      <c r="K14" s="35" t="s">
        <v>66</v>
      </c>
      <c r="L14" s="35" t="s">
        <v>67</v>
      </c>
    </row>
    <row r="15" spans="1:12" ht="13.95" customHeight="1">
      <c r="A15" s="24">
        <f t="shared" ref="A15:A27" si="0">IF(E15=0,"",COUNTIF($G$15:$G$27,"&gt;"&amp;G15)+1)</f>
        <v>1</v>
      </c>
      <c r="B15" s="30" t="s">
        <v>20</v>
      </c>
      <c r="C15" s="25" t="s">
        <v>21</v>
      </c>
      <c r="D15" s="25" t="s">
        <v>58</v>
      </c>
      <c r="E15" s="26">
        <v>4434118</v>
      </c>
      <c r="F15" s="27">
        <f t="shared" ref="F15:F27" si="1">$C$8</f>
        <v>6.8306219478146497</v>
      </c>
      <c r="G15" s="28">
        <f t="shared" ref="G15:G27" si="2">E15*F15</f>
        <v>30287783.73</v>
      </c>
      <c r="H15" s="29">
        <f t="shared" ref="H15:H27" si="3">IFERROR(G15/$G$28,0)</f>
        <v>0.40452874020841162</v>
      </c>
      <c r="I15" s="37">
        <v>0.36</v>
      </c>
      <c r="J15" s="37">
        <v>0.64</v>
      </c>
      <c r="K15" s="16">
        <f>I15*G15</f>
        <v>10903602.1428</v>
      </c>
      <c r="L15" s="16">
        <f>J15*G15</f>
        <v>19384181.587200001</v>
      </c>
    </row>
    <row r="16" spans="1:12" ht="13.95" customHeight="1">
      <c r="A16" s="11">
        <f t="shared" si="0"/>
        <v>2</v>
      </c>
      <c r="B16" s="9" t="s">
        <v>25</v>
      </c>
      <c r="C16" s="9" t="s">
        <v>26</v>
      </c>
      <c r="D16" s="9" t="s">
        <v>22</v>
      </c>
      <c r="E16" s="22">
        <v>1326755</v>
      </c>
      <c r="F16" s="17">
        <f t="shared" si="1"/>
        <v>6.8306219478146497</v>
      </c>
      <c r="G16" s="14">
        <f t="shared" si="2"/>
        <v>9062561.8223728258</v>
      </c>
      <c r="H16" s="19">
        <f t="shared" si="3"/>
        <v>0.12104110190915333</v>
      </c>
      <c r="I16" s="37">
        <v>1</v>
      </c>
      <c r="J16" s="37"/>
      <c r="K16" s="16">
        <f t="shared" ref="K16:K27" si="4">I16*G16</f>
        <v>9062561.8223728258</v>
      </c>
      <c r="L16" s="16">
        <f t="shared" ref="L16:L27" si="5">J16*G16</f>
        <v>0</v>
      </c>
    </row>
    <row r="17" spans="1:12" ht="13.95" customHeight="1">
      <c r="A17" s="11">
        <f t="shared" si="0"/>
        <v>3</v>
      </c>
      <c r="B17" s="9" t="s">
        <v>23</v>
      </c>
      <c r="C17" s="9" t="s">
        <v>24</v>
      </c>
      <c r="D17" s="9" t="s">
        <v>22</v>
      </c>
      <c r="E17" s="22">
        <v>1208579</v>
      </c>
      <c r="F17" s="17">
        <f t="shared" si="1"/>
        <v>6.8306219478146497</v>
      </c>
      <c r="G17" s="14">
        <f t="shared" si="2"/>
        <v>8255346.2430678811</v>
      </c>
      <c r="H17" s="19">
        <f t="shared" si="3"/>
        <v>0.11025979469024998</v>
      </c>
      <c r="I17" s="37"/>
      <c r="J17" s="37">
        <v>1</v>
      </c>
      <c r="K17" s="16">
        <f t="shared" si="4"/>
        <v>0</v>
      </c>
      <c r="L17" s="16">
        <f t="shared" si="5"/>
        <v>8255346.2430678811</v>
      </c>
    </row>
    <row r="18" spans="1:12" ht="13.95" customHeight="1">
      <c r="A18" s="11">
        <f t="shared" si="0"/>
        <v>4</v>
      </c>
      <c r="B18" s="9" t="s">
        <v>28</v>
      </c>
      <c r="C18" s="9" t="s">
        <v>26</v>
      </c>
      <c r="D18" s="9" t="s">
        <v>22</v>
      </c>
      <c r="E18" s="22">
        <v>753739</v>
      </c>
      <c r="F18" s="17">
        <f t="shared" si="1"/>
        <v>6.8306219478146497</v>
      </c>
      <c r="G18" s="14">
        <f t="shared" si="2"/>
        <v>5148506.156323866</v>
      </c>
      <c r="H18" s="19">
        <f t="shared" si="3"/>
        <v>6.8764315274412624E-2</v>
      </c>
      <c r="I18" s="37">
        <v>0.5</v>
      </c>
      <c r="J18" s="37">
        <v>0.5</v>
      </c>
      <c r="K18" s="16">
        <f t="shared" si="4"/>
        <v>2574253.078161933</v>
      </c>
      <c r="L18" s="16">
        <f t="shared" si="5"/>
        <v>2574253.078161933</v>
      </c>
    </row>
    <row r="19" spans="1:12" ht="13.95" customHeight="1">
      <c r="A19" s="11">
        <f t="shared" si="0"/>
        <v>5</v>
      </c>
      <c r="B19" s="9" t="s">
        <v>27</v>
      </c>
      <c r="C19" s="9" t="s">
        <v>24</v>
      </c>
      <c r="D19" s="9" t="s">
        <v>22</v>
      </c>
      <c r="E19" s="22">
        <v>711034</v>
      </c>
      <c r="F19" s="17">
        <f t="shared" si="1"/>
        <v>6.8306219478146497</v>
      </c>
      <c r="G19" s="14">
        <f t="shared" si="2"/>
        <v>4856804.4460424418</v>
      </c>
      <c r="H19" s="19">
        <f t="shared" si="3"/>
        <v>6.4868298106939809E-2</v>
      </c>
      <c r="I19" s="37">
        <v>0.5</v>
      </c>
      <c r="J19" s="37">
        <v>0.5</v>
      </c>
      <c r="K19" s="16">
        <f t="shared" si="4"/>
        <v>2428402.2230212209</v>
      </c>
      <c r="L19" s="16">
        <f t="shared" si="5"/>
        <v>2428402.2230212209</v>
      </c>
    </row>
    <row r="20" spans="1:12" ht="13.95" customHeight="1">
      <c r="A20" s="11">
        <f t="shared" si="0"/>
        <v>6</v>
      </c>
      <c r="B20" s="9" t="s">
        <v>34</v>
      </c>
      <c r="C20" s="9" t="s">
        <v>26</v>
      </c>
      <c r="D20" s="9" t="s">
        <v>35</v>
      </c>
      <c r="E20" s="22">
        <v>615718</v>
      </c>
      <c r="F20" s="17">
        <f t="shared" si="1"/>
        <v>6.8306219478146497</v>
      </c>
      <c r="G20" s="14">
        <f t="shared" si="2"/>
        <v>4205736.8844645405</v>
      </c>
      <c r="H20" s="19">
        <f t="shared" si="3"/>
        <v>5.6172530109402312E-2</v>
      </c>
      <c r="I20" s="37">
        <v>1</v>
      </c>
      <c r="J20" s="37"/>
      <c r="K20" s="16">
        <f t="shared" si="4"/>
        <v>4205736.8844645405</v>
      </c>
      <c r="L20" s="16">
        <f t="shared" si="5"/>
        <v>0</v>
      </c>
    </row>
    <row r="21" spans="1:12" ht="13.95" customHeight="1">
      <c r="A21" s="11">
        <f t="shared" si="0"/>
        <v>7</v>
      </c>
      <c r="B21" s="9" t="s">
        <v>29</v>
      </c>
      <c r="C21" s="9" t="s">
        <v>24</v>
      </c>
      <c r="D21" s="9" t="s">
        <v>22</v>
      </c>
      <c r="E21" s="22">
        <v>563801</v>
      </c>
      <c r="F21" s="17">
        <f t="shared" si="1"/>
        <v>6.8306219478146497</v>
      </c>
      <c r="G21" s="14">
        <f t="shared" si="2"/>
        <v>3851111.4847998475</v>
      </c>
      <c r="H21" s="19">
        <f t="shared" si="3"/>
        <v>5.1436093549662568E-2</v>
      </c>
      <c r="I21" s="37">
        <v>0.5</v>
      </c>
      <c r="J21" s="37">
        <v>0.5</v>
      </c>
      <c r="K21" s="16">
        <f t="shared" si="4"/>
        <v>1925555.7423999237</v>
      </c>
      <c r="L21" s="16">
        <f t="shared" si="5"/>
        <v>1925555.7423999237</v>
      </c>
    </row>
    <row r="22" spans="1:12" ht="13.95" customHeight="1">
      <c r="A22" s="11">
        <f t="shared" si="0"/>
        <v>8</v>
      </c>
      <c r="B22" s="9" t="s">
        <v>32</v>
      </c>
      <c r="C22" s="9" t="s">
        <v>26</v>
      </c>
      <c r="D22" s="9" t="s">
        <v>22</v>
      </c>
      <c r="E22" s="22">
        <v>461537</v>
      </c>
      <c r="F22" s="17">
        <f t="shared" si="1"/>
        <v>6.8306219478146497</v>
      </c>
      <c r="G22" s="14">
        <f t="shared" si="2"/>
        <v>3152584.7619285299</v>
      </c>
      <c r="H22" s="19">
        <f t="shared" si="3"/>
        <v>4.2106453001379225E-2</v>
      </c>
      <c r="I22" s="37">
        <v>0.5</v>
      </c>
      <c r="J22" s="37">
        <v>0.5</v>
      </c>
      <c r="K22" s="16">
        <f t="shared" si="4"/>
        <v>1576292.380964265</v>
      </c>
      <c r="L22" s="16">
        <f t="shared" si="5"/>
        <v>1576292.380964265</v>
      </c>
    </row>
    <row r="23" spans="1:12" ht="13.95" customHeight="1">
      <c r="A23" s="11">
        <f t="shared" si="0"/>
        <v>9</v>
      </c>
      <c r="B23" s="9" t="s">
        <v>39</v>
      </c>
      <c r="C23" s="9" t="s">
        <v>24</v>
      </c>
      <c r="D23" s="9" t="s">
        <v>22</v>
      </c>
      <c r="E23" s="22">
        <v>453166</v>
      </c>
      <c r="F23" s="17">
        <f t="shared" si="1"/>
        <v>6.8306219478146497</v>
      </c>
      <c r="G23" s="14">
        <f t="shared" si="2"/>
        <v>3095405.6256033736</v>
      </c>
      <c r="H23" s="19">
        <f t="shared" si="3"/>
        <v>4.134275882718616E-2</v>
      </c>
      <c r="I23" s="37"/>
      <c r="J23" s="37">
        <v>1</v>
      </c>
      <c r="K23" s="16">
        <f t="shared" si="4"/>
        <v>0</v>
      </c>
      <c r="L23" s="16">
        <f t="shared" si="5"/>
        <v>3095405.6256033736</v>
      </c>
    </row>
    <row r="24" spans="1:12" ht="13.95" customHeight="1">
      <c r="A24" s="11">
        <f t="shared" si="0"/>
        <v>10</v>
      </c>
      <c r="B24" s="9" t="s">
        <v>30</v>
      </c>
      <c r="C24" s="9" t="s">
        <v>26</v>
      </c>
      <c r="D24" s="9" t="s">
        <v>31</v>
      </c>
      <c r="E24" s="22">
        <v>182788</v>
      </c>
      <c r="F24" s="17">
        <f t="shared" si="1"/>
        <v>6.8306219478146497</v>
      </c>
      <c r="G24" s="14">
        <f t="shared" si="2"/>
        <v>1248555.7245971442</v>
      </c>
      <c r="H24" s="19">
        <f t="shared" si="3"/>
        <v>1.6675920524716559E-2</v>
      </c>
      <c r="I24" s="37"/>
      <c r="J24" s="37">
        <v>1</v>
      </c>
      <c r="K24" s="16">
        <f t="shared" si="4"/>
        <v>0</v>
      </c>
      <c r="L24" s="16">
        <f t="shared" si="5"/>
        <v>1248555.7245971442</v>
      </c>
    </row>
    <row r="25" spans="1:12" ht="13.95" customHeight="1">
      <c r="A25" s="11">
        <f t="shared" si="0"/>
        <v>11</v>
      </c>
      <c r="B25" s="9" t="s">
        <v>33</v>
      </c>
      <c r="C25" s="9" t="s">
        <v>26</v>
      </c>
      <c r="D25" s="9" t="s">
        <v>31</v>
      </c>
      <c r="E25" s="22">
        <v>134769</v>
      </c>
      <c r="F25" s="17">
        <f t="shared" si="1"/>
        <v>6.8306219478146497</v>
      </c>
      <c r="G25" s="14">
        <f t="shared" si="2"/>
        <v>920556.08928503247</v>
      </c>
      <c r="H25" s="19">
        <f t="shared" si="3"/>
        <v>1.2295102157666399E-2</v>
      </c>
      <c r="I25" s="37">
        <v>1</v>
      </c>
      <c r="J25" s="37"/>
      <c r="K25" s="16">
        <f t="shared" si="4"/>
        <v>920556.08928503247</v>
      </c>
      <c r="L25" s="16">
        <f t="shared" si="5"/>
        <v>0</v>
      </c>
    </row>
    <row r="26" spans="1:12" ht="13.95" customHeight="1">
      <c r="A26" s="11">
        <f t="shared" si="0"/>
        <v>12</v>
      </c>
      <c r="B26" s="9" t="s">
        <v>38</v>
      </c>
      <c r="C26" s="9" t="s">
        <v>26</v>
      </c>
      <c r="D26" s="10" t="s">
        <v>37</v>
      </c>
      <c r="E26" s="22">
        <v>113185</v>
      </c>
      <c r="F26" s="17">
        <f t="shared" si="1"/>
        <v>6.8306219478146497</v>
      </c>
      <c r="G26" s="14">
        <f t="shared" si="2"/>
        <v>773123.94516340108</v>
      </c>
      <c r="H26" s="19">
        <f t="shared" si="3"/>
        <v>1.0325973611998837E-2</v>
      </c>
      <c r="I26" s="37">
        <v>0.5</v>
      </c>
      <c r="J26" s="37">
        <v>0.5</v>
      </c>
      <c r="K26" s="16">
        <f t="shared" si="4"/>
        <v>386561.97258170054</v>
      </c>
      <c r="L26" s="16">
        <f t="shared" si="5"/>
        <v>386561.97258170054</v>
      </c>
    </row>
    <row r="27" spans="1:12" ht="13.95" customHeight="1">
      <c r="A27" s="12">
        <f t="shared" si="0"/>
        <v>13</v>
      </c>
      <c r="B27" s="10" t="s">
        <v>36</v>
      </c>
      <c r="C27" s="10" t="s">
        <v>24</v>
      </c>
      <c r="D27" s="9" t="s">
        <v>22</v>
      </c>
      <c r="E27" s="23">
        <v>2005</v>
      </c>
      <c r="F27" s="18">
        <f t="shared" si="1"/>
        <v>6.8306219478146497</v>
      </c>
      <c r="G27" s="15">
        <f t="shared" si="2"/>
        <v>13695.397005368373</v>
      </c>
      <c r="H27" s="20">
        <f t="shared" si="3"/>
        <v>1.8291802882058287E-4</v>
      </c>
      <c r="I27" s="37">
        <v>1</v>
      </c>
      <c r="J27" s="37"/>
      <c r="K27" s="16">
        <f t="shared" si="4"/>
        <v>13695.397005368373</v>
      </c>
      <c r="L27" s="16">
        <f t="shared" si="5"/>
        <v>0</v>
      </c>
    </row>
    <row r="28" spans="1:12" ht="13.95" customHeight="1">
      <c r="A28" s="8"/>
      <c r="B28" s="8" t="s">
        <v>40</v>
      </c>
      <c r="C28" s="8"/>
      <c r="D28" s="8"/>
      <c r="E28" s="16">
        <f>SUM(E15:E27)</f>
        <v>10961194</v>
      </c>
      <c r="F28" s="13"/>
      <c r="G28" s="16">
        <f>SUM(G15:G27)</f>
        <v>74871772.310654253</v>
      </c>
      <c r="H28" s="21">
        <f>SUM(H15:H27)</f>
        <v>1</v>
      </c>
      <c r="I28" s="36"/>
      <c r="J28" s="36"/>
      <c r="K28" s="16">
        <f>SUM(K15:K27)</f>
        <v>33997217.733056813</v>
      </c>
      <c r="L28" s="16">
        <f t="shared" ref="L28" si="6">SUM(L15:L27)</f>
        <v>40874554.577597439</v>
      </c>
    </row>
    <row r="31" spans="1:12" ht="13.95" customHeight="1">
      <c r="A31" s="38"/>
      <c r="B31" s="38"/>
      <c r="C31" s="38"/>
      <c r="D31" s="38"/>
      <c r="E31" s="38"/>
      <c r="F31" s="38"/>
      <c r="G31" s="38"/>
      <c r="H31" s="38"/>
    </row>
    <row r="32" spans="1:12" ht="13.95" customHeight="1">
      <c r="A32" s="38"/>
      <c r="B32" s="38"/>
      <c r="C32" s="38"/>
      <c r="D32" s="38"/>
      <c r="E32" s="38"/>
      <c r="F32" s="38"/>
      <c r="G32" s="38"/>
      <c r="H32" s="38"/>
    </row>
    <row r="33" spans="2:3">
      <c r="B33" t="s">
        <v>62</v>
      </c>
    </row>
    <row r="34" spans="2:3">
      <c r="B34" t="s">
        <v>59</v>
      </c>
      <c r="C34" s="33">
        <f>L28/G28</f>
        <v>0.54592743454773263</v>
      </c>
    </row>
    <row r="35" spans="2:3">
      <c r="B35" t="s">
        <v>60</v>
      </c>
      <c r="C35" s="33">
        <f>1-C34</f>
        <v>0.45407256545226737</v>
      </c>
    </row>
    <row r="36" spans="2:3">
      <c r="C36" s="33">
        <f>SUM(C31:C35)</f>
        <v>1</v>
      </c>
    </row>
    <row r="37" spans="2:3">
      <c r="B37" t="s">
        <v>61</v>
      </c>
    </row>
    <row r="38" spans="2:3">
      <c r="B38" t="s">
        <v>63</v>
      </c>
      <c r="C38" s="33">
        <f>H15</f>
        <v>0.40452874020841162</v>
      </c>
    </row>
    <row r="39" spans="2:3">
      <c r="B39" t="s">
        <v>22</v>
      </c>
      <c r="C39" s="33">
        <f>H16+H17+H18+H19+H21+H22+H23+H26</f>
        <v>0.51014478897098259</v>
      </c>
    </row>
    <row r="40" spans="2:3">
      <c r="B40" t="s">
        <v>31</v>
      </c>
      <c r="C40" s="33">
        <f>H24+H25</f>
        <v>2.8971022682382958E-2</v>
      </c>
    </row>
    <row r="41" spans="2:3">
      <c r="B41" t="s">
        <v>35</v>
      </c>
      <c r="C41" s="33">
        <f>H20</f>
        <v>5.6172530109402312E-2</v>
      </c>
    </row>
    <row r="42" spans="2:3">
      <c r="B42" t="s">
        <v>64</v>
      </c>
      <c r="C42" s="33">
        <f>H27</f>
        <v>1.8291802882058287E-4</v>
      </c>
    </row>
    <row r="43" spans="2:3">
      <c r="C43" s="33">
        <f>SUM(C38:C42)</f>
        <v>0.99999999999999989</v>
      </c>
    </row>
  </sheetData>
  <mergeCells count="18">
    <mergeCell ref="A1:H1"/>
    <mergeCell ref="A2:H2"/>
    <mergeCell ref="D4:H4"/>
    <mergeCell ref="D5:H5"/>
    <mergeCell ref="D6:H6"/>
    <mergeCell ref="A32:H32"/>
    <mergeCell ref="A4:C4"/>
    <mergeCell ref="A5:B5"/>
    <mergeCell ref="A6:B6"/>
    <mergeCell ref="A7:B7"/>
    <mergeCell ref="A8:B8"/>
    <mergeCell ref="A9:B9"/>
    <mergeCell ref="A10:B10"/>
    <mergeCell ref="D7:H7"/>
    <mergeCell ref="D8:H8"/>
    <mergeCell ref="D9:H9"/>
    <mergeCell ref="D10:H10"/>
    <mergeCell ref="A31:H31"/>
  </mergeCells>
  <conditionalFormatting sqref="H15:H27">
    <cfRule type="dataBar" priority="1">
      <dataBar>
        <cfvo type="min"/>
        <cfvo type="max"/>
        <color rgb="FF3EC6AC"/>
      </dataBar>
    </cfRule>
    <cfRule type="dataBar" priority="2">
      <dataBar>
        <cfvo type="min"/>
        <cfvo type="max"/>
        <color rgb="FF3EC6AC"/>
      </dataBar>
    </cfRule>
    <cfRule type="dataBar" priority="3">
      <dataBar>
        <cfvo type="min"/>
        <cfvo type="max"/>
        <color rgb="FF3EC6AC"/>
      </dataBar>
      <extLst>
        <ext xmlns:x14="http://schemas.microsoft.com/office/spreadsheetml/2009/9/main" uri="{B025F937-C7B1-47D3-B67F-A62EFF666E3E}">
          <x14:id>{0EE885F6-E941-03E6-ABC5-B3CF7343C1BB}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E885F6-E941-03E6-ABC5-B3CF7343C1BB}">
            <x14:dataBar>
              <x14:cfvo type="min"/>
              <x14:cfvo type="max"/>
              <x14:negativeFillColor auto="1"/>
              <x14:axisColor auto="1"/>
            </x14:dataBar>
          </x14:cfRule>
          <xm:sqref>H15:H27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3"/>
  <sheetViews>
    <sheetView topLeftCell="A10" zoomScale="87" workbookViewId="0">
      <selection activeCell="D27" sqref="D27"/>
    </sheetView>
  </sheetViews>
  <sheetFormatPr baseColWidth="10" defaultColWidth="8.796875" defaultRowHeight="13.8"/>
  <cols>
    <col min="1" max="1" width="9" customWidth="1"/>
    <col min="2" max="2" width="27" customWidth="1"/>
    <col min="3" max="3" width="19" customWidth="1"/>
    <col min="4" max="4" width="18" customWidth="1"/>
    <col min="5" max="5" width="21" customWidth="1"/>
    <col min="6" max="6" width="12" customWidth="1"/>
    <col min="7" max="7" width="24" customWidth="1"/>
    <col min="8" max="8" width="17" customWidth="1"/>
    <col min="10" max="10" width="11.5" customWidth="1"/>
    <col min="11" max="11" width="14.3984375" customWidth="1"/>
    <col min="12" max="12" width="15.5" customWidth="1"/>
  </cols>
  <sheetData>
    <row r="1" spans="1:12" ht="20.55" customHeight="1">
      <c r="A1" s="48" t="s">
        <v>55</v>
      </c>
      <c r="B1" s="48"/>
      <c r="C1" s="48"/>
      <c r="D1" s="48"/>
      <c r="E1" s="48"/>
      <c r="F1" s="48"/>
      <c r="G1" s="48"/>
      <c r="H1" s="48"/>
    </row>
    <row r="2" spans="1:12" ht="13.95" customHeight="1">
      <c r="A2" s="49" t="s">
        <v>0</v>
      </c>
      <c r="B2" s="49"/>
      <c r="C2" s="49"/>
      <c r="D2" s="49"/>
      <c r="E2" s="49"/>
      <c r="F2" s="49"/>
      <c r="G2" s="49"/>
      <c r="H2" s="49"/>
    </row>
    <row r="4" spans="1:12">
      <c r="A4" s="39" t="s">
        <v>1</v>
      </c>
      <c r="B4" s="39"/>
      <c r="C4" s="39"/>
      <c r="D4" s="50" t="s">
        <v>2</v>
      </c>
      <c r="E4" s="50"/>
      <c r="F4" s="50"/>
      <c r="G4" s="50"/>
      <c r="H4" s="50"/>
    </row>
    <row r="5" spans="1:12" ht="15.3" customHeight="1">
      <c r="A5" s="40" t="s">
        <v>42</v>
      </c>
      <c r="B5" s="41"/>
      <c r="C5" s="1" t="s">
        <v>56</v>
      </c>
      <c r="D5" s="46" t="s">
        <v>44</v>
      </c>
      <c r="E5" s="46"/>
      <c r="F5" s="46"/>
      <c r="G5" s="46"/>
      <c r="H5" s="46"/>
    </row>
    <row r="6" spans="1:12" ht="15.3" customHeight="1">
      <c r="A6" s="40" t="s">
        <v>3</v>
      </c>
      <c r="B6" s="42"/>
      <c r="C6" s="2">
        <v>1613304</v>
      </c>
      <c r="D6" s="46" t="s">
        <v>4</v>
      </c>
      <c r="E6" s="46"/>
      <c r="F6" s="46"/>
      <c r="G6" s="46"/>
      <c r="H6" s="46"/>
    </row>
    <row r="7" spans="1:12" ht="15.3" customHeight="1">
      <c r="A7" s="40" t="s">
        <v>57</v>
      </c>
      <c r="B7" s="42"/>
      <c r="C7" s="31">
        <v>21512508.73</v>
      </c>
      <c r="D7" s="46" t="s">
        <v>5</v>
      </c>
      <c r="E7" s="46"/>
      <c r="F7" s="46"/>
      <c r="G7" s="46"/>
      <c r="H7" s="46"/>
    </row>
    <row r="8" spans="1:12" ht="15.3" customHeight="1">
      <c r="A8" s="40" t="s">
        <v>6</v>
      </c>
      <c r="B8" s="43"/>
      <c r="C8" s="3">
        <f>IFERROR(C7/C6,0)</f>
        <v>13.334442070434338</v>
      </c>
      <c r="D8" s="46" t="s">
        <v>7</v>
      </c>
      <c r="E8" s="46"/>
      <c r="F8" s="46"/>
      <c r="G8" s="46"/>
      <c r="H8" s="46"/>
    </row>
    <row r="9" spans="1:12" ht="15.3" customHeight="1">
      <c r="A9" s="40" t="s">
        <v>8</v>
      </c>
      <c r="B9" s="42"/>
      <c r="C9" s="4">
        <f>G28</f>
        <v>83790727.062237993</v>
      </c>
      <c r="D9" s="46" t="s">
        <v>9</v>
      </c>
      <c r="E9" s="46"/>
      <c r="F9" s="46"/>
      <c r="G9" s="46"/>
      <c r="H9" s="46"/>
    </row>
    <row r="10" spans="1:12" ht="15.3" customHeight="1">
      <c r="A10" s="44" t="s">
        <v>10</v>
      </c>
      <c r="B10" s="45"/>
      <c r="C10" s="32">
        <f>SUMIF(B15:B27,"Friopacking",H15:H27)</f>
        <v>0.25674092449419805</v>
      </c>
      <c r="D10" s="47" t="s">
        <v>11</v>
      </c>
      <c r="E10" s="47"/>
      <c r="F10" s="47"/>
      <c r="G10" s="47"/>
      <c r="H10" s="47"/>
    </row>
    <row r="14" spans="1:12" ht="36.6" customHeight="1">
      <c r="A14" s="5" t="s">
        <v>12</v>
      </c>
      <c r="B14" s="6" t="s">
        <v>13</v>
      </c>
      <c r="C14" s="6" t="s">
        <v>14</v>
      </c>
      <c r="D14" s="6" t="s">
        <v>15</v>
      </c>
      <c r="E14" s="6" t="s">
        <v>16</v>
      </c>
      <c r="F14" s="6" t="s">
        <v>17</v>
      </c>
      <c r="G14" s="6" t="s">
        <v>18</v>
      </c>
      <c r="H14" s="7" t="s">
        <v>19</v>
      </c>
      <c r="I14" s="35" t="s">
        <v>60</v>
      </c>
      <c r="J14" s="35" t="s">
        <v>65</v>
      </c>
      <c r="K14" s="35" t="s">
        <v>66</v>
      </c>
      <c r="L14" s="35" t="s">
        <v>67</v>
      </c>
    </row>
    <row r="15" spans="1:12" ht="13.95" customHeight="1">
      <c r="A15" s="24">
        <f t="shared" ref="A15:A27" si="0">IF(E15=0,"",COUNTIF($G$15:$G$27,"&gt;"&amp;G15)+1)</f>
        <v>1</v>
      </c>
      <c r="B15" s="30" t="s">
        <v>20</v>
      </c>
      <c r="C15" s="25" t="s">
        <v>21</v>
      </c>
      <c r="D15" s="25" t="s">
        <v>58</v>
      </c>
      <c r="E15" s="26">
        <v>1613304</v>
      </c>
      <c r="F15" s="27">
        <f t="shared" ref="F15:F27" si="1">$C$8</f>
        <v>13.334442070434338</v>
      </c>
      <c r="G15" s="28">
        <f t="shared" ref="G15:G27" si="2">E15*F15</f>
        <v>21512508.73</v>
      </c>
      <c r="H15" s="29">
        <f t="shared" ref="H15:H27" si="3">IFERROR(G15/$G$28,0)</f>
        <v>0.25674092449419805</v>
      </c>
      <c r="I15" s="37">
        <v>0.48</v>
      </c>
      <c r="J15" s="37">
        <v>0.52</v>
      </c>
      <c r="K15" s="16">
        <f>I15*G15</f>
        <v>10326004.190400001</v>
      </c>
      <c r="L15" s="16">
        <f>J15*G15</f>
        <v>11186504.5396</v>
      </c>
    </row>
    <row r="16" spans="1:12" ht="13.95" customHeight="1">
      <c r="A16" s="11">
        <f t="shared" si="0"/>
        <v>2</v>
      </c>
      <c r="B16" s="9" t="s">
        <v>23</v>
      </c>
      <c r="C16" s="9" t="s">
        <v>24</v>
      </c>
      <c r="D16" s="9" t="s">
        <v>22</v>
      </c>
      <c r="E16" s="22">
        <v>1302351</v>
      </c>
      <c r="F16" s="17">
        <f t="shared" si="1"/>
        <v>13.334442070434338</v>
      </c>
      <c r="G16" s="14">
        <f t="shared" si="2"/>
        <v>17366123.96487223</v>
      </c>
      <c r="H16" s="19">
        <f t="shared" si="3"/>
        <v>0.20725591689845391</v>
      </c>
      <c r="I16" s="37">
        <v>1</v>
      </c>
      <c r="J16" s="37"/>
      <c r="K16" s="16">
        <f t="shared" ref="K16:K27" si="4">I16*G16</f>
        <v>17366123.96487223</v>
      </c>
      <c r="L16" s="16">
        <f t="shared" ref="L16:L27" si="5">J16*G16</f>
        <v>0</v>
      </c>
    </row>
    <row r="17" spans="1:12" ht="13.95" customHeight="1">
      <c r="A17" s="11">
        <f t="shared" si="0"/>
        <v>3</v>
      </c>
      <c r="B17" s="9" t="s">
        <v>25</v>
      </c>
      <c r="C17" s="9" t="s">
        <v>26</v>
      </c>
      <c r="D17" s="9" t="s">
        <v>22</v>
      </c>
      <c r="E17" s="22">
        <v>1023455</v>
      </c>
      <c r="F17" s="17">
        <f t="shared" si="1"/>
        <v>13.334442070434338</v>
      </c>
      <c r="G17" s="14">
        <f t="shared" si="2"/>
        <v>13647201.409196377</v>
      </c>
      <c r="H17" s="19">
        <f t="shared" si="3"/>
        <v>0.16287245483691198</v>
      </c>
      <c r="I17" s="37"/>
      <c r="J17" s="37">
        <v>1</v>
      </c>
      <c r="K17" s="16">
        <f t="shared" si="4"/>
        <v>0</v>
      </c>
      <c r="L17" s="16">
        <f t="shared" si="5"/>
        <v>13647201.409196377</v>
      </c>
    </row>
    <row r="18" spans="1:12" ht="13.95" customHeight="1">
      <c r="A18" s="11">
        <f t="shared" si="0"/>
        <v>4</v>
      </c>
      <c r="B18" s="9" t="s">
        <v>29</v>
      </c>
      <c r="C18" s="9" t="s">
        <v>24</v>
      </c>
      <c r="D18" s="9" t="s">
        <v>22</v>
      </c>
      <c r="E18" s="22">
        <v>848156</v>
      </c>
      <c r="F18" s="17">
        <f t="shared" si="1"/>
        <v>13.334442070434338</v>
      </c>
      <c r="G18" s="14">
        <f t="shared" si="2"/>
        <v>11309687.048691306</v>
      </c>
      <c r="H18" s="19">
        <f t="shared" si="3"/>
        <v>0.1349754017564582</v>
      </c>
      <c r="I18" s="37">
        <v>0.5</v>
      </c>
      <c r="J18" s="37">
        <v>0.5</v>
      </c>
      <c r="K18" s="16">
        <f t="shared" si="4"/>
        <v>5654843.5243456531</v>
      </c>
      <c r="L18" s="16">
        <f t="shared" si="5"/>
        <v>5654843.5243456531</v>
      </c>
    </row>
    <row r="19" spans="1:12" ht="13.95" customHeight="1">
      <c r="A19" s="11">
        <f t="shared" si="0"/>
        <v>5</v>
      </c>
      <c r="B19" s="9" t="s">
        <v>32</v>
      </c>
      <c r="C19" s="9" t="s">
        <v>26</v>
      </c>
      <c r="D19" s="9" t="s">
        <v>22</v>
      </c>
      <c r="E19" s="22">
        <v>526892</v>
      </c>
      <c r="F19" s="17">
        <f t="shared" si="1"/>
        <v>13.334442070434338</v>
      </c>
      <c r="G19" s="14">
        <f t="shared" si="2"/>
        <v>7025810.8513752893</v>
      </c>
      <c r="H19" s="19">
        <f t="shared" si="3"/>
        <v>8.3849503372332171E-2</v>
      </c>
      <c r="I19" s="37">
        <v>0.5</v>
      </c>
      <c r="J19" s="37">
        <v>0.5</v>
      </c>
      <c r="K19" s="16">
        <f t="shared" si="4"/>
        <v>3512905.4256876446</v>
      </c>
      <c r="L19" s="16">
        <f t="shared" si="5"/>
        <v>3512905.4256876446</v>
      </c>
    </row>
    <row r="20" spans="1:12" ht="13.95" customHeight="1">
      <c r="A20" s="11">
        <f t="shared" si="0"/>
        <v>6</v>
      </c>
      <c r="B20" s="9" t="s">
        <v>34</v>
      </c>
      <c r="C20" s="9" t="s">
        <v>26</v>
      </c>
      <c r="D20" s="9" t="s">
        <v>35</v>
      </c>
      <c r="E20" s="22">
        <v>246668</v>
      </c>
      <c r="F20" s="17">
        <f t="shared" si="1"/>
        <v>13.334442070434338</v>
      </c>
      <c r="G20" s="14">
        <f t="shared" si="2"/>
        <v>3289180.1566298972</v>
      </c>
      <c r="H20" s="19">
        <f t="shared" si="3"/>
        <v>3.9254703616388997E-2</v>
      </c>
      <c r="I20" s="37">
        <v>1</v>
      </c>
      <c r="J20" s="37"/>
      <c r="K20" s="16">
        <f t="shared" si="4"/>
        <v>3289180.1566298972</v>
      </c>
      <c r="L20" s="16">
        <f t="shared" si="5"/>
        <v>0</v>
      </c>
    </row>
    <row r="21" spans="1:12" ht="13.95" customHeight="1">
      <c r="A21" s="11">
        <f t="shared" si="0"/>
        <v>7</v>
      </c>
      <c r="B21" s="9" t="s">
        <v>33</v>
      </c>
      <c r="C21" s="9" t="s">
        <v>26</v>
      </c>
      <c r="D21" s="9" t="s">
        <v>31</v>
      </c>
      <c r="E21" s="22">
        <v>236366</v>
      </c>
      <c r="F21" s="17">
        <f t="shared" si="1"/>
        <v>13.334442070434338</v>
      </c>
      <c r="G21" s="14">
        <f t="shared" si="2"/>
        <v>3151808.7344202828</v>
      </c>
      <c r="H21" s="19">
        <f t="shared" si="3"/>
        <v>3.7615245086478191E-2</v>
      </c>
      <c r="I21" s="37">
        <v>0.5</v>
      </c>
      <c r="J21" s="37">
        <v>0.5</v>
      </c>
      <c r="K21" s="16">
        <f t="shared" si="4"/>
        <v>1575904.3672101414</v>
      </c>
      <c r="L21" s="16">
        <f t="shared" si="5"/>
        <v>1575904.3672101414</v>
      </c>
    </row>
    <row r="22" spans="1:12" ht="13.95" customHeight="1">
      <c r="A22" s="11">
        <f t="shared" si="0"/>
        <v>8</v>
      </c>
      <c r="B22" s="9" t="s">
        <v>27</v>
      </c>
      <c r="C22" s="9" t="s">
        <v>24</v>
      </c>
      <c r="D22" s="9" t="s">
        <v>22</v>
      </c>
      <c r="E22" s="22">
        <v>185456</v>
      </c>
      <c r="F22" s="17">
        <f t="shared" si="1"/>
        <v>13.334442070434338</v>
      </c>
      <c r="G22" s="14">
        <f t="shared" si="2"/>
        <v>2472952.2886144705</v>
      </c>
      <c r="H22" s="19">
        <f t="shared" si="3"/>
        <v>2.9513436334996992E-2</v>
      </c>
      <c r="I22" s="37">
        <v>0.5</v>
      </c>
      <c r="J22" s="37">
        <v>0.5</v>
      </c>
      <c r="K22" s="16">
        <f t="shared" si="4"/>
        <v>1236476.1443072353</v>
      </c>
      <c r="L22" s="16">
        <f t="shared" si="5"/>
        <v>1236476.1443072353</v>
      </c>
    </row>
    <row r="23" spans="1:12" ht="13.95" customHeight="1">
      <c r="A23" s="11">
        <f t="shared" si="0"/>
        <v>9</v>
      </c>
      <c r="B23" s="9" t="s">
        <v>38</v>
      </c>
      <c r="C23" s="9" t="s">
        <v>26</v>
      </c>
      <c r="D23" s="9" t="s">
        <v>22</v>
      </c>
      <c r="E23" s="22">
        <v>148915</v>
      </c>
      <c r="F23" s="17">
        <f t="shared" si="1"/>
        <v>13.334442070434338</v>
      </c>
      <c r="G23" s="14">
        <f t="shared" si="2"/>
        <v>1985698.4409187294</v>
      </c>
      <c r="H23" s="19">
        <f t="shared" si="3"/>
        <v>2.3698307802530395E-2</v>
      </c>
      <c r="I23" s="37"/>
      <c r="J23" s="37">
        <v>1</v>
      </c>
      <c r="K23" s="16">
        <f t="shared" si="4"/>
        <v>0</v>
      </c>
      <c r="L23" s="16">
        <f t="shared" si="5"/>
        <v>1985698.4409187294</v>
      </c>
    </row>
    <row r="24" spans="1:12" ht="13.95" customHeight="1">
      <c r="A24" s="11">
        <f t="shared" si="0"/>
        <v>10</v>
      </c>
      <c r="B24" s="9" t="s">
        <v>39</v>
      </c>
      <c r="C24" s="9" t="s">
        <v>24</v>
      </c>
      <c r="D24" s="9" t="s">
        <v>22</v>
      </c>
      <c r="E24" s="22">
        <v>143075</v>
      </c>
      <c r="F24" s="17">
        <f t="shared" si="1"/>
        <v>13.334442070434338</v>
      </c>
      <c r="G24" s="14">
        <f t="shared" si="2"/>
        <v>1907825.299227393</v>
      </c>
      <c r="H24" s="19">
        <f t="shared" si="3"/>
        <v>2.2768931194621339E-2</v>
      </c>
      <c r="I24" s="37"/>
      <c r="J24" s="37">
        <v>1</v>
      </c>
      <c r="K24" s="16">
        <f t="shared" si="4"/>
        <v>0</v>
      </c>
      <c r="L24" s="16">
        <f t="shared" si="5"/>
        <v>1907825.299227393</v>
      </c>
    </row>
    <row r="25" spans="1:12" ht="13.95" customHeight="1">
      <c r="A25" s="11">
        <f t="shared" si="0"/>
        <v>11</v>
      </c>
      <c r="B25" s="9" t="s">
        <v>30</v>
      </c>
      <c r="C25" s="9" t="s">
        <v>26</v>
      </c>
      <c r="D25" s="9" t="s">
        <v>31</v>
      </c>
      <c r="E25" s="22">
        <v>9144</v>
      </c>
      <c r="F25" s="17">
        <f t="shared" si="1"/>
        <v>13.334442070434338</v>
      </c>
      <c r="G25" s="14">
        <f t="shared" si="2"/>
        <v>121930.13829205159</v>
      </c>
      <c r="H25" s="19">
        <f t="shared" si="3"/>
        <v>1.4551746066302116E-3</v>
      </c>
      <c r="I25" s="37">
        <v>1</v>
      </c>
      <c r="J25" s="37"/>
      <c r="K25" s="16">
        <f t="shared" si="4"/>
        <v>121930.13829205159</v>
      </c>
      <c r="L25" s="16">
        <f t="shared" si="5"/>
        <v>0</v>
      </c>
    </row>
    <row r="26" spans="1:12" ht="13.95" customHeight="1">
      <c r="A26" s="11" t="str">
        <f t="shared" si="0"/>
        <v/>
      </c>
      <c r="B26" s="9" t="s">
        <v>28</v>
      </c>
      <c r="C26" s="9" t="s">
        <v>26</v>
      </c>
      <c r="D26" s="9" t="s">
        <v>22</v>
      </c>
      <c r="E26" s="22">
        <v>0</v>
      </c>
      <c r="F26" s="17">
        <f t="shared" si="1"/>
        <v>13.334442070434338</v>
      </c>
      <c r="G26" s="14">
        <f t="shared" si="2"/>
        <v>0</v>
      </c>
      <c r="H26" s="19">
        <f t="shared" si="3"/>
        <v>0</v>
      </c>
      <c r="I26" s="37">
        <v>0.5</v>
      </c>
      <c r="J26" s="37">
        <v>0.5</v>
      </c>
      <c r="K26" s="16">
        <f t="shared" si="4"/>
        <v>0</v>
      </c>
      <c r="L26" s="16">
        <f t="shared" si="5"/>
        <v>0</v>
      </c>
    </row>
    <row r="27" spans="1:12" ht="13.95" customHeight="1">
      <c r="A27" s="12" t="str">
        <f t="shared" si="0"/>
        <v/>
      </c>
      <c r="B27" s="10" t="s">
        <v>36</v>
      </c>
      <c r="C27" s="10" t="s">
        <v>24</v>
      </c>
      <c r="D27" s="9" t="s">
        <v>22</v>
      </c>
      <c r="E27" s="23">
        <v>0</v>
      </c>
      <c r="F27" s="18">
        <f t="shared" si="1"/>
        <v>13.334442070434338</v>
      </c>
      <c r="G27" s="15">
        <f t="shared" si="2"/>
        <v>0</v>
      </c>
      <c r="H27" s="20">
        <f t="shared" si="3"/>
        <v>0</v>
      </c>
      <c r="I27" s="37">
        <v>1</v>
      </c>
      <c r="J27" s="37"/>
      <c r="K27" s="16">
        <f t="shared" si="4"/>
        <v>0</v>
      </c>
      <c r="L27" s="16">
        <f t="shared" si="5"/>
        <v>0</v>
      </c>
    </row>
    <row r="28" spans="1:12" ht="13.95" customHeight="1">
      <c r="A28" s="8"/>
      <c r="B28" s="8" t="s">
        <v>40</v>
      </c>
      <c r="C28" s="8"/>
      <c r="D28" s="8"/>
      <c r="E28" s="16">
        <f>SUM(E15:E27)</f>
        <v>6283782</v>
      </c>
      <c r="F28" s="13"/>
      <c r="G28" s="16">
        <f>SUM(G15:G27)</f>
        <v>83790727.062237993</v>
      </c>
      <c r="H28" s="21">
        <f>SUM(H15:H27)</f>
        <v>1.0000000000000002</v>
      </c>
      <c r="I28" s="36"/>
      <c r="J28" s="36"/>
      <c r="K28" s="16">
        <f>SUM(K15:K27)</f>
        <v>43083367.911744848</v>
      </c>
      <c r="L28" s="16">
        <f t="shared" ref="L28" si="6">SUM(L15:L27)</f>
        <v>40707359.150493167</v>
      </c>
    </row>
    <row r="31" spans="1:12" ht="13.95" customHeight="1">
      <c r="A31" s="38"/>
      <c r="B31" s="38"/>
      <c r="C31" s="38"/>
      <c r="D31" s="38"/>
      <c r="E31" s="38"/>
      <c r="F31" s="38"/>
      <c r="G31" s="38"/>
      <c r="H31" s="38"/>
    </row>
    <row r="32" spans="1:12" ht="13.95" customHeight="1">
      <c r="A32" s="38"/>
      <c r="B32" s="38"/>
      <c r="C32" s="38"/>
      <c r="D32" s="38"/>
      <c r="E32" s="38"/>
      <c r="F32" s="38"/>
      <c r="G32" s="38"/>
      <c r="H32" s="38"/>
    </row>
    <row r="33" spans="2:3">
      <c r="B33" s="34" t="s">
        <v>62</v>
      </c>
    </row>
    <row r="34" spans="2:3">
      <c r="B34" t="s">
        <v>59</v>
      </c>
      <c r="C34" s="33">
        <f>L28/G28</f>
        <v>0.48582176784617942</v>
      </c>
    </row>
    <row r="35" spans="2:3">
      <c r="B35" t="s">
        <v>60</v>
      </c>
      <c r="C35" s="33">
        <f>1-C34</f>
        <v>0.51417823215382064</v>
      </c>
    </row>
    <row r="36" spans="2:3">
      <c r="C36" s="33">
        <f>SUM(C31:C35)</f>
        <v>1</v>
      </c>
    </row>
    <row r="37" spans="2:3">
      <c r="B37" s="34" t="s">
        <v>61</v>
      </c>
    </row>
    <row r="38" spans="2:3">
      <c r="B38" t="s">
        <v>63</v>
      </c>
      <c r="C38" s="33">
        <f>H15</f>
        <v>0.25674092449419805</v>
      </c>
    </row>
    <row r="39" spans="2:3">
      <c r="B39" t="s">
        <v>22</v>
      </c>
      <c r="C39" s="33">
        <f>H16+H17+H18+H19+H21+H22+H23+H26</f>
        <v>0.67978026608816189</v>
      </c>
    </row>
    <row r="40" spans="2:3">
      <c r="B40" t="s">
        <v>31</v>
      </c>
      <c r="C40" s="33">
        <f>H24+H25</f>
        <v>2.422410580125155E-2</v>
      </c>
    </row>
    <row r="41" spans="2:3">
      <c r="B41" t="s">
        <v>35</v>
      </c>
      <c r="C41" s="33">
        <f>H20</f>
        <v>3.9254703616388997E-2</v>
      </c>
    </row>
    <row r="42" spans="2:3">
      <c r="B42" t="s">
        <v>64</v>
      </c>
      <c r="C42" s="33">
        <f>H27</f>
        <v>0</v>
      </c>
    </row>
    <row r="43" spans="2:3">
      <c r="C43" s="33">
        <f>SUM(C38:C42)</f>
        <v>1.0000000000000004</v>
      </c>
    </row>
  </sheetData>
  <mergeCells count="18">
    <mergeCell ref="A1:H1"/>
    <mergeCell ref="A2:H2"/>
    <mergeCell ref="D4:H4"/>
    <mergeCell ref="D5:H5"/>
    <mergeCell ref="D6:H6"/>
    <mergeCell ref="A32:H32"/>
    <mergeCell ref="A4:C4"/>
    <mergeCell ref="A5:B5"/>
    <mergeCell ref="A6:B6"/>
    <mergeCell ref="A7:B7"/>
    <mergeCell ref="A8:B8"/>
    <mergeCell ref="A9:B9"/>
    <mergeCell ref="A10:B10"/>
    <mergeCell ref="D7:H7"/>
    <mergeCell ref="D8:H8"/>
    <mergeCell ref="D9:H9"/>
    <mergeCell ref="D10:H10"/>
    <mergeCell ref="A31:H31"/>
  </mergeCells>
  <conditionalFormatting sqref="H15:H27">
    <cfRule type="dataBar" priority="1">
      <dataBar>
        <cfvo type="min"/>
        <cfvo type="max"/>
        <color rgb="FF3EC6AC"/>
      </dataBar>
    </cfRule>
    <cfRule type="dataBar" priority="2">
      <dataBar>
        <cfvo type="min"/>
        <cfvo type="max"/>
        <color rgb="FF3EC6AC"/>
      </dataBar>
    </cfRule>
    <cfRule type="dataBar" priority="3">
      <dataBar>
        <cfvo type="min"/>
        <cfvo type="max"/>
        <color rgb="FF3EC6AC"/>
      </dataBar>
      <extLst>
        <ext xmlns:x14="http://schemas.microsoft.com/office/spreadsheetml/2009/9/main" uri="{B025F937-C7B1-47D3-B67F-A62EFF666E3E}">
          <x14:id>{68FFC0E9-4364-6FFC-80E5-7306BBA1F6CF}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FFC0E9-4364-6FFC-80E5-7306BBA1F6CF}">
            <x14:dataBar>
              <x14:cfvo type="min"/>
              <x14:cfvo type="max"/>
              <x14:negativeFillColor auto="1"/>
              <x14:axisColor auto="1"/>
            </x14:dataBar>
          </x14:cfRule>
          <xm:sqref>H15:H27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2025-2026</vt:lpstr>
      <vt:lpstr>2024-2025</vt:lpstr>
      <vt:lpstr>2023-2024</vt:lpstr>
      <vt:lpstr>2022-2023</vt:lpstr>
      <vt:lpstr>2021-2022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Rodriguez Allca</cp:lastModifiedBy>
  <dcterms:created xsi:type="dcterms:W3CDTF">2026-07-14T07:25:35Z</dcterms:created>
  <dcterms:modified xsi:type="dcterms:W3CDTF">2026-07-16T05:17:20Z</dcterms:modified>
</cp:coreProperties>
</file>