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rodriguez\Desktop\Directorio J\"/>
    </mc:Choice>
  </mc:AlternateContent>
  <xr:revisionPtr revIDLastSave="0" documentId="13_ncr:1_{5AE34C30-4AC1-4D8D-98BD-8A9235F5616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Data Cruda" sheetId="1" r:id="rId1"/>
    <sheet name="OO.CC Y EEMM" sheetId="11" r:id="rId2"/>
    <sheet name="1. Ventas Anuales" sheetId="3" r:id="rId3"/>
    <sheet name="2. Análisis Anual" sheetId="4" r:id="rId4"/>
    <sheet name="3. Clientes 2025-2026" sheetId="5" r:id="rId5"/>
    <sheet name="4. Top Clientes" sheetId="6" r:id="rId6"/>
    <sheet name="5. Categorías Monto" sheetId="7" r:id="rId7"/>
    <sheet name="6. Segmentación Cartera" sheetId="8" r:id="rId8"/>
    <sheet name="7. Análisis por Zona" sheetId="9" r:id="rId9"/>
    <sheet name="8. Estacionalidad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1051" i="1" l="1"/>
  <c r="P1084" i="1"/>
  <c r="P1177" i="1"/>
  <c r="P1623" i="1"/>
  <c r="P1649" i="1"/>
  <c r="P1656" i="1"/>
  <c r="P1659" i="1"/>
  <c r="P1660" i="1"/>
  <c r="P1661" i="1"/>
  <c r="P1670" i="1"/>
  <c r="P1678" i="1"/>
  <c r="P1691" i="1"/>
  <c r="P1696" i="1"/>
  <c r="P1711" i="1"/>
  <c r="P1715" i="1"/>
  <c r="P1761" i="1"/>
  <c r="P1764" i="1"/>
  <c r="P1774" i="1"/>
  <c r="P1787" i="1"/>
  <c r="P1790" i="1"/>
  <c r="J30" i="4" l="1"/>
  <c r="J31" i="4"/>
  <c r="J32" i="4"/>
  <c r="J33" i="4"/>
  <c r="J34" i="4"/>
  <c r="J29" i="4"/>
  <c r="E5" i="4"/>
  <c r="E6" i="4"/>
  <c r="E7" i="4"/>
  <c r="E8" i="4"/>
  <c r="E9" i="4"/>
  <c r="E4" i="4"/>
  <c r="D5" i="4"/>
  <c r="D6" i="4"/>
  <c r="D7" i="4"/>
  <c r="D8" i="4"/>
  <c r="D9" i="4"/>
  <c r="D4" i="4"/>
  <c r="C4" i="4"/>
  <c r="C5" i="4"/>
  <c r="C6" i="4"/>
  <c r="C7" i="4"/>
  <c r="C8" i="4"/>
  <c r="C9" i="4"/>
  <c r="C21" i="4"/>
  <c r="P1803" i="1"/>
  <c r="K1803" i="1"/>
  <c r="K1805" i="1" s="1"/>
  <c r="N43" i="3"/>
  <c r="N44" i="3" s="1"/>
  <c r="L17" i="10"/>
  <c r="K17" i="10"/>
  <c r="M10" i="10"/>
  <c r="M17" i="10" s="1"/>
  <c r="L10" i="10"/>
  <c r="K10" i="10"/>
  <c r="J10" i="10"/>
  <c r="J17" i="10" s="1"/>
  <c r="I10" i="10"/>
  <c r="I17" i="10" s="1"/>
  <c r="H10" i="10"/>
  <c r="H17" i="10" s="1"/>
  <c r="G10" i="10"/>
  <c r="G17" i="10" s="1"/>
  <c r="F10" i="10"/>
  <c r="F17" i="10" s="1"/>
  <c r="E10" i="10"/>
  <c r="E17" i="10" s="1"/>
  <c r="D10" i="10"/>
  <c r="D17" i="10" s="1"/>
  <c r="C10" i="10"/>
  <c r="C17" i="10" s="1"/>
  <c r="B10" i="10"/>
  <c r="B17" i="10" s="1"/>
  <c r="N61" i="9"/>
  <c r="M61" i="9"/>
  <c r="L61" i="9"/>
  <c r="K61" i="9"/>
  <c r="J61" i="9"/>
  <c r="I61" i="9"/>
  <c r="H61" i="9"/>
  <c r="G61" i="9"/>
  <c r="F61" i="9"/>
  <c r="E61" i="9"/>
  <c r="D61" i="9"/>
  <c r="C61" i="9"/>
  <c r="O61" i="9" s="1"/>
  <c r="O60" i="9"/>
  <c r="O59" i="9"/>
  <c r="O58" i="9"/>
  <c r="N56" i="9"/>
  <c r="M56" i="9"/>
  <c r="L56" i="9"/>
  <c r="K56" i="9"/>
  <c r="J56" i="9"/>
  <c r="I56" i="9"/>
  <c r="H56" i="9"/>
  <c r="G56" i="9"/>
  <c r="F56" i="9"/>
  <c r="E56" i="9"/>
  <c r="D56" i="9"/>
  <c r="C56" i="9"/>
  <c r="C57" i="9" s="1"/>
  <c r="D57" i="9" s="1"/>
  <c r="E57" i="9" s="1"/>
  <c r="F57" i="9" s="1"/>
  <c r="G57" i="9" s="1"/>
  <c r="H57" i="9" s="1"/>
  <c r="I57" i="9" s="1"/>
  <c r="J57" i="9" s="1"/>
  <c r="K57" i="9" s="1"/>
  <c r="L57" i="9" s="1"/>
  <c r="M57" i="9" s="1"/>
  <c r="N57" i="9" s="1"/>
  <c r="O57" i="9" s="1"/>
  <c r="O55" i="9"/>
  <c r="O54" i="9"/>
  <c r="O53" i="9"/>
  <c r="N51" i="9"/>
  <c r="M51" i="9"/>
  <c r="L51" i="9"/>
  <c r="K51" i="9"/>
  <c r="J51" i="9"/>
  <c r="I51" i="9"/>
  <c r="H51" i="9"/>
  <c r="G51" i="9"/>
  <c r="F51" i="9"/>
  <c r="E51" i="9"/>
  <c r="D51" i="9"/>
  <c r="O51" i="9" s="1"/>
  <c r="C51" i="9"/>
  <c r="C52" i="9" s="1"/>
  <c r="O50" i="9"/>
  <c r="O49" i="9"/>
  <c r="O48" i="9"/>
  <c r="C47" i="9"/>
  <c r="D47" i="9" s="1"/>
  <c r="E47" i="9" s="1"/>
  <c r="N46" i="9"/>
  <c r="M46" i="9"/>
  <c r="L46" i="9"/>
  <c r="K46" i="9"/>
  <c r="J46" i="9"/>
  <c r="I46" i="9"/>
  <c r="H46" i="9"/>
  <c r="G46" i="9"/>
  <c r="F46" i="9"/>
  <c r="E46" i="9"/>
  <c r="D46" i="9"/>
  <c r="C46" i="9"/>
  <c r="O45" i="9"/>
  <c r="O44" i="9"/>
  <c r="O43" i="9"/>
  <c r="N41" i="9"/>
  <c r="M41" i="9"/>
  <c r="L41" i="9"/>
  <c r="K41" i="9"/>
  <c r="J41" i="9"/>
  <c r="I41" i="9"/>
  <c r="H41" i="9"/>
  <c r="G41" i="9"/>
  <c r="F41" i="9"/>
  <c r="E41" i="9"/>
  <c r="D41" i="9"/>
  <c r="C41" i="9"/>
  <c r="C42" i="9" s="1"/>
  <c r="D42" i="9" s="1"/>
  <c r="E42" i="9" s="1"/>
  <c r="F42" i="9" s="1"/>
  <c r="O40" i="9"/>
  <c r="O39" i="9"/>
  <c r="O38" i="9"/>
  <c r="N36" i="9"/>
  <c r="M36" i="9"/>
  <c r="L36" i="9"/>
  <c r="K36" i="9"/>
  <c r="J36" i="9"/>
  <c r="I36" i="9"/>
  <c r="H36" i="9"/>
  <c r="G36" i="9"/>
  <c r="F36" i="9"/>
  <c r="E36" i="9"/>
  <c r="D36" i="9"/>
  <c r="C36" i="9"/>
  <c r="O35" i="9"/>
  <c r="O34" i="9"/>
  <c r="O33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E8" i="8"/>
  <c r="E7" i="8"/>
  <c r="E6" i="8"/>
  <c r="E5" i="8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I22" i="4"/>
  <c r="F22" i="4"/>
  <c r="C22" i="4"/>
  <c r="I21" i="4"/>
  <c r="F21" i="4"/>
  <c r="I20" i="4"/>
  <c r="F20" i="4"/>
  <c r="C20" i="4"/>
  <c r="I19" i="4"/>
  <c r="F19" i="4"/>
  <c r="C19" i="4"/>
  <c r="I18" i="4"/>
  <c r="F18" i="4"/>
  <c r="C18" i="4"/>
  <c r="I17" i="4"/>
  <c r="F17" i="4"/>
  <c r="C17" i="4"/>
  <c r="I16" i="4"/>
  <c r="F16" i="4"/>
  <c r="C16" i="4"/>
  <c r="G44" i="3"/>
  <c r="F44" i="3"/>
  <c r="E44" i="3"/>
  <c r="D44" i="3"/>
  <c r="C44" i="3"/>
  <c r="B44" i="3"/>
  <c r="M43" i="3"/>
  <c r="L43" i="3"/>
  <c r="K43" i="3"/>
  <c r="J43" i="3"/>
  <c r="I43" i="3"/>
  <c r="H43" i="3"/>
  <c r="G43" i="3"/>
  <c r="F43" i="3"/>
  <c r="E43" i="3"/>
  <c r="D43" i="3"/>
  <c r="C43" i="3"/>
  <c r="B43" i="3"/>
  <c r="M41" i="3"/>
  <c r="L41" i="3"/>
  <c r="K41" i="3"/>
  <c r="J41" i="3"/>
  <c r="I41" i="3"/>
  <c r="H41" i="3"/>
  <c r="G41" i="3"/>
  <c r="F41" i="3"/>
  <c r="E41" i="3"/>
  <c r="D41" i="3"/>
  <c r="C41" i="3"/>
  <c r="B41" i="3"/>
  <c r="N40" i="3"/>
  <c r="N41" i="3" s="1"/>
  <c r="M40" i="3"/>
  <c r="L40" i="3"/>
  <c r="K40" i="3"/>
  <c r="J40" i="3"/>
  <c r="I40" i="3"/>
  <c r="H40" i="3"/>
  <c r="G40" i="3"/>
  <c r="F40" i="3"/>
  <c r="E40" i="3"/>
  <c r="D40" i="3"/>
  <c r="C40" i="3"/>
  <c r="B40" i="3"/>
  <c r="M38" i="3"/>
  <c r="L38" i="3"/>
  <c r="K38" i="3"/>
  <c r="J38" i="3"/>
  <c r="I38" i="3"/>
  <c r="H38" i="3"/>
  <c r="G38" i="3"/>
  <c r="F38" i="3"/>
  <c r="E38" i="3"/>
  <c r="D38" i="3"/>
  <c r="C38" i="3"/>
  <c r="B38" i="3"/>
  <c r="N37" i="3"/>
  <c r="N38" i="3" s="1"/>
  <c r="M37" i="3"/>
  <c r="L37" i="3"/>
  <c r="K37" i="3"/>
  <c r="J37" i="3"/>
  <c r="I37" i="3"/>
  <c r="H37" i="3"/>
  <c r="G37" i="3"/>
  <c r="F37" i="3"/>
  <c r="E37" i="3"/>
  <c r="D37" i="3"/>
  <c r="C37" i="3"/>
  <c r="B37" i="3"/>
  <c r="M35" i="3"/>
  <c r="L35" i="3"/>
  <c r="K35" i="3"/>
  <c r="J35" i="3"/>
  <c r="I35" i="3"/>
  <c r="H35" i="3"/>
  <c r="G35" i="3"/>
  <c r="F35" i="3"/>
  <c r="E35" i="3"/>
  <c r="D35" i="3"/>
  <c r="C35" i="3"/>
  <c r="B35" i="3"/>
  <c r="N34" i="3"/>
  <c r="N35" i="3" s="1"/>
  <c r="M34" i="3"/>
  <c r="L34" i="3"/>
  <c r="K34" i="3"/>
  <c r="J34" i="3"/>
  <c r="I34" i="3"/>
  <c r="H34" i="3"/>
  <c r="G34" i="3"/>
  <c r="F34" i="3"/>
  <c r="E34" i="3"/>
  <c r="D34" i="3"/>
  <c r="C34" i="3"/>
  <c r="B34" i="3"/>
  <c r="M32" i="3"/>
  <c r="L32" i="3"/>
  <c r="K32" i="3"/>
  <c r="J32" i="3"/>
  <c r="I32" i="3"/>
  <c r="H32" i="3"/>
  <c r="G32" i="3"/>
  <c r="F32" i="3"/>
  <c r="E32" i="3"/>
  <c r="D32" i="3"/>
  <c r="C32" i="3"/>
  <c r="B32" i="3"/>
  <c r="N31" i="3"/>
  <c r="N32" i="3" s="1"/>
  <c r="M31" i="3"/>
  <c r="L31" i="3"/>
  <c r="K31" i="3"/>
  <c r="J31" i="3"/>
  <c r="I31" i="3"/>
  <c r="H31" i="3"/>
  <c r="G31" i="3"/>
  <c r="F31" i="3"/>
  <c r="E31" i="3"/>
  <c r="D31" i="3"/>
  <c r="C31" i="3"/>
  <c r="B31" i="3"/>
  <c r="M29" i="3"/>
  <c r="L29" i="3"/>
  <c r="K29" i="3"/>
  <c r="J29" i="3"/>
  <c r="I29" i="3"/>
  <c r="H29" i="3"/>
  <c r="G29" i="3"/>
  <c r="F29" i="3"/>
  <c r="E29" i="3"/>
  <c r="D29" i="3"/>
  <c r="C29" i="3"/>
  <c r="B29" i="3"/>
  <c r="N28" i="3"/>
  <c r="N29" i="3" s="1"/>
  <c r="M28" i="3"/>
  <c r="L28" i="3"/>
  <c r="K28" i="3"/>
  <c r="J28" i="3"/>
  <c r="I28" i="3"/>
  <c r="H28" i="3"/>
  <c r="G28" i="3"/>
  <c r="F28" i="3"/>
  <c r="E28" i="3"/>
  <c r="D28" i="3"/>
  <c r="C28" i="3"/>
  <c r="B28" i="3"/>
  <c r="M22" i="3"/>
  <c r="L22" i="3"/>
  <c r="K22" i="3"/>
  <c r="J22" i="3"/>
  <c r="I22" i="3"/>
  <c r="H22" i="3"/>
  <c r="G22" i="3"/>
  <c r="N22" i="3" s="1"/>
  <c r="F22" i="3"/>
  <c r="E22" i="3"/>
  <c r="D22" i="3"/>
  <c r="C22" i="3"/>
  <c r="B22" i="3"/>
  <c r="B20" i="3"/>
  <c r="C20" i="3" s="1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N19" i="3"/>
  <c r="B17" i="3"/>
  <c r="C17" i="3" s="1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N16" i="3"/>
  <c r="B14" i="3"/>
  <c r="C14" i="3" s="1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N13" i="3"/>
  <c r="B11" i="3"/>
  <c r="C11" i="3" s="1"/>
  <c r="D11" i="3" s="1"/>
  <c r="E11" i="3" s="1"/>
  <c r="F11" i="3" s="1"/>
  <c r="G11" i="3" s="1"/>
  <c r="H11" i="3" s="1"/>
  <c r="I11" i="3" s="1"/>
  <c r="J11" i="3" s="1"/>
  <c r="K11" i="3" s="1"/>
  <c r="L11" i="3" s="1"/>
  <c r="M11" i="3" s="1"/>
  <c r="N11" i="3" s="1"/>
  <c r="N10" i="3"/>
  <c r="B8" i="3"/>
  <c r="C8" i="3" s="1"/>
  <c r="D8" i="3" s="1"/>
  <c r="E8" i="3" s="1"/>
  <c r="F8" i="3" s="1"/>
  <c r="G8" i="3" s="1"/>
  <c r="H8" i="3" s="1"/>
  <c r="I8" i="3" s="1"/>
  <c r="J8" i="3" s="1"/>
  <c r="K8" i="3" s="1"/>
  <c r="L8" i="3" s="1"/>
  <c r="M8" i="3" s="1"/>
  <c r="N8" i="3" s="1"/>
  <c r="N7" i="3"/>
  <c r="B5" i="3"/>
  <c r="C5" i="3" s="1"/>
  <c r="D5" i="3" s="1"/>
  <c r="E5" i="3" s="1"/>
  <c r="F5" i="3" s="1"/>
  <c r="G5" i="3" s="1"/>
  <c r="H5" i="3" s="1"/>
  <c r="I5" i="3" s="1"/>
  <c r="J5" i="3" s="1"/>
  <c r="K5" i="3" s="1"/>
  <c r="L5" i="3" s="1"/>
  <c r="M5" i="3" s="1"/>
  <c r="N5" i="3" s="1"/>
  <c r="N4" i="3"/>
  <c r="O1803" i="1" l="1"/>
  <c r="F47" i="9"/>
  <c r="G47" i="9" s="1"/>
  <c r="H47" i="9" s="1"/>
  <c r="I47" i="9" s="1"/>
  <c r="J47" i="9" s="1"/>
  <c r="K47" i="9" s="1"/>
  <c r="L47" i="9" s="1"/>
  <c r="M47" i="9" s="1"/>
  <c r="N47" i="9" s="1"/>
  <c r="O47" i="9" s="1"/>
  <c r="G42" i="9"/>
  <c r="H42" i="9" s="1"/>
  <c r="I42" i="9" s="1"/>
  <c r="J42" i="9" s="1"/>
  <c r="K42" i="9" s="1"/>
  <c r="L42" i="9" s="1"/>
  <c r="M42" i="9" s="1"/>
  <c r="N42" i="9" s="1"/>
  <c r="O42" i="9" s="1"/>
  <c r="O36" i="9"/>
  <c r="O46" i="9"/>
  <c r="D52" i="9"/>
  <c r="E52" i="9" s="1"/>
  <c r="F52" i="9" s="1"/>
  <c r="G52" i="9" s="1"/>
  <c r="H52" i="9" s="1"/>
  <c r="I52" i="9" s="1"/>
  <c r="J52" i="9" s="1"/>
  <c r="K52" i="9" s="1"/>
  <c r="L52" i="9" s="1"/>
  <c r="M52" i="9" s="1"/>
  <c r="N52" i="9" s="1"/>
  <c r="O52" i="9" s="1"/>
  <c r="C62" i="9"/>
  <c r="D62" i="9" s="1"/>
  <c r="E62" i="9" s="1"/>
  <c r="F62" i="9" s="1"/>
  <c r="G62" i="9" s="1"/>
  <c r="H62" i="9" s="1"/>
  <c r="I62" i="9" s="1"/>
  <c r="J62" i="9" s="1"/>
  <c r="K62" i="9" s="1"/>
  <c r="L62" i="9" s="1"/>
  <c r="M62" i="9" s="1"/>
  <c r="N62" i="9" s="1"/>
  <c r="O62" i="9" s="1"/>
  <c r="E4" i="7"/>
  <c r="E5" i="7"/>
  <c r="E6" i="7"/>
  <c r="C37" i="9"/>
  <c r="D37" i="9" s="1"/>
  <c r="E37" i="9" s="1"/>
  <c r="F37" i="9" s="1"/>
  <c r="G37" i="9" s="1"/>
  <c r="H37" i="9" s="1"/>
  <c r="I37" i="9" s="1"/>
  <c r="J37" i="9" s="1"/>
  <c r="K37" i="9" s="1"/>
  <c r="L37" i="9" s="1"/>
  <c r="M37" i="9" s="1"/>
  <c r="N37" i="9" s="1"/>
  <c r="O37" i="9" s="1"/>
  <c r="O41" i="9"/>
  <c r="O56" i="9"/>
  <c r="E7" i="7"/>
</calcChain>
</file>

<file path=xl/sharedStrings.xml><?xml version="1.0" encoding="utf-8"?>
<sst xmlns="http://schemas.openxmlformats.org/spreadsheetml/2006/main" count="16464" uniqueCount="2071">
  <si>
    <t>Año</t>
  </si>
  <si>
    <t>Fecha</t>
  </si>
  <si>
    <t>Mes</t>
  </si>
  <si>
    <t>Cliente</t>
  </si>
  <si>
    <t>Descripción</t>
  </si>
  <si>
    <t>PAÍS</t>
  </si>
  <si>
    <t>ZONA</t>
  </si>
  <si>
    <t>DEPARTAMENTO</t>
  </si>
  <si>
    <t>Sector</t>
  </si>
  <si>
    <t>Refrigerante</t>
  </si>
  <si>
    <t>Importe total</t>
  </si>
  <si>
    <t>TIPO DE PROYECTO</t>
  </si>
  <si>
    <t>CODIGO PROYECTO</t>
  </si>
  <si>
    <t>Columna1</t>
  </si>
  <si>
    <t>Margen Comercial</t>
  </si>
  <si>
    <t>MARGEN COMERCIAL2</t>
  </si>
  <si>
    <t>Descripción2</t>
  </si>
  <si>
    <t>Enero</t>
  </si>
  <si>
    <t>REFRINDUS EIRL</t>
  </si>
  <si>
    <t>- BOTELLAS DE REFRIGERANTE</t>
  </si>
  <si>
    <t>PERÚ</t>
  </si>
  <si>
    <t>SUR</t>
  </si>
  <si>
    <t>ICA</t>
  </si>
  <si>
    <t>OTROS</t>
  </si>
  <si>
    <t>Glicol</t>
  </si>
  <si>
    <t>METALMECANICA PAV E.I.R.L.</t>
  </si>
  <si>
    <t>- DILUYENTE JETPOXY 100,  JET 70MP BLANCO HR (A+ B</t>
  </si>
  <si>
    <t>Venta directa</t>
  </si>
  <si>
    <t>AGRICOLA CHAPI SA</t>
  </si>
  <si>
    <t>- 2  PARES DE RESISTENCIA ELECTRICA DE BANDEJA DE</t>
  </si>
  <si>
    <t>SUN FRUITS EXPORTS S.A.</t>
  </si>
  <si>
    <t>- OF 0105PRESOSTATO DE BAJA KP1A, CON RESET AUTOM</t>
  </si>
  <si>
    <t>RVR AGRO E.I.R.L.</t>
  </si>
  <si>
    <t>- OF 0102RESISTENCIAS PARA EVAPORADOR, DE ACERO I</t>
  </si>
  <si>
    <t>EMPACADORA Y PROCESADORA HUAMANI SAC</t>
  </si>
  <si>
    <t>- VENTILADOR EVAPORATIVO DE 48"</t>
  </si>
  <si>
    <t>CAMPOSOL S.A.</t>
  </si>
  <si>
    <t>- OF 0471EQUIPOSMATERIALES Y MANO DE OBRA</t>
  </si>
  <si>
    <t>NORTE</t>
  </si>
  <si>
    <t>LA LIBERTAD</t>
  </si>
  <si>
    <t>CORPORACION AGROLATINA S.A.C.</t>
  </si>
  <si>
    <t>- SERVICIO DE INSTALACION DE 8 SENSORES DE TEMPERA</t>
  </si>
  <si>
    <t>- OF 0109HELICE WINGFAN DE 1035 MM. 6-9</t>
  </si>
  <si>
    <t>I Q F DEL PERU SA</t>
  </si>
  <si>
    <t>- OF 0101JUEGO DE MANIJAS PARA PUERTA CORREDERAJ</t>
  </si>
  <si>
    <t>DANPER TRUJILLO S.A.C.</t>
  </si>
  <si>
    <t>- OF 0108INSTALACION DE AIRE ACONDICIONADO EN PLA</t>
  </si>
  <si>
    <t>TAL S.A.</t>
  </si>
  <si>
    <t>- EQUIPOS DE REFRIGERACION, PANELES Y PUERTAS, INS</t>
  </si>
  <si>
    <t>PALTA</t>
  </si>
  <si>
    <t>Amoniaco</t>
  </si>
  <si>
    <t>- SUMINISTRO Y MONTAJE DE PANELES, EQUIPOS DE REFR</t>
  </si>
  <si>
    <t>- CODO DE CU DE 1 5/8'',  TUBO DE COBRE RIGIDO DE</t>
  </si>
  <si>
    <t>MANUELITA FYH S.A.C.</t>
  </si>
  <si>
    <t>- OF 0126REVISION Y RECARGA DE REFRIGERANTE PARA</t>
  </si>
  <si>
    <t>- OF 0127UNIDAD CONDENSADORA AAINSTALACION</t>
  </si>
  <si>
    <t>AGRICOLA DON RICARDO S.A.C.</t>
  </si>
  <si>
    <t>- OF 0128LAMA DE PVC PARA BAJA TEMPERATURA DE 91.</t>
  </si>
  <si>
    <t>- OF 0131SENSOR DE PINCHAR CON CORTE A 45</t>
  </si>
  <si>
    <t>AGRO-EMPAQUES SAFCO S.A.C.</t>
  </si>
  <si>
    <t>- OF 0130ZIEHL-ABEGG, THERMOFIN GMBH - VENTILADOR</t>
  </si>
  <si>
    <t>SOCIEDAD AGRICOLA DROKASA S.A.</t>
  </si>
  <si>
    <t>- GAS REFRIGERANTE R-22</t>
  </si>
  <si>
    <t>- BOTELLAS DE R404ASEGUN  GUIA 001-4789</t>
  </si>
  <si>
    <t>SOCIEDAD AGRARIA ESTANISLAO DEL CHIMU SAC</t>
  </si>
  <si>
    <t>- OF 0142SERVICIO DE CALIBRACIÓN DE LINEA SERMAC</t>
  </si>
  <si>
    <t>- BOTELLAS R22VARILLAS DE SOLDADURA AL 35%SEGUN</t>
  </si>
  <si>
    <t>AGRICOLA HOJA REDONDA S.A.</t>
  </si>
  <si>
    <t>- OF 0507 13INSTALACION DE VALVULAS DE PASO INCLU</t>
  </si>
  <si>
    <t>AGROINDUSTRIAS AIB S.A</t>
  </si>
  <si>
    <t>- OF 0146REFRIGERANTE R22 X 13.6 KG</t>
  </si>
  <si>
    <t>Febrero</t>
  </si>
  <si>
    <t>- OF 0154BUMPER PARA PUERTA DOBLE VAIVEN</t>
  </si>
  <si>
    <t>- OF 0153SERVICIO DE REPARACION, FUGA EN TUNEL DE</t>
  </si>
  <si>
    <t>AGRO VICTORIA S.A.C.</t>
  </si>
  <si>
    <t>- TUBO DE COBRE DE 1 5/8" (35 CM)</t>
  </si>
  <si>
    <t>LA PORTADA S.A.C</t>
  </si>
  <si>
    <t>- OF 0156ACCESORIOS PARA CAJA DE BORNERAS COPELAN</t>
  </si>
  <si>
    <t>UNIREF S.A.C.</t>
  </si>
  <si>
    <t>- OF 0159084B7088 EKC-316A CONTROLADOR EVAPORADOR</t>
  </si>
  <si>
    <t>- OF 0140PUERTA CORREDERA IF +0C DE 2100 X 3000 M</t>
  </si>
  <si>
    <t>SOCIEDAD AGRICOLA CAMINO S.A.C.</t>
  </si>
  <si>
    <t>- OF 0520MANTENIMIENTO GENERAL DE 6 UNIDADES DE R</t>
  </si>
  <si>
    <t>CORPORACION FRUTICOLA DE CHINCHA S.A.C.</t>
  </si>
  <si>
    <t>- PLATINA DE ALUMINIO DE 1 1/2 X 6MM X 2MM</t>
  </si>
  <si>
    <t>AGRICOLA LA VENTA S.A.</t>
  </si>
  <si>
    <t>- OF 0157ELEMENTO TERMOSTATICO TEX5BOBINA PARA S</t>
  </si>
  <si>
    <t>EMPACADORA DE FRUTOS TROPICALES S.A.C.</t>
  </si>
  <si>
    <t>- REFRIGERADORES DE AIRE DESPLAZABLE PORT A COOL D</t>
  </si>
  <si>
    <t>PIURA</t>
  </si>
  <si>
    <t>- OF 0117VALVULA DE PASO DE 1 1/8"VALVULAS DE PA</t>
  </si>
  <si>
    <t>- OF 0135CHAPA COMPLETA PARA PUERTA BATIENTEINCL</t>
  </si>
  <si>
    <t>FUNDO DOÑA PANCHA SAC</t>
  </si>
  <si>
    <t>- COMISIÓN POR SERVICIO DE DISEÑO DE SISTEMAS DE F</t>
  </si>
  <si>
    <t>- SUMINISTRO E INSTALACION DE ESTRUCTURA FN  DE EV</t>
  </si>
  <si>
    <t>- SERVICIO DE AMPLIACION DE VANO DE PUERTA ENTRE C</t>
  </si>
  <si>
    <t>- OF 0164REFRIGERANTE R22MANO DE OBRA</t>
  </si>
  <si>
    <t>- OF 0165VENTILADORES AXIALES DE 1035 MM. X 15 HP</t>
  </si>
  <si>
    <t>- OF 0163REFRIGERANTE R22MANO DE OBRA</t>
  </si>
  <si>
    <t>PROCESADORA AGROINDUSTRIAL LA JOYA S.A.C.</t>
  </si>
  <si>
    <t>- MANTENIMIENTO CORRECTIVO EN CAMARA DE CONGELADO</t>
  </si>
  <si>
    <t>AREQUIPA</t>
  </si>
  <si>
    <t>- OF 0162REPARACION DE COMPRESOR BITZER 6G-40.2</t>
  </si>
  <si>
    <t>AGRICOLA HUARMEY S.A.</t>
  </si>
  <si>
    <t>- TERMOMETRIA EN TUNEL DE ENFRIAMEINTOOBRAS CIVIL</t>
  </si>
  <si>
    <t>EUROFRESH PERU S.A.C</t>
  </si>
  <si>
    <t>- CALIBRADOR MARCA SERMAQ M10 (DIEZ SALIDAS)INCLUY</t>
  </si>
  <si>
    <t>CENTRO</t>
  </si>
  <si>
    <t>LIMA</t>
  </si>
  <si>
    <t>CITRICOS</t>
  </si>
  <si>
    <t>Otros</t>
  </si>
  <si>
    <t>"D &amp; D" ELECTRIC E.I.R.L.</t>
  </si>
  <si>
    <t>- CAJA DE PASO DE 400 X 350 X 160</t>
  </si>
  <si>
    <t>FANTASIA S.A.C</t>
  </si>
  <si>
    <t>- SUMINISTRO E INSTALACION DE EQUIPOS Y PANELES EN</t>
  </si>
  <si>
    <t>EXPORTADORA FRUTICOLA DEL SUR SA</t>
  </si>
  <si>
    <t>- LOZA DE CONCRETO ARMADO (16 MTS DE NACHO POR 10</t>
  </si>
  <si>
    <t>HUACHO</t>
  </si>
  <si>
    <t>AGRICOLA LOS MEDANOS S.A.</t>
  </si>
  <si>
    <t>- CODO DE CU DE 2 1/8"</t>
  </si>
  <si>
    <t>- OF 0172ANGULO INTERIOR PREPINTADOCANAL U PREPI</t>
  </si>
  <si>
    <t>- SISTEMA DE REFRIGERACION CAMARA DE CONGELADO.SU</t>
  </si>
  <si>
    <t>CONGELADO</t>
  </si>
  <si>
    <t>Freón</t>
  </si>
  <si>
    <t>DANPER AREQUIPA S.A.C.</t>
  </si>
  <si>
    <t>- MANTENIMIENTO PREVENTIVO DE LAS SIGUIENTES UNIDA</t>
  </si>
  <si>
    <t>TRASANDINO AGRICOLA E.I.R.L.</t>
  </si>
  <si>
    <t>- CAMARA DE CONSERVACION DE PALTA.SUMINISTRO E IN</t>
  </si>
  <si>
    <t>TACNA</t>
  </si>
  <si>
    <t>- OF 0174TANQUE CALEFACTOR PARA SISTEMA DE GASIFI</t>
  </si>
  <si>
    <t>- OF 0170PANEL POL 10015 UND. DE 3.8 M. X 1.15 M</t>
  </si>
  <si>
    <t>- OF 0169CORTINA DE AIRE PARA 1 VANO DE 3.5X3.0M</t>
  </si>
  <si>
    <t>- OF 0181KIT SELLO MECANICO ADURKIT DE ORING PAR</t>
  </si>
  <si>
    <t>- ANTIVIBRADOR</t>
  </si>
  <si>
    <t>CORPORACION AGRICOLA VIÑASOL S.A.C.</t>
  </si>
  <si>
    <t>- SUMINISTRO E INSTALACION DE PANELES, PUERTAS Y A</t>
  </si>
  <si>
    <t>FRUTAS VARIAS</t>
  </si>
  <si>
    <t>Marzo</t>
  </si>
  <si>
    <t>CORPORACION APEISA SAC</t>
  </si>
  <si>
    <t>- OF 0183RESISTENCIA PARA CARTER COMPRESOR COPELA</t>
  </si>
  <si>
    <t>- SALA DE PROCESOS,TUNEL,CPT,DESPACHOSUMINISTRO D</t>
  </si>
  <si>
    <t>UVA</t>
  </si>
  <si>
    <t>AGRICOLA SAN JOSE S.A.</t>
  </si>
  <si>
    <t>- PANELES WALL PARA PARED&amp; TECHO DE POLIESTIRENOS</t>
  </si>
  <si>
    <t>- SERVICIO DE INSTALACION DE SISTEMA DE GASIFICACI</t>
  </si>
  <si>
    <t>GANDULES INC SAC</t>
  </si>
  <si>
    <t>- OF 0186KIT ORING ORIGINAL P/COMPRESOR TORNILLO</t>
  </si>
  <si>
    <t>LAMBAYEQUE</t>
  </si>
  <si>
    <t>- ELEMENTO TEX 5 RANGO N 10/+10ºC 067B5255CUERPO</t>
  </si>
  <si>
    <t>- OF 0115SUMINISTRO E INSTALACION SISTEMA DESVERD</t>
  </si>
  <si>
    <t>- SUMINISTRO DE FLAT DE TECHO F DE 40 X 100 X 40 X</t>
  </si>
  <si>
    <t>- OF 0188SOLDADURA DE PLATA AL 5%</t>
  </si>
  <si>
    <t>- OF 0176SERVICIO DE INSTALACION DE SISTEMA DE CO</t>
  </si>
  <si>
    <t>- OF 0196SENSOR DE TEMP.PT 100 RANGO -50/ + 150ºC</t>
  </si>
  <si>
    <t>- OF 0187COMPRESOR BITZER 7.2HPINSTALACION</t>
  </si>
  <si>
    <t>VIRU S.A.</t>
  </si>
  <si>
    <t>- OF 0199SELLO MECANICO PARA BOMBA ADUR ZM</t>
  </si>
  <si>
    <t>- ALQUILER LINEA DE SAFCO (COSTO VARIABLE)</t>
  </si>
  <si>
    <t>- SERVICIO DE DESMONTAJE DE PANELERIA DE TECHO DE</t>
  </si>
  <si>
    <t>RANSA COMERCIAL S A</t>
  </si>
  <si>
    <t>- RESISTENCIA P/VENTILAD KT 0000616 0.5KW FAN HEAT</t>
  </si>
  <si>
    <t>AGROLOGISTICA S.A.C.</t>
  </si>
  <si>
    <t>- '- SUMINISTRO E INSTALACION DE 1 CAMARA DE GASIF</t>
  </si>
  <si>
    <t>AGRICOLA JOSE JUAN S.A.C.</t>
  </si>
  <si>
    <t>- SUMINISTRO Y MONTAJE DE PANELESEQUIPOS DE REFRI</t>
  </si>
  <si>
    <t>- 01 COMPRESOR HERMETICO DE R134A, MARCA TECUMSEH(</t>
  </si>
  <si>
    <t>- -ELASTOPOR 4 KILOS- LUPRANATE 4 KILOS</t>
  </si>
  <si>
    <t>- OF 0204ANGULO INTERIOR PREPINTADOFLAT PREPINTA</t>
  </si>
  <si>
    <t>- - CAMARA EUROPA N°2- 2 TUNEL  DE ENFRIAMIENTO</t>
  </si>
  <si>
    <t>Abril</t>
  </si>
  <si>
    <t>- OF 0207 MBVALVULA DE PASO SVA15 DE 1/2", MARCA</t>
  </si>
  <si>
    <t>- SUMINISTRO E INSTALACION DE SENSOR DE PULPA</t>
  </si>
  <si>
    <t>- PRESTACION DE SERVICIOS  RECARGA DE REFRIGERANTE</t>
  </si>
  <si>
    <t>- SERVICIO POR MANTENIMIENTO DE MAQUINARIA Y EQUIP</t>
  </si>
  <si>
    <t>AGRICOLA ALSUR CUSCO S.A.C.</t>
  </si>
  <si>
    <t>- OF 0203 PYPANEL DE POLIESTIRENO POL 250MMPANEL</t>
  </si>
  <si>
    <t>CUSCO</t>
  </si>
  <si>
    <t>- - SUMINISTRO Y MONTAJE DE PANELES- EQUIPOS DE R</t>
  </si>
  <si>
    <t>ESPARRAGOS</t>
  </si>
  <si>
    <t>ECOSAC AGRICOLA S.A.C.</t>
  </si>
  <si>
    <t>- VENTA DE BOTELLA DE REFRIEGERANTE R-22 EN LA MAR</t>
  </si>
  <si>
    <t>M Y S TECNOLOGIA S.A.C.</t>
  </si>
  <si>
    <t>- WINCHACINTA DE COLGADOR DE LONAS</t>
  </si>
  <si>
    <t>- OF 0218PRESOSTATO DUAL KP15RESISTENCIA ELECTRI</t>
  </si>
  <si>
    <t>AGRO FLORAL PERU S.A.C.</t>
  </si>
  <si>
    <t>- SUMINISTRO CONTROLADOR/ INSTALACION 12 CONTROLAD</t>
  </si>
  <si>
    <t>- OF 0118EQUIPOS REFRIGERACIONTABLERO ELECTRICO</t>
  </si>
  <si>
    <t>- OF 0229MOTORVENTILADOR 0.97KW 1600RPM 440/220 G</t>
  </si>
  <si>
    <t>ASOCIACION DE PRODUCTORES DE PALTA HASS DEL PERU- PROHASS</t>
  </si>
  <si>
    <t>- PANEL POL 100, 60.00 M2, 4.6X3.0X2.5 (L X W X H)</t>
  </si>
  <si>
    <t>Mayo</t>
  </si>
  <si>
    <t>- OF 0230SELLO MECANICO PARA BOMBA NH3 MARCA ADUN</t>
  </si>
  <si>
    <t>- - RECEPCION- PASILLO.- TUNEL DE ENFRIAMIENTO C</t>
  </si>
  <si>
    <t>- OF 0232SNV 08FILTRO DE ACEITE TIPO CELULOSAAR</t>
  </si>
  <si>
    <t>ECO - ACUICOLA SOCIEDAD ANONIMA CERRADA</t>
  </si>
  <si>
    <t>- VENTA DE ACCESORIOS PREPINTADOS</t>
  </si>
  <si>
    <t>- OF 0233CONTROLADOR MT530 SUPERIORINTERFASE SER</t>
  </si>
  <si>
    <t>VINCULOS AGRICOLAS E.I.R.L.</t>
  </si>
  <si>
    <t>- OF 0234NIVELADOR HIDRÁULICO (MOD FHC 6-8-25 CAP</t>
  </si>
  <si>
    <t>AGRICOLA YAURILLA S.A</t>
  </si>
  <si>
    <t>- DESMONTAJE DE CAMARA DE 7.00 X 7.00 X 4.00 LXWXH</t>
  </si>
  <si>
    <t>- OF 0241MOTORVENTILADOR 0.97KW 1520RPM 440/220V</t>
  </si>
  <si>
    <t>- OF 0117INSTALACION DE VALVULAS PASO EN LINEAS D</t>
  </si>
  <si>
    <t>- UNIDAD COND. KRACK MODELO CSD-0400H2M, DE 40HP (</t>
  </si>
  <si>
    <t>- CANAL U PREPINTADO 40 X 100 X 40 MM X 3 M</t>
  </si>
  <si>
    <t>CIA.DE EXP.Y NEGOCIOS GNRLES.S.A.(COEXA)</t>
  </si>
  <si>
    <t>- CODOS DE 2.1/8TUBO DE 2.1/8TUBO DE 2.5/8</t>
  </si>
  <si>
    <t>- VENTA DE BOTELLAS REFRIGERANTE R-22</t>
  </si>
  <si>
    <t>- OF 0244TOBERAS PARA CONDENSADOR SWL 1935</t>
  </si>
  <si>
    <t>- OF 242REVISIÓN Y DIAGNÓSTICO DE SISTEMA DE TERM</t>
  </si>
  <si>
    <t>- OF 0221PANEL POL 50, 60.00 M².4.6X3.0X2.5M. (L</t>
  </si>
  <si>
    <t>AGROINPER FOODS S.A.C.</t>
  </si>
  <si>
    <t>- OF 0245CONJUNTO BIELA - PISTON PARA COMPRESOR B</t>
  </si>
  <si>
    <t>- SUMINISTRO E INSTALACION DE PUERTAS Y ACCESORIOS</t>
  </si>
  <si>
    <t>- PRESOSTATO MP55 060B017166</t>
  </si>
  <si>
    <t>AGRICOLA SANTA MARCELA EIRL</t>
  </si>
  <si>
    <t>- OF 247SELLOS MECANICOS ADUR</t>
  </si>
  <si>
    <t>- OF 0250REFRIGERANTE R22 X 13 KG</t>
  </si>
  <si>
    <t>Junio</t>
  </si>
  <si>
    <t>FRUTOS ECOLOGICOS DEL PERU S.A.C.</t>
  </si>
  <si>
    <t>- - TUNEL  DE ENFRIAMIENTO  - 20 PALETAS- ACCESOR</t>
  </si>
  <si>
    <t>- SENSORES DE PULPA</t>
  </si>
  <si>
    <t>- TUBO DE COBRE RIGIDO  DE 1.3/8TUBO DE COBRE RIG</t>
  </si>
  <si>
    <t>- - SALA DE PROCESOS.- SUMINISTRO E INSTALACION D</t>
  </si>
  <si>
    <t>FRIOTEAM S.A.C.</t>
  </si>
  <si>
    <t>- GOMA P./ACOPLAMIENTO FA7TRANSDUCTOR DE PRESION</t>
  </si>
  <si>
    <t>- SUMINISTRO DE EQUIPOS DE FRIO.SUMINISTROS LOCAL</t>
  </si>
  <si>
    <t>CAMA VEGA DANNY ANDRES</t>
  </si>
  <si>
    <t>- TUBO COBRA RIGIDO DE 2 5/8"VARILLA DE SOLDADURA</t>
  </si>
  <si>
    <t>- MONTAJE DE CAMARA DE VERDURASSUMINISTRO DE PANE</t>
  </si>
  <si>
    <t>- SUMINISTRO DE PANELES ADICIONALES Y MONTAJE63 P</t>
  </si>
  <si>
    <t>- OF 0191PANEL POL 50, 60.00 M².4.6X3.0X2.5M. (L</t>
  </si>
  <si>
    <t>SC PACKING S.A.C.</t>
  </si>
  <si>
    <t>- EQUIPOS DE REFRIGERACIÓNSUMINISTROS DE PANELES,</t>
  </si>
  <si>
    <t>- OF 0254BOBINA DANFOSS 220V COD. 018F6714</t>
  </si>
  <si>
    <t>- TRANSDUCTOR DE PRESION DE -0.5 A 7 KGS ROSCA "M"</t>
  </si>
  <si>
    <t>- OF 0255FLAT DE TECHO PARA POL 100FLAT DE TECHO</t>
  </si>
  <si>
    <t>PUERTA DE SERVICIO</t>
  </si>
  <si>
    <t>- OF 0258INGENIERIA DE PROYECTO PLANTA EMPAQUE DE</t>
  </si>
  <si>
    <t>- OF 0220KIT DE REPUESTOS PARA COMPRESOR BOCK HG4</t>
  </si>
  <si>
    <t>- OF 0227CONDENSADOR EVAPORATIVO SWL18201 BOMBA</t>
  </si>
  <si>
    <t>VENTA DE ACCESORIOS</t>
  </si>
  <si>
    <t>- SUMINISTRO E INSTALACION DE PANELES ADICIONALES</t>
  </si>
  <si>
    <t>- OF 0253SUMINISTRO E INSTALACION DE ANALIZADOR D</t>
  </si>
  <si>
    <t>- OF 0260SUMINISTRO E INSTALACION DE UNA VALVULA</t>
  </si>
  <si>
    <t>SUMINISTRO DE COBERTURA - PLANTA DE CONGELADO</t>
  </si>
  <si>
    <t>- COBERTURA PV4 0.5MMACCESORIOS (CANALETA, CENEFA</t>
  </si>
  <si>
    <t>ACTITUD EMERGENTE S.A.</t>
  </si>
  <si>
    <t>- OF 0333CAMBIO DE COMPRESOR DANFOSS HGM 036</t>
  </si>
  <si>
    <t>- OF 0243SUMINISTRO E INSTALACION DE UN VENTILADO</t>
  </si>
  <si>
    <t>- REPARACION DE PUERTAS DE CAMARA DE REFRIGERACION</t>
  </si>
  <si>
    <t>- OF 0239 - OF 0240SERVICIO DE MANTENIMIENTO A EQ</t>
  </si>
  <si>
    <t>- OF 0262RESISTENCIA 750W 220V - (COMPRESOR DE TO</t>
  </si>
  <si>
    <t>ALIOVO SOCIEDAD ANONIMA CERRADA-ALIOVO SAC</t>
  </si>
  <si>
    <t>SALA DE ENVASADO.- CAMARA DE FRESCO- CAMARA</t>
  </si>
  <si>
    <t>- PUERTA SECCIONAL TX 380-10 THERMALEX DE 2.40 X 3</t>
  </si>
  <si>
    <t>- BOTELLAS DE R-22 DE 13.6 KGS</t>
  </si>
  <si>
    <t>- PANELES WALL PARA TECHO  DE POLIESTIRENO DE 100</t>
  </si>
  <si>
    <t>- OF 0223PANEL POL 50 DE POLIESTIRENOTRANSPORTE</t>
  </si>
  <si>
    <t>- OF 0224PANEL PORL 50 DE POLIESTIRENOTRANSPORTE</t>
  </si>
  <si>
    <t>- OF 0225EQUIPO DE AIRE ACONDICIONADOEXTRACTOR D</t>
  </si>
  <si>
    <t>- OF 0264TRABAJOS EN SALA DE PROCESOSTRASLADOS D</t>
  </si>
  <si>
    <t>Julio</t>
  </si>
  <si>
    <t>AMPLIACION Y MODIFICACION DE PACKING</t>
  </si>
  <si>
    <t>SUMINISTRO E INSTALACION DE PANELES, PUERTAS Y ACC</t>
  </si>
  <si>
    <t>ECO NATURAL EIRL</t>
  </si>
  <si>
    <t>VENTA DE EQUIPOS DE FRIO Y PANELES</t>
  </si>
  <si>
    <t>REPUESTOS PARA COMPRESOR HOWDEN</t>
  </si>
  <si>
    <t>ACOMETIDA ELECTRICA PARA OFICINA</t>
  </si>
  <si>
    <t>SUMINISTRO DE PANELES, PUERTAS Y ACCESORIOS</t>
  </si>
  <si>
    <t>DESCRIPCION DEL PRODUCTO/SERVICIO</t>
  </si>
  <si>
    <t>SOCIEDAD AGRICOLA RAPEL S.A.C.</t>
  </si>
  <si>
    <t>VENTA DE ENCUESTOS INFLABLES</t>
  </si>
  <si>
    <t>VENTA DE ACEITE</t>
  </si>
  <si>
    <t>REFRIGERANTE R22</t>
  </si>
  <si>
    <t>SISTEMA DE AMONIACO,</t>
  </si>
  <si>
    <t>REPUESTO PARA COMPRESOR FRICK RWI100</t>
  </si>
  <si>
    <t>LPI PARA COMPRESOR XRV204-1.45</t>
  </si>
  <si>
    <t>CAMBIO LPI COMPRESOR HOWDEN</t>
  </si>
  <si>
    <t>AGRICOLA ANDREA S.A.C.</t>
  </si>
  <si>
    <t>VENTA DE EQUIPOS, PANELES Y PUERTAS</t>
  </si>
  <si>
    <t>INSTALACION ELECTROMECANICA</t>
  </si>
  <si>
    <t>GAS REFRIGERANTE R507A</t>
  </si>
  <si>
    <t>PROCESOS AGROINDUSTRIALES SA</t>
  </si>
  <si>
    <t>&lt;</t>
  </si>
  <si>
    <t>VENTA DE RACKS PARA CAMARAS</t>
  </si>
  <si>
    <t>ASPARAGUS PERU EXPORT EIRL</t>
  </si>
  <si>
    <t>VENTA DE FILTRO</t>
  </si>
  <si>
    <t>VENTA DE PERFILES</t>
  </si>
  <si>
    <t>REPUESTOS DANFOSS</t>
  </si>
  <si>
    <t>VENTA DE REPUESTOS Y ACCESORIOS</t>
  </si>
  <si>
    <t>Agosto</t>
  </si>
  <si>
    <t>AGRICOLA SOL DE VILLACURI S.A.C.</t>
  </si>
  <si>
    <t>PACKING DE UVA</t>
  </si>
  <si>
    <t>TAPAS CONICAS</t>
  </si>
  <si>
    <t>MANTENIMIENTO DE PLANTA</t>
  </si>
  <si>
    <t>MANTENIMIENTO DE LINEA SERMAC M10</t>
  </si>
  <si>
    <t>CAMARA DE MATERIA PRIMA</t>
  </si>
  <si>
    <t>INGRESO DE PANEL A PACKING PV2</t>
  </si>
  <si>
    <t>SERVICIOS ECONATURAL</t>
  </si>
  <si>
    <t>VENTA DE FLATS</t>
  </si>
  <si>
    <t>COMPLEJO AGROINDUSTRIAL BETA S.A.</t>
  </si>
  <si>
    <t>SISTEMA FREON - PANELES Y EQUIPOS DE FRIO</t>
  </si>
  <si>
    <t>SISTEMA FREON - INSTALACION</t>
  </si>
  <si>
    <t>SISTEMA IQF - INSTALACION</t>
  </si>
  <si>
    <t>AMPLIACION SISTEMA TERMOMETRIA</t>
  </si>
  <si>
    <t>ARANDANOS</t>
  </si>
  <si>
    <t>REVISION CAMARA DE MATERIA PRIMA</t>
  </si>
  <si>
    <t>DOMINUS S.A.C</t>
  </si>
  <si>
    <t>SUMINISTRO E INSTALACION DE LONAS Y TERMOMETRIA</t>
  </si>
  <si>
    <t>SISTEMA DE IQF - EQUIPOS DE FRIO</t>
  </si>
  <si>
    <t>TUNEL DE ENFRIAMIENTO DE UVA DE 20 PALETS - UND 4P</t>
  </si>
  <si>
    <t>SERVICIO DE INSTALACION DE SISTEMA DE FRIO</t>
  </si>
  <si>
    <t>ICATOM S.A</t>
  </si>
  <si>
    <t>HELICES WINGFAN</t>
  </si>
  <si>
    <t>VENTA DE SENSORES</t>
  </si>
  <si>
    <t>REPUESTO COMPRESOR COPELAND</t>
  </si>
  <si>
    <t>VENTA DE PERFILES PREPINTADOS</t>
  </si>
  <si>
    <t>VENTA DE ACTIVO</t>
  </si>
  <si>
    <t>VENTA DE PINTURA</t>
  </si>
  <si>
    <t>'SUMINISTRO E INSTALACIÓN DE VENTANAS Y OTROS.</t>
  </si>
  <si>
    <t>MODIFICACION SISTEMA CAMARA CONGELADO 1</t>
  </si>
  <si>
    <t>GREEN PERU SA</t>
  </si>
  <si>
    <t>REPARACION COMPRESOR BITZER 4G-30.2</t>
  </si>
  <si>
    <t>SUMINISTRO E INSTALACION DE VALVULAS DE PURGA TUNE</t>
  </si>
  <si>
    <t>Setiembre</t>
  </si>
  <si>
    <t>DESMONTAJE DE EVAPORADORES CAMARA 1</t>
  </si>
  <si>
    <t>COBRO DE INTERESES</t>
  </si>
  <si>
    <t>SUCESION SANTHOME ZAVALA JACINTO</t>
  </si>
  <si>
    <t>MANTENIMIENTO A 2 CAMARAS DE PRODUCTO TERMINADO</t>
  </si>
  <si>
    <t>CAMARA DE 240 POSICIOES DE DOS NIVELES</t>
  </si>
  <si>
    <t>VENTA DE PERFILES PREPINTADOS Y OTROS</t>
  </si>
  <si>
    <t>AGROPACKING EXPORT S.A.</t>
  </si>
  <si>
    <t>EQUIPOS PARA EL TERCEL TUNEL DE ENFRIAMIENTO</t>
  </si>
  <si>
    <t>MANGO</t>
  </si>
  <si>
    <t>VENTA DE SENSOR</t>
  </si>
  <si>
    <t>VENTA DE SERVICIOS VARIOS</t>
  </si>
  <si>
    <t>NEGOCIOS DE DISTRIBUCION Y EXPORTACION S.A.</t>
  </si>
  <si>
    <t>CAMARA Y CALIBRADORA DE PALTA</t>
  </si>
  <si>
    <t>CAMBIO DE RESISTENCIAS EN TÚNELES</t>
  </si>
  <si>
    <t>TÚNEL DE ENFRIAMIENTO. Nº 3 (TUNEL DE ENFRIMIENTO)</t>
  </si>
  <si>
    <t>TUNEL 4 Y CLIMATIZACION DE PASILLO</t>
  </si>
  <si>
    <t>MANTENIMIENTO GENERAL AL SISTEMA DE FRIO</t>
  </si>
  <si>
    <t>I.F.A.B. SAC</t>
  </si>
  <si>
    <t>VENTA DE PANELES</t>
  </si>
  <si>
    <t>ADICIONALES - COMEDOR</t>
  </si>
  <si>
    <t>VENTA DE TUBERIAS DE CU</t>
  </si>
  <si>
    <t>REPARACION DRENAJES CAMARA CONGELADO</t>
  </si>
  <si>
    <t>CAMBIO DE LONA CENTRAL Y PUERTAS DE DOBLE FLUJO</t>
  </si>
  <si>
    <t>CONSTRUCTORA DIA GON S.R.L.</t>
  </si>
  <si>
    <t>PENALIDAD INCURRIDA EN MALA ELABORACIÓN DE LOZA ER</t>
  </si>
  <si>
    <t>RACK DE ALMACENAMIENTO EN TRES NIVELES</t>
  </si>
  <si>
    <t>SUMINISTRO DE PUERTA BATIENTE</t>
  </si>
  <si>
    <t>AGRICOLA CARMEN LUISA S.A.C.</t>
  </si>
  <si>
    <t>MANTENIMIENTO SISTEMA REFRIGERACION</t>
  </si>
  <si>
    <t>SUMINISTRO Y CONTRUCCION DE DOS CAMARAS DE GASIFIC</t>
  </si>
  <si>
    <t>VENTA DE TUBOS DE COBRE</t>
  </si>
  <si>
    <t>Octubre</t>
  </si>
  <si>
    <t>TROPICAL FARM S.A.C.</t>
  </si>
  <si>
    <t>AMPLIACION DE PACKING DE FRESCO</t>
  </si>
  <si>
    <t>SANTA SOFIA DEL SUR S.A.C.</t>
  </si>
  <si>
    <t>REPUESTOS</t>
  </si>
  <si>
    <t>FUNDO SACRAMENTO S.A.C.</t>
  </si>
  <si>
    <t>REPUESTOS PARA COMPRESOR SABROE SMC116</t>
  </si>
  <si>
    <t>AGRICOLA PAMPA BAJA S.A.C.</t>
  </si>
  <si>
    <t>AMPLIACION DE PACKING DE UVA - INSTALACION</t>
  </si>
  <si>
    <t>VENTA DE ROLLO DE LAMAS</t>
  </si>
  <si>
    <t>AMPLIACION DE PACKING CONGELADO</t>
  </si>
  <si>
    <t>SERVICIO DE MANTENIMIENTO PLANTA</t>
  </si>
  <si>
    <t>ESFIEL TOP INTERNATIONAL BUSINESS S.A.</t>
  </si>
  <si>
    <t>INGENIERIA</t>
  </si>
  <si>
    <t>RESISTENCIA PARA BLOQUE TUNEL</t>
  </si>
  <si>
    <t>SUMINISTRO DE ACCESORIOS DE EQUIPAMIENTO PARA TÚN.</t>
  </si>
  <si>
    <t>TABLERO ELECTRICO DE FUERZA Y CONTROL DE TUNEL</t>
  </si>
  <si>
    <t>SERVICIO EN PLANTA</t>
  </si>
  <si>
    <t>CROMADO DE CIGUEÑAL Y BRUÑIR CAMISAS</t>
  </si>
  <si>
    <t>SERVICIO DE MANTENIMIENTO COMPRESOR SABROE SMC 116</t>
  </si>
  <si>
    <t>REPARACION COMPRESOR COPELAND</t>
  </si>
  <si>
    <t>TUNEL ESTATICO DE 500 KGS/HR</t>
  </si>
  <si>
    <t>RESISTENCIA ELÉCTRICA</t>
  </si>
  <si>
    <t>VENTA DE VENTILADOR</t>
  </si>
  <si>
    <t>CONTROLES DIGITALES</t>
  </si>
  <si>
    <t>VENTA DE PERFILES Y REFRIGERANTES</t>
  </si>
  <si>
    <t>MANTENIMIENTO</t>
  </si>
  <si>
    <t>VENTA DE LAMAS DE MT</t>
  </si>
  <si>
    <t>VENTA DE EVAPORADORES</t>
  </si>
  <si>
    <t>MANTENIMIENTO PLANTA DON CARLOS</t>
  </si>
  <si>
    <t>ANDREA - ADICIONALES</t>
  </si>
  <si>
    <t>VALVULAS DE PASO</t>
  </si>
  <si>
    <t>Noviembre</t>
  </si>
  <si>
    <t>'SUMINISTRO - INSTALACION DE SISTEMA HUMIDIFICADOR</t>
  </si>
  <si>
    <t>SERVICIO MANTENIMIENTO GRAL DE PLANTA</t>
  </si>
  <si>
    <t>BRAVO FIGUEROA JOSE LUIS</t>
  </si>
  <si>
    <t>VENTA DE ACCESORIOS DE REFRIGERACION</t>
  </si>
  <si>
    <t>'AMPLIACION DE RECEPCIÓN DE PACKING (SEGÚN PLANO )</t>
  </si>
  <si>
    <t>QS REFRIGERACION Y PROYECTOS S.A.C.</t>
  </si>
  <si>
    <t>MANTENIMIENTO GRAL DE PLANTA</t>
  </si>
  <si>
    <t>REPARACION BITZER</t>
  </si>
  <si>
    <t>SUMINISTRO E INSTALACION DE PANELES, PUERTAS Y AC.</t>
  </si>
  <si>
    <t>EXCLUSA DE PANEL AL INGRESO A SALA DE PROCESOS</t>
  </si>
  <si>
    <t>PUESTA EN MARCHA SISTEMA MADURACION</t>
  </si>
  <si>
    <t>SUMINISTRO E INSTALACION DE SOFT STARTER DANFOSS</t>
  </si>
  <si>
    <t>YURA S.A.</t>
  </si>
  <si>
    <t>EQUIPOS PARA CAMARA DE CONGELADO</t>
  </si>
  <si>
    <t>VALVULA DE EXPANSION</t>
  </si>
  <si>
    <t>ADICIONALES ELECTRICOS</t>
  </si>
  <si>
    <t>REVISION DE REEFER</t>
  </si>
  <si>
    <t>VENTA DE REPUESTOS ADUR</t>
  </si>
  <si>
    <t>BOMBAS PORT COOL</t>
  </si>
  <si>
    <t>JIMMY GASTON ROBLEDO ORTIZ</t>
  </si>
  <si>
    <t>Venta de Materiales</t>
  </si>
  <si>
    <t>CALIBRACION SIST. TERMOMETRIA</t>
  </si>
  <si>
    <t>OFICINA EN RECEPCION ACOPIO ARANDANOS</t>
  </si>
  <si>
    <t>OPERACION TUNEL DE PREFRIO</t>
  </si>
  <si>
    <t>TRASLADO DE PANELES A OBRA</t>
  </si>
  <si>
    <t>MANTENIMIENTO Y REPUESTOS</t>
  </si>
  <si>
    <t>Diciembre</t>
  </si>
  <si>
    <t>CAMBIO DE SELLOS EN BOBA ADUR</t>
  </si>
  <si>
    <t>TRABAJOS EN PLANTAS DE AGRÍCOLA DON RICARDO</t>
  </si>
  <si>
    <t>SERVICIO MEJORAMIENTO PLANTA UVAS</t>
  </si>
  <si>
    <t>PLANTA DE PROCESO PARA PALTA Y UVA</t>
  </si>
  <si>
    <t>REPARACION DE FUGA</t>
  </si>
  <si>
    <t>DELSUR S.A.C.</t>
  </si>
  <si>
    <t>VENTA E INSTALACION DE TAPAS DE DOBLE FLUJO PARA T</t>
  </si>
  <si>
    <t>AMERICAN QUALITY AQUACULTURE S.A.C.</t>
  </si>
  <si>
    <t>INSTALACION DE PUERTA SECCIONAL</t>
  </si>
  <si>
    <t>REPARACION DE FUGA TUNEL DE CONGELADO</t>
  </si>
  <si>
    <t>LAVADO DE EVAPORADORES</t>
  </si>
  <si>
    <t>SISTEMA TERMOMETRIA</t>
  </si>
  <si>
    <t>VENTA DE PUERTA DE LONA</t>
  </si>
  <si>
    <t>VENTA DE SUMINISTROS E INSTALACIÓN</t>
  </si>
  <si>
    <t>AMPLIACIÓN DE PLANTA PARA CONGELADO</t>
  </si>
  <si>
    <t>INSTALACIÓN DE PANELES, EQUIPOS Y PUERTAS</t>
  </si>
  <si>
    <t>PLANTA PARA PALTA Y UVA</t>
  </si>
  <si>
    <t>INSTALACIÓN ELECTROMECÁNICA (TÚNEL DE 500 KG/HR)</t>
  </si>
  <si>
    <t>INSTALACIÓN ELECTROMECÁNICA</t>
  </si>
  <si>
    <t>PLANTA DE CONGELADO (INSTALACIÓN)</t>
  </si>
  <si>
    <t>TÚNEL IQF (EQUIPOS)</t>
  </si>
  <si>
    <t>SISTEMA DE HUMIDIFICADO (CÁMARA DE MATERIA PRIMA)</t>
  </si>
  <si>
    <t>INSTALCIÓN DE PANELES Y EQUIPOS (TÚNEL)</t>
  </si>
  <si>
    <t>PLANTA PARA UVA</t>
  </si>
  <si>
    <t>PLANTA DE CONGELADO (EQUIPOS Y PANELES)</t>
  </si>
  <si>
    <t>INSTALACIÓN DE ENCUESTO INFLABLE Y PANELES</t>
  </si>
  <si>
    <t>AMPLIACIÓN DE PLANTA PARA UVA</t>
  </si>
  <si>
    <t>TÚNEL IQF (INSTALACIÓN)</t>
  </si>
  <si>
    <t>INSTALACIÓN Y PUESTA EN MARCHA DE EQUIPOS</t>
  </si>
  <si>
    <t>PLANTA PARA UVA Y CÍTRICO (AMPLIACIÓN Y MODIF.)</t>
  </si>
  <si>
    <t>PLANTA PARA CONGELADO</t>
  </si>
  <si>
    <t>GARANTÍA POR EQUIPO</t>
  </si>
  <si>
    <t>PLANTA PARA CONGELADO DE HUEVO</t>
  </si>
  <si>
    <t>INSTALACIÓN DE PANELES</t>
  </si>
  <si>
    <t>EMPRESA AGRO EXPORT ICA S.A.C.</t>
  </si>
  <si>
    <t>HIDROCOOLER PARA PRODUCTO TERMINADO</t>
  </si>
  <si>
    <t>AMPLIACIÓN DE PLANTA (RECEPCIÓN)</t>
  </si>
  <si>
    <t>INSTALACIÓN  DE COMPRESOR TORNILLO MYCOM</t>
  </si>
  <si>
    <t>INSTALACIÓN DE SENSORES</t>
  </si>
  <si>
    <t>GLORIA S A</t>
  </si>
  <si>
    <t>INSTALACIÓN DE PUERTA</t>
  </si>
  <si>
    <t>INSTITUTO TECNOLOGICO DE LA PRODUCCION</t>
  </si>
  <si>
    <t>PLANTA DE EMPAQUE PARA FRUTAS (INGENIERÍA)</t>
  </si>
  <si>
    <t>OFICINA EN ACOPIO ARÁNDANOS</t>
  </si>
  <si>
    <t>AMPLIACIÓN Y MODIFICACIÓN DE PLANTA</t>
  </si>
  <si>
    <t>PROCESADORA LARAN SAC</t>
  </si>
  <si>
    <t>INSTALACIÓN DE LONA (TÚNEL)</t>
  </si>
  <si>
    <t>SERVICIOS E INVERSIONES NATHANAEL S.A.C.</t>
  </si>
  <si>
    <t>HIDROCOOLER PARA PRODUCTO TERMINADO (3000 KG/HR)</t>
  </si>
  <si>
    <t>INSTALACIÓN DE VÁLVULAS</t>
  </si>
  <si>
    <t>CÁMARA DE CONGELADO Y FRESCO</t>
  </si>
  <si>
    <t>CÁMARA PARA CONGELADO (EQUIPOS)</t>
  </si>
  <si>
    <t>MANTENIMIENTO DE EVAPORADOR</t>
  </si>
  <si>
    <t>EMPRESA AGRICOLA SAN JUAN S.A</t>
  </si>
  <si>
    <t>AMPLIACIÓN DE PLANTA</t>
  </si>
  <si>
    <t>MANTENIMIENTO PREVENTIVO</t>
  </si>
  <si>
    <t>MANTENIMIENTO DE PUERTAS</t>
  </si>
  <si>
    <t>AMPLIACIÓN DE PLANTA PARA ARÁNDANOS</t>
  </si>
  <si>
    <t>MANTENIMIENTO DE SISTEMA ELÉCTRICO</t>
  </si>
  <si>
    <t>MANTENIMIENTO SISTEMA DE HUMEDAD RELATIVA Y TEMP.</t>
  </si>
  <si>
    <t>MANTENIMIENTO DE SISTEMA DE AMONIACO</t>
  </si>
  <si>
    <t>FRUTA LATINA TRADING S.A.C.</t>
  </si>
  <si>
    <t>MANTENIMIENTO CORRECTIVO DE CÁMARA DE MADURACIÓN</t>
  </si>
  <si>
    <t>MANTENIMIENTO CORRECTIVO (EQUIPO DE REFRIGERACIÓN)</t>
  </si>
  <si>
    <t>MANTENIMIENTO CORRECTIVO</t>
  </si>
  <si>
    <t>FROZEN FOODS S.A.C.</t>
  </si>
  <si>
    <t>FLP DEL PERU SOCIEDAD ANONIMA CERRADA</t>
  </si>
  <si>
    <t>CENTRO DE ACOPIO PARA ARÁNDANOS</t>
  </si>
  <si>
    <t>HORTIFRUT-TAL S.A.C.</t>
  </si>
  <si>
    <t>CÁMARA DE ALMACENAMIENTO (AMPLIACIÓN)</t>
  </si>
  <si>
    <t>INSTALACIÓN DE TERMOMETRÍA (TÚNEL 1 Y 2)</t>
  </si>
  <si>
    <t>AMPLIACIÓN DE PLANTA (CÁMARA DE MATERIA PRIMA)</t>
  </si>
  <si>
    <t>INSTALACIÓN DE PUERTAS Y ACCESORIOS</t>
  </si>
  <si>
    <t>TRASLADO DE TÚNEL (16 PALLETS)</t>
  </si>
  <si>
    <t>ARCENTALES OLAVE JOSE MIGUEL</t>
  </si>
  <si>
    <t>PLANTA PARA ARÁNDANOS</t>
  </si>
  <si>
    <t>ELENOR SAC</t>
  </si>
  <si>
    <t>VENTA DE EQUIPOS Y COMPONENTES (SALA DE PROCESOS)</t>
  </si>
  <si>
    <t>AGUALIMA S.A.C.</t>
  </si>
  <si>
    <t>INSTALACIÓN DE ENCUESTO INFLABLE</t>
  </si>
  <si>
    <t>AMPLIACIÓN DE PLANTA (IV ETAPA)</t>
  </si>
  <si>
    <t>MANTENIMIENTO DE COMPRESOR SABROE (10000 HORAS)</t>
  </si>
  <si>
    <t>AGRO SANTA VERONICA SOCIEDAD ANONIMA CERRADA</t>
  </si>
  <si>
    <t>HIDROCOOLER DE 40 HP (TRASLADO E INSTALACIÓN)</t>
  </si>
  <si>
    <t>INSPECCIÓN DE FALLAS A VARIADORES</t>
  </si>
  <si>
    <t>OBRAS CIVILES (MURO Y LOSA)</t>
  </si>
  <si>
    <t>TÚNEL ESTÁTICO</t>
  </si>
  <si>
    <t>CÁMARA PARA CONGELADO DE MANGO</t>
  </si>
  <si>
    <t>SUMINISTRO E INSTALACIÓN DE COBERTURA</t>
  </si>
  <si>
    <t>AMPLIACIÓN DE PLANTA (CÁMARA DE PT 03)</t>
  </si>
  <si>
    <t>GRANADA</t>
  </si>
  <si>
    <t>CÁMARA PARA MANGOS</t>
  </si>
  <si>
    <t>INSTALACIÓN DE PUERTA Y EXCLUSA (DESPACHO)</t>
  </si>
  <si>
    <t>OBRAS CIVILES (TÚNEL 01)</t>
  </si>
  <si>
    <t>AMPLIACIÓN DE CÁMARA DE PT N°3 (PV1)</t>
  </si>
  <si>
    <t>AMPLIACIÓN DE PLANTA (PV2)</t>
  </si>
  <si>
    <t>VENTA E INSTALACIÓN DE VENTANAS TRONERAS</t>
  </si>
  <si>
    <t>AMPLIACIÓN DE PLANTA (II ETAPA)</t>
  </si>
  <si>
    <t>MODIFICACIÓN DE LÍNEA DE DESCARGA Y DE TUBERÍAS</t>
  </si>
  <si>
    <t>MODIFICACIÓN DE HIDROCOOLER DE PRODUCTO TERMINADO</t>
  </si>
  <si>
    <t>DELCOR FABRICACIONES SAC</t>
  </si>
  <si>
    <t>INSTALACIÓN DE SISTEMA DE GASIFICADO</t>
  </si>
  <si>
    <t>COMPRESOR TORNILLO Y SISTEMA TERMOSIFON</t>
  </si>
  <si>
    <t>PROCESADORA CAMPO VERDE S.A.C.</t>
  </si>
  <si>
    <t>VENTA DE CALIBRADORA</t>
  </si>
  <si>
    <t>HUARAL</t>
  </si>
  <si>
    <t>SUMINISTROS - RACK ACUMULATIVO</t>
  </si>
  <si>
    <t>VENTA E INSTALACIÓN DE PUERTA</t>
  </si>
  <si>
    <t>INVERTIR POSICION DE CONDENSADOR DE TÚNEL</t>
  </si>
  <si>
    <t>SUMINISTRO E INTALACIÓN DE PUERTA CORREDERA</t>
  </si>
  <si>
    <t>SUMINISTRO E INTALACIÓN DE PUERTA EMERGENCIA</t>
  </si>
  <si>
    <t>SUMINISTRO E INTALACIÓN DE PANELES</t>
  </si>
  <si>
    <t>SUMINISTRO E INTALACIÓN DE LUMINARIAS</t>
  </si>
  <si>
    <t>SISTEMA DE CONGELADO</t>
  </si>
  <si>
    <t>AVOCADO PACKING COMPANY S.A.C.</t>
  </si>
  <si>
    <t>VENTA E INSTALACIÓN DE ENCUESTO INFLABLE</t>
  </si>
  <si>
    <t>VENTA E INTALACIÓN DE PORTAFILTRO</t>
  </si>
  <si>
    <t>CORPORACION LERIBE S.A.C.</t>
  </si>
  <si>
    <t>TRASLADO Y MANTENIMIENTO PREVENTIVO DE UC</t>
  </si>
  <si>
    <t>DEPRODECA S.A.C.</t>
  </si>
  <si>
    <t>CAMARA DE CONGELADOS PARA MANTEQUILLA</t>
  </si>
  <si>
    <t>YOGURT</t>
  </si>
  <si>
    <t>VENTA E INSTALACIÓN DE CVC PILOTO PRESIÓN</t>
  </si>
  <si>
    <t>MODIFICACÍON DE TERMOMETRIA EN PACKING DE UVA</t>
  </si>
  <si>
    <t>SUMINISTROS PARA TÚNEL MÓVIL</t>
  </si>
  <si>
    <t>AMPLIACIÓN DE PACKING</t>
  </si>
  <si>
    <t>VENTA E INSTLACIÓN DE ENFRIADORES EVAPORATIVOS</t>
  </si>
  <si>
    <t>INSTALACIÓN ELECTROMECÁNICA DE MOTOCOMPRESOR</t>
  </si>
  <si>
    <t>VENTA E INSTALACIÓN DE SENSORES</t>
  </si>
  <si>
    <t>VENTA E INTALACIÓN DE NIVELADOR ANDEN</t>
  </si>
  <si>
    <t>VENTA E INSTALACIÓN DE PUERTAS Y BOMBAS DE COND.</t>
  </si>
  <si>
    <t>AMPLIACIÓN Y REPOTENCIACIÓN DE PACKING  ARANDANOS</t>
  </si>
  <si>
    <t>CMP - SUMINISTRO E INSTALACION DE EVAP - NH3</t>
  </si>
  <si>
    <t>SERVICIOS DE MANTENIMIENTO</t>
  </si>
  <si>
    <t>VENTA DE SUMINISTROS</t>
  </si>
  <si>
    <t>CAL &amp; CEMENTO SUR S.A.</t>
  </si>
  <si>
    <t>CÁMARA DE CONSERVACION DE YOGURT FRESCO</t>
  </si>
  <si>
    <t>VENTA E INTALACIÓN DE SENSORES</t>
  </si>
  <si>
    <t>VENTA E INTALACIÓN DE EQUIPOS DE REFRIGERACIÓN</t>
  </si>
  <si>
    <t>VENTA E INTALACIÓN DE PUERTAS CORREDERAS</t>
  </si>
  <si>
    <t>REPARACION DE MURO EN FACHADA DE PLANTA CONGELADO</t>
  </si>
  <si>
    <t>CLIMATIZACIÓN DE SALA DE PRE TÚNEL</t>
  </si>
  <si>
    <t>SISTEMA DE EXTRACCIÓN DE CO2</t>
  </si>
  <si>
    <t>VENTA E INSTALACIÓN DE PUERTA DE SENASA</t>
  </si>
  <si>
    <t>VENTA E INSTALACIÓN DE PANELES EN ZONA DE ALMACÉN</t>
  </si>
  <si>
    <t>VENTA E INTALACIÓN DE PUERTAS Y PANELES</t>
  </si>
  <si>
    <t>VENTA E INSTALACIÓN DE EVAPORADOR</t>
  </si>
  <si>
    <t>PLANTA DE ARANDANOS</t>
  </si>
  <si>
    <t>AMPLIACIÓN Y MODIFICACIÓN DE PACKING</t>
  </si>
  <si>
    <t>VIVEROS EL TAMBO S.A.C.</t>
  </si>
  <si>
    <t>CAMARA PARA TALLOS</t>
  </si>
  <si>
    <t>AMPLIACIÓN DE PACKING DE FRIO</t>
  </si>
  <si>
    <t>MODIFICACIÓN DE TÚNEL - INDP. SIST GLICOL</t>
  </si>
  <si>
    <t>CONTROL DE NIVEL DE TK DE BOMBEO</t>
  </si>
  <si>
    <t>DPP CORP S.A.</t>
  </si>
  <si>
    <t>DESMONTAJE DE ESTRUCTURA Y PANEL</t>
  </si>
  <si>
    <t>VENTA E INTALACIÓN DE EVAPORADOR DE PLACAS</t>
  </si>
  <si>
    <t>TRASLADO DE RACK COPELAND DISCUS</t>
  </si>
  <si>
    <t>AMPLIACIÓN Y MODIFICACIÓN DE PACKING DE FRIO</t>
  </si>
  <si>
    <t>AMPLIACIÓN Y MODIFICACION DE PACKING</t>
  </si>
  <si>
    <t>FEGURRI S.A.C.</t>
  </si>
  <si>
    <t>IMPLEMENTACIÓN DE PACKING</t>
  </si>
  <si>
    <t>SISTEMA DE AMONIACO IQF</t>
  </si>
  <si>
    <t>AMPLIACION PLANTA CONGELADO</t>
  </si>
  <si>
    <t>PLANTA EMPACADORA DE ARANDANOS FRESCO</t>
  </si>
  <si>
    <t>AMPLIACION DE SADEMA</t>
  </si>
  <si>
    <t>VENTA E INSTALACION DE BIENES</t>
  </si>
  <si>
    <t>AMPLIACIÓN DE PLANTA CONGELADO</t>
  </si>
  <si>
    <t>IMPLEMENTACIÓN DE TÚNEL INDEPENDIENTE</t>
  </si>
  <si>
    <t>INSTALACIÓN DE ENFRIADORES</t>
  </si>
  <si>
    <t>SUMINISTRO E INSTALACIÓN DE PANELES EN C.M.P</t>
  </si>
  <si>
    <t>VENTA E INTALACION DE PANEL</t>
  </si>
  <si>
    <t>LABORATORIO - PLANTA CONGELADO</t>
  </si>
  <si>
    <t>CÁMARA DE CONGELADO</t>
  </si>
  <si>
    <t>SERVICIOS EN TUNELES DE ENFRIAMIENTO</t>
  </si>
  <si>
    <t>CLIMATIZACION DE LABORATORIO</t>
  </si>
  <si>
    <t>EQUIPOS PARA PASILLOS</t>
  </si>
  <si>
    <t>SUMINISTRO E INTALACIÓN DE NIVELADOR</t>
  </si>
  <si>
    <t>CÁMARA DE GASIFICADO</t>
  </si>
  <si>
    <t>PACHAMAMA FARMS S.A.C.</t>
  </si>
  <si>
    <t>VENTA E INTALACIÓN DE PUERTA Y NIVELADOR</t>
  </si>
  <si>
    <t>VENTA E INTALACIÓN DE PUERTA DE EMERGENCIA</t>
  </si>
  <si>
    <t>SUMINISTRO E INTALACION DE PANELES</t>
  </si>
  <si>
    <t>SERVICIO DE ARMADO DE BASES PARA LUMINARIAS</t>
  </si>
  <si>
    <t>PASSION FRESH S.A.C</t>
  </si>
  <si>
    <t>IMPLEMENTACION DE CAMARAS DE MADURACION</t>
  </si>
  <si>
    <t>CHIMBOTE</t>
  </si>
  <si>
    <t>ASICA FARMS S.A.C.</t>
  </si>
  <si>
    <t>AMPLIACION DE PACKING DE MANGO</t>
  </si>
  <si>
    <t>INSTALACION DE PUERTAS</t>
  </si>
  <si>
    <t>CLIMATIZACION DE PASILLO</t>
  </si>
  <si>
    <t>AMPLIACION DE PACKING</t>
  </si>
  <si>
    <t>TUNEL DE 20 PALLETS - TERMOMETRIA</t>
  </si>
  <si>
    <t xml:space="preserve">SUMINISTRO E INTALACIÓN DE BLOQUE EVAPORATIVO </t>
  </si>
  <si>
    <t>REPOTENCIACION DE PLANTA DE CONGELADO</t>
  </si>
  <si>
    <t>INSTALACIÓN DE ESTRUCTURA METALICA</t>
  </si>
  <si>
    <t>DIVISION DE TUNEL INDEPENDIENTE</t>
  </si>
  <si>
    <t>AMPLIACION DE PACKING VID</t>
  </si>
  <si>
    <t>MEJORA TANQUE DE BOMBEO</t>
  </si>
  <si>
    <t>AMPLICACIÓN DE PACKING DE ARÁNDONOS</t>
  </si>
  <si>
    <t>SOBIFRUITS S.A.C.</t>
  </si>
  <si>
    <t>CAMARA DE PRODUCTO TERMINADO</t>
  </si>
  <si>
    <t>ANCASH</t>
  </si>
  <si>
    <t>FOOD MARKETS S.A.C.</t>
  </si>
  <si>
    <t>CLIMATIZACION DE CAMARA</t>
  </si>
  <si>
    <t>SUMINISTRO DE INSTALACIÓN DE PUERTA BATIENTE</t>
  </si>
  <si>
    <t>SUMINISTRO E INSTALACION DE SENSORES PARA TUNELES</t>
  </si>
  <si>
    <t>CLIMATIZACION DE CAMARA DE CONSERVACION</t>
  </si>
  <si>
    <t>CONSERVAS</t>
  </si>
  <si>
    <t>CAMBIO DE EQUIPOS EN CAMARA DE CONSERVACION</t>
  </si>
  <si>
    <t>INST. DE VALVULAS Y MANOMETROS PARA SIST. DE AMON.</t>
  </si>
  <si>
    <t>INKA´S BERRIES S.A.C.</t>
  </si>
  <si>
    <t>PLANTA DE PROCESOS PARA ARÁNDANOS</t>
  </si>
  <si>
    <t>SERVICIO DE MODIFICACION DE PUERTAS DE CAMARAS</t>
  </si>
  <si>
    <t>SHUMAN PRODUCE PERU SAC</t>
  </si>
  <si>
    <t>CAMARA DE ENFRIAMIENTO DE CEBOLLA</t>
  </si>
  <si>
    <t>CEBOLLA</t>
  </si>
  <si>
    <t>INVERSIONES EN TURISMO SA</t>
  </si>
  <si>
    <t>INSTALACION DE PUERTA BATIENTE</t>
  </si>
  <si>
    <t>CAMBIO DE CONDENSADOR</t>
  </si>
  <si>
    <t>EL CORDON Y LA ROSA RESTAURANT S.A.C</t>
  </si>
  <si>
    <t>MONTAJE DE CÁMARA DE COGELADO PARA RESTAURANTE</t>
  </si>
  <si>
    <t>PUESTA EN MARCHA DE CHILLER</t>
  </si>
  <si>
    <t>SERVICIO DE CAMBIO DE UNIDAD CONDENSADORA</t>
  </si>
  <si>
    <t>VIVERO LOS VIÑEDOS S.A.C.</t>
  </si>
  <si>
    <t>MODIFICACION DE CAMARA DE MADURACION</t>
  </si>
  <si>
    <t>CAMBIO DE SENSORES TERMOMETRÍA</t>
  </si>
  <si>
    <t>AGROINDUSTRIAS HUARAL SOCIEDAD ANONIMA CERRADA</t>
  </si>
  <si>
    <t>AMPLIACIÓN DE CÁMARA DE CONSERVACIÓN</t>
  </si>
  <si>
    <t>AMPLIACION DE PLANTA DE ARANDANOS</t>
  </si>
  <si>
    <t>AMPLIACION DE 02 TUNELES DE MATERIA PRIMA</t>
  </si>
  <si>
    <t>AMPLIACION DE PACKING (EQUIPOS E INSTALACIÓN)</t>
  </si>
  <si>
    <t>VENTA DE ENCUESTO INFLABLE Y NIVELADOR</t>
  </si>
  <si>
    <t>VENTA E INSTALACIÓN DE PUERTA SECCIONAL</t>
  </si>
  <si>
    <t>VENTA E INTS. DE ENCUESTO INFLABLE PARA DESPACHO</t>
  </si>
  <si>
    <t>SUMINISTRO E INST. PARA CÁMARA DE FRESCO</t>
  </si>
  <si>
    <t>DESMONTAJE Y MONTAJE DE PANEL</t>
  </si>
  <si>
    <t>VENTA E INTS. DE HIDROCOOLER</t>
  </si>
  <si>
    <t xml:space="preserve">IMPLEMENTACIÓN DE TÚNELES Y PASILLO </t>
  </si>
  <si>
    <t>CAMBIO DE UNIDAD CONDENSADORA PARA TUNEL 2</t>
  </si>
  <si>
    <t>MANTENIMIENTO DE TERMOMETRIA EN TUNELES</t>
  </si>
  <si>
    <t>CLIMATIZACIÓN DE SALA DE EMPAQUE</t>
  </si>
  <si>
    <t>DIVISION E INDEPENDIZACION DE CAMARAS</t>
  </si>
  <si>
    <t>IMPLEMENTACION DE SISTEMA D/ REFRIGERACION P/ HC.</t>
  </si>
  <si>
    <t>CAMBIO DE CONDENSADORES DE UNIDADES DE HIDRO</t>
  </si>
  <si>
    <t>INKA CROPS S.A.</t>
  </si>
  <si>
    <t>REUBICACIÓN DE CÁMARA</t>
  </si>
  <si>
    <t>REPONTENCIACIÓN DE AMBIENTES</t>
  </si>
  <si>
    <t>AMPLIACIÓN DE TÚNEL N°3 DE 20 PALLETS</t>
  </si>
  <si>
    <t>CHUMBES YALLE ALICIA</t>
  </si>
  <si>
    <t>IMPLEMENTACION DE CAMARA DE FRESCO PARA PECANA</t>
  </si>
  <si>
    <t>PECANA</t>
  </si>
  <si>
    <t>IMPLEMENTACION PACKING DE PLANTA DE CONGELADO</t>
  </si>
  <si>
    <t>VENTA E INSTALACION D/PUERTAS NIVELADOR Y ENCUESTO</t>
  </si>
  <si>
    <t>INSTALACION DE HIDROCOOLER DE MATERIA PRIMA</t>
  </si>
  <si>
    <t>AMPLIACIÓN DE TÚNEL DE CONGELADO IQF PARA MANGO</t>
  </si>
  <si>
    <t>TUNEL DE CONGELADO IQF</t>
  </si>
  <si>
    <t>REPONTECIACIÓN DE SISTEMAS DE FRÍO</t>
  </si>
  <si>
    <t>AGROVISION PERU S.A.C.</t>
  </si>
  <si>
    <t>IMPLEMENTACIÓN DE PACKING PARA ARÁNDANOS DE FRESCO</t>
  </si>
  <si>
    <t>AMPLIACION DE PLANTA PARA UVA</t>
  </si>
  <si>
    <t xml:space="preserve">TUNEL DE PREFRIO </t>
  </si>
  <si>
    <t>T &amp; T FRUITS S.A.</t>
  </si>
  <si>
    <t>IMPLEMENTACION DE TUNEL CALIFORNIANO</t>
  </si>
  <si>
    <t>INSTALACION DE CAMARA DE GASIFICADO</t>
  </si>
  <si>
    <t xml:space="preserve">IMPLEMENACION DE CAMARA DE GASIFICADO </t>
  </si>
  <si>
    <t>SERVICIO DE MANTENIMIENTO EN CAMARA 01</t>
  </si>
  <si>
    <t>AMPLIACION DE CAMARA PARA ARANDANOS</t>
  </si>
  <si>
    <t>EXOTIC'S PRODUCERS &amp; PACKERS S.A.C.</t>
  </si>
  <si>
    <t>MPLEMENTACION DE PACKING DE UVA</t>
  </si>
  <si>
    <t>AGRICOLA GINOBETO S.A.C.</t>
  </si>
  <si>
    <t>MONTAJE DE HIDROCOOLER DE M.P Y CAMARA DE M.P</t>
  </si>
  <si>
    <t>VENTA E INSTALACIÓN DE ACCESORIOS PREPINTADOS</t>
  </si>
  <si>
    <t>KWS PERU SOCIEDAD ANONIMA CERRADA - KWS PERU S.A.C.</t>
  </si>
  <si>
    <t>SERVICIO DE MANTENIMIENTO</t>
  </si>
  <si>
    <t>IMPLEMENTACION DE TUNELES Y CAMARA PARA MANGO</t>
  </si>
  <si>
    <t>AGROINVERSIONES VALLE Y PAMPA PERU SOCIEDAD ANONIMA</t>
  </si>
  <si>
    <t>CAMARA DE GASIFICADO</t>
  </si>
  <si>
    <t>AMPLIACION DE CAMARAS</t>
  </si>
  <si>
    <t>PACKING DE MANGO</t>
  </si>
  <si>
    <t>MANTENIMIENTO Y REFUERZO DE ESTRUCTURA METALICA</t>
  </si>
  <si>
    <t>SISTEMA DE HUMIFICACION CON RESISTENCIA ELECTRICA</t>
  </si>
  <si>
    <t>SUMINISTRO E INSTALACIÓN DE SELLO INFLABLE</t>
  </si>
  <si>
    <t>FUNDO LOS PALTOS SOCIEDAD ANONIMA CERRADA</t>
  </si>
  <si>
    <t>AMPLIACION DE ZONA DE DESPACHO/EMBARQUE DE PLANTA DE PACKING</t>
  </si>
  <si>
    <t xml:space="preserve">ADICIONAL TUNEL ARANDANOS </t>
  </si>
  <si>
    <t>LÍNEA DE PROCESAMIENTO AUTOMATIZADO DE CLASIFICACIÓN Y CORTE DE ESPÁRRAGO VERDE FRESCO</t>
  </si>
  <si>
    <t>IMPLEMENTACIÓN DE PACKING PARA ARÁNDANOS DE FRESCO - ADICIONAL</t>
  </si>
  <si>
    <t>VENTA DE ENCUESTO</t>
  </si>
  <si>
    <t xml:space="preserve">VENTA E INSALACION DE PANELES    </t>
  </si>
  <si>
    <t>ESTRUCTURA PARA CAMARA</t>
  </si>
  <si>
    <t>IMPLEMENTACIÓN DE SISTEMA DE REFRIGERACIÓN PARA PLANTA DE CONGELADO Y FRESCO</t>
  </si>
  <si>
    <t xml:space="preserve">CAMARA DE FUMIGACIÓN - INSTALACION MECANICA </t>
  </si>
  <si>
    <t>DESMONTAJE DE PANELES,EQUIPOS Y PARTE EECTRICA</t>
  </si>
  <si>
    <t>POR OBRAS CIVILES PREPACKING UVA</t>
  </si>
  <si>
    <t>AMPLIACIÓN DE 02 CÁMARAS DE GASIFICADO Y TÚNEL 22 PALLETS - EQUIPOS</t>
  </si>
  <si>
    <t xml:space="preserve">AMPLIACIÓN DE 02 CÁMARAS DE GASIFICADO Y TÚNEL 22 PALLETS </t>
  </si>
  <si>
    <t xml:space="preserve">AMPLIACIÓN DE PLANTA                                                                                                                                                                                                                                      </t>
  </si>
  <si>
    <t>MANTENIMIENTO CORRECTIVO DE PUERTA SECCIONAL</t>
  </si>
  <si>
    <t>CONSTRUCCIÓN E INSTALACIÓN DE EQUIPOS DE FRIÓ PARA ZONA DE PASILLOS Y DESPACHO N°2</t>
  </si>
  <si>
    <t xml:space="preserve">TRABAJOS ADICIONALES </t>
  </si>
  <si>
    <t>ANTECAMARA - ADICIONAL</t>
  </si>
  <si>
    <t>RATTO RISSO GINO ERNESTO CESAR</t>
  </si>
  <si>
    <t xml:space="preserve">IMPLEMENTACIÓN DE EQUIPOS PARA CÁMARA DE GASIFICADO                                                                                                                                                                                                       </t>
  </si>
  <si>
    <t xml:space="preserve">SUMINISTRO E INST. PARA PANELES </t>
  </si>
  <si>
    <t>AMPLIACION DE PLANTA DE PALTA</t>
  </si>
  <si>
    <t xml:space="preserve">MONTAJE Y DESMONTAJE DE ESTRUCTURA </t>
  </si>
  <si>
    <t>VENTA E INSTALACION DE EVAPORADORES</t>
  </si>
  <si>
    <t>SERVICIO DE INSTALACION Y CALIBRACIÓN</t>
  </si>
  <si>
    <t xml:space="preserve">SUMINISTRO E INSTALACIÓN DE PANELES EN SALA DE PROCESOS CITRICOS                                                                                                                                                                                          </t>
  </si>
  <si>
    <t xml:space="preserve">IMPLEMENTACIÓN DE PACKING                                                                                                                                                                                                                                 </t>
  </si>
  <si>
    <t xml:space="preserve">SERVICIO DE PREPARACION DE TERRENO                                                                                                                                                                                                                        </t>
  </si>
  <si>
    <t xml:space="preserve">REFRIGERANTES Y PUESTA EN MARCHA                                                                                                                                                                                                                          </t>
  </si>
  <si>
    <t xml:space="preserve">AMPLIACIÓN DE PACKING                                                                                                                                                                                                                                     </t>
  </si>
  <si>
    <t xml:space="preserve">AMPLIACION DE DESPACHO                                                                                                                                                                                                                                    </t>
  </si>
  <si>
    <t xml:space="preserve">AMPLIACIÓN DE CÁMARA DE ALMACENAMIENTO                                                                                                                                                                                                                    </t>
  </si>
  <si>
    <t xml:space="preserve">CÁMARAS DE MADURACIÓN                                                                                                                                                                                                                                     </t>
  </si>
  <si>
    <t>MONTAJE ELECTROMECANICO CAMARA GRANDRE Y PEQUEA</t>
  </si>
  <si>
    <t xml:space="preserve">CÁMARA DE GERMINACIÓN                                                                                                                                                                                                                                     </t>
  </si>
  <si>
    <t>SERVICIO DE ELABORACION DE EXPEDIENTE DE INGENERIA DE DETALLE DE SISTEMA DE AIRE ACONDICIONADO</t>
  </si>
  <si>
    <t>INVERNADERO</t>
  </si>
  <si>
    <t xml:space="preserve">CÁMARA CLIMATIZADA                                                                                                                                                                                                                                        </t>
  </si>
  <si>
    <t>AMPLIACION DE 2 TUNELES</t>
  </si>
  <si>
    <t xml:space="preserve">CÁMARA DE GASIFICADO                                                                                                                                                                                                                                      </t>
  </si>
  <si>
    <t>MONTAJE DE TUNEL DE PALTA EN ZONA DE MADURACION</t>
  </si>
  <si>
    <t>COMEDOR</t>
  </si>
  <si>
    <t>AGROPIURA S.A.C.</t>
  </si>
  <si>
    <t>INVERSIONES AGRICOLAS OLMOS S.A.C.</t>
  </si>
  <si>
    <t>AGRICOLA SANTA AZUL S.A.C</t>
  </si>
  <si>
    <t>LOS OLIVOS DE VILLACURI S.A.C.</t>
  </si>
  <si>
    <t>BLUEBERRIES PERU S.A.C.</t>
  </si>
  <si>
    <t>FUNDO SAN FERNANDO S.A.</t>
  </si>
  <si>
    <t>AGROCASAGRANDE S.A.C.</t>
  </si>
  <si>
    <t>HORTIFRUT - PERÚ S.A.C.</t>
  </si>
  <si>
    <t>DISTRIBUCIONES Y SERVICIOS ROMA S.A.C.</t>
  </si>
  <si>
    <t>PENTA INGENIERIA Y PROYECTOS S.A.C.</t>
  </si>
  <si>
    <t>SANG BARRENTS´S COMPANY S.A.C.</t>
  </si>
  <si>
    <t>FLORES</t>
  </si>
  <si>
    <t>FRESH ASPARAGUS E.I.R.L.</t>
  </si>
  <si>
    <t>AGROMAR INDUSTRIAL S.A.</t>
  </si>
  <si>
    <t>POMICA PERU SOCIEDAD ANONIMA CERRADA</t>
  </si>
  <si>
    <t>SOCIEDAD EXPORTADORA VERFRUT SOCIEDAD ANONIMA CERRADA - SOCIEDAD EXPORTADORA VERFRUT S.A.C.</t>
  </si>
  <si>
    <t>CO2</t>
  </si>
  <si>
    <t>FRI COLD S.A.C.</t>
  </si>
  <si>
    <t>AGRO PARACAS S.A.</t>
  </si>
  <si>
    <t>CONSORCIO CARSOL - JRM S.A.C.</t>
  </si>
  <si>
    <t>CONSORCIO AGRICOLA MOQUEGUA S.A.C.</t>
  </si>
  <si>
    <t>MOQUEGUA</t>
  </si>
  <si>
    <t>TÚNEL IQF</t>
  </si>
  <si>
    <t>Venta e instalación</t>
  </si>
  <si>
    <t>ARA EXPORT S.A.C.</t>
  </si>
  <si>
    <t>LT MULTI SERVICES S.A.C.</t>
  </si>
  <si>
    <t>AGRICOLA 2M S.A.C.</t>
  </si>
  <si>
    <t>SAVAR AGENTES DE ADUANA S.A.</t>
  </si>
  <si>
    <t>INTIPA FOODS S.A.C.</t>
  </si>
  <si>
    <t>AGROINDUSTRIAL HUAMANI SAC</t>
  </si>
  <si>
    <t>AGRICOLA CERRO PRIETO S.A.</t>
  </si>
  <si>
    <t>HFE BERRIES PERU S.A.C.</t>
  </si>
  <si>
    <t>OZBLU PERU S.A.C.</t>
  </si>
  <si>
    <t>BROOM FRIO HOLDING MORROPE S.A.</t>
  </si>
  <si>
    <t>FRESH BUSINESS PERU S.A.C.</t>
  </si>
  <si>
    <t>NXTDRIED SUPERFOODS S.A.C.</t>
  </si>
  <si>
    <t>MEDLOG PIURA SAC</t>
  </si>
  <si>
    <t>AGRILOR S.A.C.</t>
  </si>
  <si>
    <t>CULTIVARES S.A.C.</t>
  </si>
  <si>
    <t>OREGON FOODS S.A.C.</t>
  </si>
  <si>
    <t>O-BLUE BERRY E.I.R.L.</t>
  </si>
  <si>
    <t>GENERADORES GAMMA S.A.C.</t>
  </si>
  <si>
    <t>PRY 2020-0000084</t>
  </si>
  <si>
    <t>EL PEDREGAL S.A.</t>
  </si>
  <si>
    <t>PRY 2020-0000086</t>
  </si>
  <si>
    <t>PRD 2020-0000058</t>
  </si>
  <si>
    <t>PRY 2020-0000085</t>
  </si>
  <si>
    <t>PRY 2020-0000087</t>
  </si>
  <si>
    <t>FAMILY FARMS PERÚ S.R.L.</t>
  </si>
  <si>
    <t>PRY 2020-0000088</t>
  </si>
  <si>
    <t>PR</t>
  </si>
  <si>
    <t>PRY 2021-0000003</t>
  </si>
  <si>
    <t>PRY 2021-0000001</t>
  </si>
  <si>
    <t>PRY 2020-0000045</t>
  </si>
  <si>
    <t>PRD 2021-0000001</t>
  </si>
  <si>
    <t>PRY 2020-0000058</t>
  </si>
  <si>
    <t>PRD 2021-0000002</t>
  </si>
  <si>
    <t>PRY 2021-0000004</t>
  </si>
  <si>
    <t>PRD 2021-0000003</t>
  </si>
  <si>
    <t>PRY 2021-0000011</t>
  </si>
  <si>
    <t>PRY 2021-0000005</t>
  </si>
  <si>
    <t>PRD 2021-0000004</t>
  </si>
  <si>
    <t>PUQUIAL SOCIEDAD ANONIMA</t>
  </si>
  <si>
    <t>PRY 2021-0000008</t>
  </si>
  <si>
    <t>PRY 2021-0000006</t>
  </si>
  <si>
    <t>PRY 2021-0000007</t>
  </si>
  <si>
    <t>PRY 2021-0000009</t>
  </si>
  <si>
    <t>PRY 2021-0000010</t>
  </si>
  <si>
    <t>PRY 2021-0000012</t>
  </si>
  <si>
    <t>INKA GOLD FARMS S.A.C.</t>
  </si>
  <si>
    <t>VS</t>
  </si>
  <si>
    <t>PRY 2021-0000013</t>
  </si>
  <si>
    <t>PRY 2021-0000014</t>
  </si>
  <si>
    <t>PROCESADORA TORRE BLANCA S.A.C</t>
  </si>
  <si>
    <t>PRY 2021-0000015</t>
  </si>
  <si>
    <t>PRY 2021-0000016</t>
  </si>
  <si>
    <t>PRY 2021-0000017</t>
  </si>
  <si>
    <t>PRD 2021-0000006</t>
  </si>
  <si>
    <t>PRY 2021-0000019</t>
  </si>
  <si>
    <t>PRY 2021-0000018</t>
  </si>
  <si>
    <t>PRY 2021-0000020</t>
  </si>
  <si>
    <t>PRY 2021-0000021</t>
  </si>
  <si>
    <t>AD</t>
  </si>
  <si>
    <t>PRD 2021-0000007</t>
  </si>
  <si>
    <t>PRY 2021-0000022</t>
  </si>
  <si>
    <t>PRD 2021-0000009</t>
  </si>
  <si>
    <t>PRD 2021-0000008</t>
  </si>
  <si>
    <t>AGRO AEI S.A.C.</t>
  </si>
  <si>
    <t>PRY 2021-0000023</t>
  </si>
  <si>
    <t>SMART PACKING S.A.C.</t>
  </si>
  <si>
    <t>PRY 2021-0000024</t>
  </si>
  <si>
    <t>PRY 2021-0000025</t>
  </si>
  <si>
    <t>PRD 2021-0000011</t>
  </si>
  <si>
    <t>PRD 2021-0000012</t>
  </si>
  <si>
    <t>PRD 2021-0000013</t>
  </si>
  <si>
    <t>PRD 2021-0000014</t>
  </si>
  <si>
    <t>PRD 2021-0000015</t>
  </si>
  <si>
    <t>PRD 2021-0000017</t>
  </si>
  <si>
    <t>PRD 2021-0000016</t>
  </si>
  <si>
    <t>AGRO ISM S.A.C.</t>
  </si>
  <si>
    <t>PRY 2021-0000026</t>
  </si>
  <si>
    <t>QALI FRUITS S.A.C.</t>
  </si>
  <si>
    <t>CAYNARACHI S.A.</t>
  </si>
  <si>
    <t>TARAPOTO</t>
  </si>
  <si>
    <t>PRD 2021-0000020</t>
  </si>
  <si>
    <t>PRD 2021-0000019</t>
  </si>
  <si>
    <t>PRY 2021-0000032</t>
  </si>
  <si>
    <t>PRY 2021-0000033</t>
  </si>
  <si>
    <t>PRY 2021-0000034</t>
  </si>
  <si>
    <t>PRY 2021-0000039</t>
  </si>
  <si>
    <t>PRY 2021-0000038</t>
  </si>
  <si>
    <t>PRY 2021-0000035</t>
  </si>
  <si>
    <t>PRY 2021-0000036</t>
  </si>
  <si>
    <t>PRY 2021-0000037</t>
  </si>
  <si>
    <t>PRY 2021-0000040</t>
  </si>
  <si>
    <t>PRD 2021-0000021</t>
  </si>
  <si>
    <t>LARAMA BERRIES S.A.C.</t>
  </si>
  <si>
    <t>PRY 2021-0000041</t>
  </si>
  <si>
    <t>PRY 2021-0000042</t>
  </si>
  <si>
    <t>PRD 2021-0000023</t>
  </si>
  <si>
    <t>PRY 2021-0000043</t>
  </si>
  <si>
    <t>ZEDINA ALIMENTOS S.A.C.</t>
  </si>
  <si>
    <t>PRY 2021-0000050</t>
  </si>
  <si>
    <t>PRY 2021-0000046</t>
  </si>
  <si>
    <t>PRY 2021-0000045</t>
  </si>
  <si>
    <t>PRY 2021-0000048</t>
  </si>
  <si>
    <t>PRY 2021-0000047</t>
  </si>
  <si>
    <t>PRY 2021-0000049</t>
  </si>
  <si>
    <t>PRD 2021-0000025</t>
  </si>
  <si>
    <t>PRY 2021-0000054</t>
  </si>
  <si>
    <t>PRY 2021-0000053</t>
  </si>
  <si>
    <t>PRY 2021-0000055</t>
  </si>
  <si>
    <t>PRY 2021-0000056</t>
  </si>
  <si>
    <t>PRY 2021-0000052</t>
  </si>
  <si>
    <t>PRY 2021-0000057</t>
  </si>
  <si>
    <t>PRY 2021-0000058</t>
  </si>
  <si>
    <t>PRY 2021-0000059</t>
  </si>
  <si>
    <t>PRD 2021-0000027</t>
  </si>
  <si>
    <t>PRD 2021-0000026</t>
  </si>
  <si>
    <t>PRY 2021-0000062</t>
  </si>
  <si>
    <t>PRY 2021-0000061</t>
  </si>
  <si>
    <t>PRY 2021-0000060</t>
  </si>
  <si>
    <t>PRY 2021-0000064</t>
  </si>
  <si>
    <t>PRY 2021-0000063</t>
  </si>
  <si>
    <t>PRD 2021-0000028</t>
  </si>
  <si>
    <t>PRY 2021-0000065</t>
  </si>
  <si>
    <t>PRY 2021-0000066</t>
  </si>
  <si>
    <t>PRY 2021-0000067</t>
  </si>
  <si>
    <t>PRD 2021-0000030</t>
  </si>
  <si>
    <t>PRY 2021-0000068</t>
  </si>
  <si>
    <t>INGENIERIA EN CARTONES Y PAPELES S.A.C.</t>
  </si>
  <si>
    <t>PRY 2021-0000069</t>
  </si>
  <si>
    <t>PRY 2021-0000074</t>
  </si>
  <si>
    <t>PRD 2021-0000036</t>
  </si>
  <si>
    <t>PRY 2021-0000070</t>
  </si>
  <si>
    <t>PRD 2021-0000033</t>
  </si>
  <si>
    <t>PRY 2021-0000071</t>
  </si>
  <si>
    <t>PRD 2021-0000034</t>
  </si>
  <si>
    <t>PRD 2021-0000031</t>
  </si>
  <si>
    <t>PRY 2021-0000072</t>
  </si>
  <si>
    <t>VSI</t>
  </si>
  <si>
    <t>PRY 2021-0000084</t>
  </si>
  <si>
    <t>PRY 2021-0000085</t>
  </si>
  <si>
    <t>WESTFALIA FRUIT PERU S.A.C.</t>
  </si>
  <si>
    <t>PRY 2021-0000086</t>
  </si>
  <si>
    <t>PRD 2021-0000041</t>
  </si>
  <si>
    <t>PRY 2021-0000088</t>
  </si>
  <si>
    <t>PRY 2021-0000087</t>
  </si>
  <si>
    <t>PRY 2021-0000090</t>
  </si>
  <si>
    <t>PRY 2021-0000089</t>
  </si>
  <si>
    <t>PRD 2021-0000043</t>
  </si>
  <si>
    <t>PRD 2021-0000042</t>
  </si>
  <si>
    <t>MEGABUSINESS PERÚ S.A.C.</t>
  </si>
  <si>
    <t>CALLAO</t>
  </si>
  <si>
    <t>PRY 2021-0000091</t>
  </si>
  <si>
    <t>PRY 2021-0000092</t>
  </si>
  <si>
    <t>PRY 2021-0000093</t>
  </si>
  <si>
    <t>PRY 2021-0000094</t>
  </si>
  <si>
    <t>PRD 2021-0000044</t>
  </si>
  <si>
    <t>PRD 2021-0000046</t>
  </si>
  <si>
    <t>PRD 2021-0000047</t>
  </si>
  <si>
    <t>PRD 2021-0000048</t>
  </si>
  <si>
    <t>PRY 2021-0000095</t>
  </si>
  <si>
    <t>PRD 2021-0000049</t>
  </si>
  <si>
    <t>PRD 2021-0000050</t>
  </si>
  <si>
    <t>PRY 2021-0000096</t>
  </si>
  <si>
    <t>PRY 2021-0000097</t>
  </si>
  <si>
    <t>PRY 2021-0000098</t>
  </si>
  <si>
    <t>PRY 2021-0000099</t>
  </si>
  <si>
    <t>PRY 2021-0000100</t>
  </si>
  <si>
    <t>PRY 2021-0000101</t>
  </si>
  <si>
    <t>PRY 2021-0000102</t>
  </si>
  <si>
    <t>PRY 2021-0000103</t>
  </si>
  <si>
    <t>PRD 2021-0000051</t>
  </si>
  <si>
    <t>EGA AGROINDUSTRIAL S.A.C.</t>
  </si>
  <si>
    <t>PRY 2021-0000104</t>
  </si>
  <si>
    <t>APM TERMINALS INLAND SERVICES S.A.</t>
  </si>
  <si>
    <t>PRY 2021-0000105</t>
  </si>
  <si>
    <t>VARAYOC INVERSIONES S.A.C.</t>
  </si>
  <si>
    <t>PRY 2021-0000107</t>
  </si>
  <si>
    <t>PRY 2021-0000106</t>
  </si>
  <si>
    <t>PRY 2021-0000108</t>
  </si>
  <si>
    <t>PRY 2021-0000109</t>
  </si>
  <si>
    <t>PRD 2021-0000052</t>
  </si>
  <si>
    <t>PRY 2021-0000110</t>
  </si>
  <si>
    <t>PRY 2021-0000113</t>
  </si>
  <si>
    <t>PRY 2021-0000111</t>
  </si>
  <si>
    <t>INNOVAR 3A S.A.C.</t>
  </si>
  <si>
    <t>PRY 2021-0000112</t>
  </si>
  <si>
    <t>PRD 2021-0000053</t>
  </si>
  <si>
    <t>PRY 2021-0000114</t>
  </si>
  <si>
    <t>PRY 2021-0000115</t>
  </si>
  <si>
    <t>PRY 2021-0000116</t>
  </si>
  <si>
    <t>PRD 2021-0000055</t>
  </si>
  <si>
    <t>PRD 2021-0000056</t>
  </si>
  <si>
    <t>PRY 2021-0000117</t>
  </si>
  <si>
    <t>PRY 2021-0000118</t>
  </si>
  <si>
    <t>PRD 2022-0000000</t>
  </si>
  <si>
    <t>PRD 2022-0000001</t>
  </si>
  <si>
    <t>PRY 2022-0000002</t>
  </si>
  <si>
    <t>PRY 2022-0000000</t>
  </si>
  <si>
    <t>PRY 2022-0000001</t>
  </si>
  <si>
    <t>PRD 2022-0000002</t>
  </si>
  <si>
    <t>PRD 2022-0000003</t>
  </si>
  <si>
    <t>PRD 2022-0000004</t>
  </si>
  <si>
    <t>PRD 2022-0000005</t>
  </si>
  <si>
    <t>PRY 2022-0000003</t>
  </si>
  <si>
    <t>DESARROLLO AGRICOLA S.A.C.</t>
  </si>
  <si>
    <t>PRY 2022-0000005</t>
  </si>
  <si>
    <t>PRY 2022-0000006</t>
  </si>
  <si>
    <t>SUNSHINE EXPORT S.A.C.</t>
  </si>
  <si>
    <t>PRY 2022-0000010</t>
  </si>
  <si>
    <t>PRY 2022-0000011</t>
  </si>
  <si>
    <t>PRY 2022-0000012</t>
  </si>
  <si>
    <t>PRD 2022-0000006</t>
  </si>
  <si>
    <t>PRY 2022-0000013</t>
  </si>
  <si>
    <t>PRD 2022-0000007</t>
  </si>
  <si>
    <t>PRY 2022-0000014</t>
  </si>
  <si>
    <t>PRD 2022-0000008</t>
  </si>
  <si>
    <t>PRD 2022-0000009</t>
  </si>
  <si>
    <t>PRD 2022-0000010</t>
  </si>
  <si>
    <t>PRD 2022-0000011</t>
  </si>
  <si>
    <t>PRY 2022-0000015</t>
  </si>
  <si>
    <t>PRY 2022-0000016</t>
  </si>
  <si>
    <t>PRD 2022-0000012</t>
  </si>
  <si>
    <t>TRAPANI CULTIVARES PERU SAC</t>
  </si>
  <si>
    <t>PRY 2022-0000017</t>
  </si>
  <si>
    <t>PRY 2022-0000018</t>
  </si>
  <si>
    <t>PRY 2022-0000019</t>
  </si>
  <si>
    <t>PRY 2022-0000020</t>
  </si>
  <si>
    <t>PRD 2022-0000013</t>
  </si>
  <si>
    <t>PRY 2022-0000021</t>
  </si>
  <si>
    <t>PRD 2022-0000014</t>
  </si>
  <si>
    <t>PRY 2022-0000022</t>
  </si>
  <si>
    <t>PRD 2022-0000015</t>
  </si>
  <si>
    <t>PRD 2022-0000016</t>
  </si>
  <si>
    <t>PRD 2022-0000017</t>
  </si>
  <si>
    <t>PRY 2022-0000023</t>
  </si>
  <si>
    <t>PRY 2022-0000024</t>
  </si>
  <si>
    <t>MEDIFARMA S.A.</t>
  </si>
  <si>
    <t>BOMAREA S.R.L.</t>
  </si>
  <si>
    <t>PRY 2022-0000035</t>
  </si>
  <si>
    <t>PRY 2022-0000038</t>
  </si>
  <si>
    <t>PRY 2022-0000039</t>
  </si>
  <si>
    <t>AQU ANQA S.A.C.</t>
  </si>
  <si>
    <t>PRY 2022-0000041</t>
  </si>
  <si>
    <t>PRY 2022-0000040</t>
  </si>
  <si>
    <t>PRD 2022-0000022</t>
  </si>
  <si>
    <t>PRD 2022-0000023</t>
  </si>
  <si>
    <t>PRD 2022-0000024</t>
  </si>
  <si>
    <t>PRD 2022-0000025</t>
  </si>
  <si>
    <t>PRY 2022-0000043</t>
  </si>
  <si>
    <t>COMPAÑÍA AGRICOLA PISCO S.A.C.</t>
  </si>
  <si>
    <t>PRY 2022-0000042</t>
  </si>
  <si>
    <t>PRY 2022-0000044</t>
  </si>
  <si>
    <t>R COORP E.I.R.L.</t>
  </si>
  <si>
    <t>PRY 2022-0000045</t>
  </si>
  <si>
    <t>PRY 2022-0000046</t>
  </si>
  <si>
    <t>PRY 2022-0000047</t>
  </si>
  <si>
    <t>fr</t>
  </si>
  <si>
    <t>PRY 2022-0000048</t>
  </si>
  <si>
    <t>PRD 2022-0000026</t>
  </si>
  <si>
    <t>PRY 2022-0000050</t>
  </si>
  <si>
    <t>PANIFICADORA BIMBO DEL PERU S.A.</t>
  </si>
  <si>
    <t>PRY 2022-0000049</t>
  </si>
  <si>
    <t>PRY 2022-0000051</t>
  </si>
  <si>
    <t>PRY 2022-0000052</t>
  </si>
  <si>
    <t>PRD 2022-0000028</t>
  </si>
  <si>
    <t>PRY 2022-0000053</t>
  </si>
  <si>
    <t>PRY 2022-0000054</t>
  </si>
  <si>
    <t>PRY 2022-0000055</t>
  </si>
  <si>
    <t>PRY 2022-0000056</t>
  </si>
  <si>
    <t>PRY 2022-0000057</t>
  </si>
  <si>
    <t>PRY 2022-0000058</t>
  </si>
  <si>
    <t>PRD 2022-0000029</t>
  </si>
  <si>
    <t>PRD 2022-0000030</t>
  </si>
  <si>
    <t>PRY 2022-0000060</t>
  </si>
  <si>
    <t>PRY 2022-0000059</t>
  </si>
  <si>
    <t>PRY 2022-0000061</t>
  </si>
  <si>
    <t>PRY 2022-0000063</t>
  </si>
  <si>
    <t>PRY 2022-0000062</t>
  </si>
  <si>
    <t>PRD 2022-0000031</t>
  </si>
  <si>
    <t>PRD 2022-0000032</t>
  </si>
  <si>
    <t>PRD 2022-0000033</t>
  </si>
  <si>
    <t>PRY 2022-0000064</t>
  </si>
  <si>
    <t>PRY 2022-0000065</t>
  </si>
  <si>
    <t>PRY 2022-0000066</t>
  </si>
  <si>
    <t>PRD 2022-0000034</t>
  </si>
  <si>
    <t>PRY 2022-0000067</t>
  </si>
  <si>
    <t>PRD 2022-0000035</t>
  </si>
  <si>
    <t>PRY 2022-0000069</t>
  </si>
  <si>
    <t>SMARTCOLD S.A.C.</t>
  </si>
  <si>
    <t>ANDEAN NATURAL PRODUCTS EXPORT IMPORT S.A.C.</t>
  </si>
  <si>
    <t>PRY 2022-0000072</t>
  </si>
  <si>
    <t>PRY 2022-0000073</t>
  </si>
  <si>
    <t>PRD 2022-0000039</t>
  </si>
  <si>
    <t>PRY 2022-0000074</t>
  </si>
  <si>
    <t>PRD 2022-0000040</t>
  </si>
  <si>
    <t>PRD 2022-0000041</t>
  </si>
  <si>
    <t>PRD 2022-0000042</t>
  </si>
  <si>
    <t>PRD 2022-0000043</t>
  </si>
  <si>
    <t>PRY 2022-0000075</t>
  </si>
  <si>
    <t>PRY 2022-0000076</t>
  </si>
  <si>
    <t>PRY 2022-0000077</t>
  </si>
  <si>
    <t>PRY 2022-0000078</t>
  </si>
  <si>
    <t>PRD 2022-0000044</t>
  </si>
  <si>
    <t>PRD 2022-0000045</t>
  </si>
  <si>
    <t>PRY 2022-0000079</t>
  </si>
  <si>
    <t>PRY 2022-0000080</t>
  </si>
  <si>
    <t>PRD 2022-0000046</t>
  </si>
  <si>
    <t>PRD 2022-0000047</t>
  </si>
  <si>
    <t>PRY 2022-0000082</t>
  </si>
  <si>
    <t>PRY 2022-0000081</t>
  </si>
  <si>
    <t>PRD 2022-0000048</t>
  </si>
  <si>
    <t>PRY 2022-0000083</t>
  </si>
  <si>
    <t>PRY 2022-0000084</t>
  </si>
  <si>
    <t>PRY 2022-0000086</t>
  </si>
  <si>
    <t>PRY 2022-0000085</t>
  </si>
  <si>
    <t>PRD 2022-0000049</t>
  </si>
  <si>
    <t>PRD 2022-0000050</t>
  </si>
  <si>
    <t>PRD 2022-0000051</t>
  </si>
  <si>
    <t>PRY 2022-0000087</t>
  </si>
  <si>
    <t>PRD 2022-0000052</t>
  </si>
  <si>
    <t>PRD 2022-0000054</t>
  </si>
  <si>
    <t>PRD 2022-0000055</t>
  </si>
  <si>
    <t>PRY 2022-0000088</t>
  </si>
  <si>
    <t>PRY 2022-0000090</t>
  </si>
  <si>
    <t>PRY 2022-0000089</t>
  </si>
  <si>
    <t>PRD 2022-0000056</t>
  </si>
  <si>
    <t>PRD 2022-0000057</t>
  </si>
  <si>
    <t>PRD 2022-0000058</t>
  </si>
  <si>
    <t>PRD 2022-0000059</t>
  </si>
  <si>
    <t>PRD 2022-0000060</t>
  </si>
  <si>
    <t>CHICHAYO</t>
  </si>
  <si>
    <t>PRY 2022-0000092</t>
  </si>
  <si>
    <t>PRY 2022-0000093</t>
  </si>
  <si>
    <t>PRD 2022-0000061</t>
  </si>
  <si>
    <t>PRD 2022-0000062</t>
  </si>
  <si>
    <t>PRY 2022-0000095</t>
  </si>
  <si>
    <t>PRY 2022-0000094</t>
  </si>
  <si>
    <t>PRD 2022-0000063</t>
  </si>
  <si>
    <t>PRY 2022-0000096</t>
  </si>
  <si>
    <t>PRY 2022-0000097</t>
  </si>
  <si>
    <t>PRD 2022-0000065</t>
  </si>
  <si>
    <t>PRD 2022-0000064</t>
  </si>
  <si>
    <t>PRD 2022-0000066</t>
  </si>
  <si>
    <t>PRD 2022-0000067</t>
  </si>
  <si>
    <t>PRD 2022-0000068</t>
  </si>
  <si>
    <t>PRD 2022-0000069</t>
  </si>
  <si>
    <t>PRY 2022-0000099</t>
  </si>
  <si>
    <t>AGRICOLA LOS BUENOS MUCHACHOS DE PISCO S.A.C.</t>
  </si>
  <si>
    <t>PRY 2022-0000098</t>
  </si>
  <si>
    <t>PRY 2022-0000101</t>
  </si>
  <si>
    <t>PRY 2022-0000100</t>
  </si>
  <si>
    <t>PRY 2022-0000103</t>
  </si>
  <si>
    <t>AGRICOLA ALAYA SOCIEDAD ANONIMA CERRADA</t>
  </si>
  <si>
    <t>PRY 2022-0000102</t>
  </si>
  <si>
    <t>PRY 2022-0000104</t>
  </si>
  <si>
    <t>PRY 2022-0000106</t>
  </si>
  <si>
    <t>PRY 2022-0000105</t>
  </si>
  <si>
    <t>PRD 2022-0000070</t>
  </si>
  <si>
    <t>PRD 2023-0000000</t>
  </si>
  <si>
    <t>SUMINISTRO E INSTALACION ENFRIADORES</t>
  </si>
  <si>
    <t>PRY 2023-0000000</t>
  </si>
  <si>
    <t>SALA PROCESOS PALTA</t>
  </si>
  <si>
    <t>PRY 2023-0000001</t>
  </si>
  <si>
    <t>SUMINISTRO E INSTALACION CONDENSADORES GUNTER</t>
  </si>
  <si>
    <t>PRY 2023-0000003</t>
  </si>
  <si>
    <t>SISTEMA LONA TUNEL CMP 5°C</t>
  </si>
  <si>
    <t>ALICORP SAA</t>
  </si>
  <si>
    <t>PRY 2023-0000002</t>
  </si>
  <si>
    <t>SUMINISTRO E INSTALACION NIVELADOR</t>
  </si>
  <si>
    <t>PRY 2023-0000004</t>
  </si>
  <si>
    <t>INTEGRACION TERMOMETRIA ERP</t>
  </si>
  <si>
    <t>PRY 2023-0000005</t>
  </si>
  <si>
    <t>REEMPLAZO RACKS ACUMULATIVOS CAMARA 5</t>
  </si>
  <si>
    <t>PRD 2023-0000001</t>
  </si>
  <si>
    <t>PACKING BFHM</t>
  </si>
  <si>
    <t>PRD 2023-0000002</t>
  </si>
  <si>
    <t>SUMINISTRO E INSTALACION PANELES</t>
  </si>
  <si>
    <t>PRY 2023-0000008</t>
  </si>
  <si>
    <t>DESARROLLO SISTEMA TERMOMETRIA</t>
  </si>
  <si>
    <t>PRY 2023-0000006</t>
  </si>
  <si>
    <t>AMPLIACION PACKING ARANDANO</t>
  </si>
  <si>
    <t>PRY 2023-0000007</t>
  </si>
  <si>
    <t>TERMOMETRIA</t>
  </si>
  <si>
    <t>c</t>
  </si>
  <si>
    <t>PRD 2023-0000003</t>
  </si>
  <si>
    <t>PLANTA DE PROCESOS ARANDANO 1ERA ETAPA FASE 1 - F.S 100%</t>
  </si>
  <si>
    <t>PRD 2023-0000004</t>
  </si>
  <si>
    <t>AMONIACO SALA DE PROCESO PARA UVA GLICOL</t>
  </si>
  <si>
    <t>PRD 2023-0000005</t>
  </si>
  <si>
    <t>SISTEMA CHILLER CO2</t>
  </si>
  <si>
    <t>PRY 2023-0000009</t>
  </si>
  <si>
    <t>PACKING ARANDANOS</t>
  </si>
  <si>
    <t>PRY 2023-0000010</t>
  </si>
  <si>
    <t>REEMPLAZO PARTE SUPERIOR CONDENSADOR</t>
  </si>
  <si>
    <t>PRY 2023-0000011</t>
  </si>
  <si>
    <t>MEMORIA DESCRIPTIVA</t>
  </si>
  <si>
    <t>PRD 2023-0000007</t>
  </si>
  <si>
    <t>PRY 2023-0000012</t>
  </si>
  <si>
    <t>AMPLIACION CENTRO ACOPIO Y ENFRIAMIEN TO PARA ARANDANO</t>
  </si>
  <si>
    <t>PRD 2023-0000008</t>
  </si>
  <si>
    <t>SUMINISTRO E INSTALACION PUERTA</t>
  </si>
  <si>
    <t>PRD 2023-0000011</t>
  </si>
  <si>
    <t>PRD 2023-0000009</t>
  </si>
  <si>
    <t>PRD 2023-0000010</t>
  </si>
  <si>
    <t>PRY 2023-0000013</t>
  </si>
  <si>
    <t>REINSTALACION SISTEMA TERMOMETRIA</t>
  </si>
  <si>
    <t>PRD 2023-0000012</t>
  </si>
  <si>
    <t>PRY 2023-0000014</t>
  </si>
  <si>
    <t>MODIFICACIONES SISTEMA NH3 ENFRIAMIENTO COMPRESORES</t>
  </si>
  <si>
    <t>PRY 2023-0000016</t>
  </si>
  <si>
    <t>INSTALACION CONDENSADORES TEVA</t>
  </si>
  <si>
    <t>PRY 2023-0000015</t>
  </si>
  <si>
    <t>AMPLIACION PACKING</t>
  </si>
  <si>
    <t>PRY 2023-0000017</t>
  </si>
  <si>
    <t>SUMINISTRO E INSTALACION DE NIVELADOR HIDRAULICO</t>
  </si>
  <si>
    <t>PRD 2023-0000013</t>
  </si>
  <si>
    <t>PRD 2023-0000014</t>
  </si>
  <si>
    <t>AGROFUTURA COMPANY S.A.C.</t>
  </si>
  <si>
    <t>PRY 2023-0000018</t>
  </si>
  <si>
    <t>ACOPIO ARANDANO 01 Y 02</t>
  </si>
  <si>
    <t>PRY 2023-0000019</t>
  </si>
  <si>
    <t>REEMPLAZO PUERTA CORREDERA</t>
  </si>
  <si>
    <t>PRY 2023-0000020</t>
  </si>
  <si>
    <t>AMPLIACION DE PLANTA DE PROCESO ARANDANO</t>
  </si>
  <si>
    <t>PRY 2023-0000021</t>
  </si>
  <si>
    <t>PRY 2023-0000022</t>
  </si>
  <si>
    <t>ADICIONAL MOVIMIENTO DE TIERRAS</t>
  </si>
  <si>
    <t>PRY 2023-0000023</t>
  </si>
  <si>
    <t>AMPLIACION SISTEMA DE REFRIGERACION DESPACHO</t>
  </si>
  <si>
    <t>PRY 2023-0000024</t>
  </si>
  <si>
    <t>REINSTALACION DE SOFTWARE ATS</t>
  </si>
  <si>
    <t>PRD 2023-0000016</t>
  </si>
  <si>
    <t>PRD 2023-0000017</t>
  </si>
  <si>
    <t>PRY 2023-0000025</t>
  </si>
  <si>
    <t>AMPLIACION PLANTA DE PROCESOS</t>
  </si>
  <si>
    <t>PRY 2023-0000027</t>
  </si>
  <si>
    <t>DESMONTAJE Y MONTAJE COMPRESOR</t>
  </si>
  <si>
    <t>NOVAGRI S.A.C.</t>
  </si>
  <si>
    <t>PRY 2023-0000029</t>
  </si>
  <si>
    <t>LABORATORIO-SALAS DE INSPECCION</t>
  </si>
  <si>
    <t>AXIONLOG PERU S.A.C.</t>
  </si>
  <si>
    <t>PRY 2023-0000028</t>
  </si>
  <si>
    <t>ALMACEN DE CONGELADO</t>
  </si>
  <si>
    <t>PRD 2023-0000018</t>
  </si>
  <si>
    <t>CLIMATIZACION CPT</t>
  </si>
  <si>
    <t>PRY 2023-0000030</t>
  </si>
  <si>
    <t>API PARA TERMOMETRIA MAMUT</t>
  </si>
  <si>
    <t>PRY 2023-0000031</t>
  </si>
  <si>
    <t>AMPLIACION PLANTA</t>
  </si>
  <si>
    <t>PRD 2023-0000019</t>
  </si>
  <si>
    <t>PRY 2023-0000032</t>
  </si>
  <si>
    <t>PLANTA ARANDANO 2 INTERCAMBIADORES + 2 BOMBAS</t>
  </si>
  <si>
    <t>PRY 2023-0000033</t>
  </si>
  <si>
    <t>SUMINISTRO E INSTALACION PUERTAS</t>
  </si>
  <si>
    <t>PRD 2023-0000020</t>
  </si>
  <si>
    <t>PRD 2023-0000021</t>
  </si>
  <si>
    <t>PRY 2023-0000034</t>
  </si>
  <si>
    <t>AMPLIACION PLANTA ICA</t>
  </si>
  <si>
    <t>PRY 2023-0000035</t>
  </si>
  <si>
    <t>DESMONTAJE Y MONTAJE COMPRESOR COT INICIAL</t>
  </si>
  <si>
    <t>PRD 2023-0000024</t>
  </si>
  <si>
    <t>PRD 2023-0000022</t>
  </si>
  <si>
    <t>PRD 2023-0000023</t>
  </si>
  <si>
    <t>PRY 2023-0000037</t>
  </si>
  <si>
    <t>SENSORES DE PRECION/CAMBIO PLC</t>
  </si>
  <si>
    <t>PRY 2023-0000036</t>
  </si>
  <si>
    <t>LETRAS DE LOGO FACHADA</t>
  </si>
  <si>
    <t>MEGACENTRO LURIN S.A.C.</t>
  </si>
  <si>
    <t>PRY 2023-0000038</t>
  </si>
  <si>
    <t>SUMINISTRO E INSTALACIONES PANELES ANTECAMARA Y CAMARA DE FRIO</t>
  </si>
  <si>
    <t>PRY 2023-0000039</t>
  </si>
  <si>
    <t>EQUIPOS</t>
  </si>
  <si>
    <t>PRD 2023-0000025</t>
  </si>
  <si>
    <t>PRD 2023-0000026</t>
  </si>
  <si>
    <t>PRD 2023-0000027</t>
  </si>
  <si>
    <t>PRD 2023-0000028</t>
  </si>
  <si>
    <t>PRY 2023-0000041</t>
  </si>
  <si>
    <t>AMONIACO AMPLIACION SALA DE MAQUINAS</t>
  </si>
  <si>
    <t>PRY 2023-0000040</t>
  </si>
  <si>
    <t>IMPLEMENTACION DE ACOPIO - FREON</t>
  </si>
  <si>
    <t>PRD 2023-0000029</t>
  </si>
  <si>
    <t>PRD 2023-0000030</t>
  </si>
  <si>
    <t>PRD 2023-0000031</t>
  </si>
  <si>
    <t>PRD 2023-0000032</t>
  </si>
  <si>
    <t>PRD 2023-0000035</t>
  </si>
  <si>
    <t>PLANTA ARANDANO/ 2 INTERCAMBIADORES + 2 BOMBAS</t>
  </si>
  <si>
    <t>PRD 2023-0000036</t>
  </si>
  <si>
    <t>PRY 2023-0000043</t>
  </si>
  <si>
    <t>ESCUELA DE FRIO</t>
  </si>
  <si>
    <t>PRD 2023-0000037</t>
  </si>
  <si>
    <t>PRD 2023-0000038</t>
  </si>
  <si>
    <t>PRD 2023-0000039</t>
  </si>
  <si>
    <t>PRY 2023-0000045</t>
  </si>
  <si>
    <t>CERTIFICADO SSL</t>
  </si>
  <si>
    <t>PRY 2023-0000044</t>
  </si>
  <si>
    <t>PRY 2023-0000046</t>
  </si>
  <si>
    <t>ACTUALIZACIONES DE TERMOMETRIA</t>
  </si>
  <si>
    <t>PRY 2023-0000047</t>
  </si>
  <si>
    <t>AMPLIACION DE PACKING 2023</t>
  </si>
  <si>
    <t>PRD 2023-0000040</t>
  </si>
  <si>
    <t>PRD 2023-0000041</t>
  </si>
  <si>
    <t>PRD 2023-0000043</t>
  </si>
  <si>
    <t>PRD 2023-0000042</t>
  </si>
  <si>
    <t>PACKING DEL CARMEN S.A.C.</t>
  </si>
  <si>
    <t>PRY 2023-0000048</t>
  </si>
  <si>
    <t>SUMINISTRO DE PANELES</t>
  </si>
  <si>
    <t>PRD 2023-0000044</t>
  </si>
  <si>
    <t>PRD 2023-0000045</t>
  </si>
  <si>
    <t>PLANTA UVA NH3 Y GLICOL</t>
  </si>
  <si>
    <t>PRY 2023-0000049</t>
  </si>
  <si>
    <t>PRD 2023-0000046</t>
  </si>
  <si>
    <t>PROYECTOS Y SOLUCIONES ELECTRICAS EIRL</t>
  </si>
  <si>
    <t>PRY 2023-0000050</t>
  </si>
  <si>
    <t>REINSTALACION TERMOMETRIA</t>
  </si>
  <si>
    <t>AGRICOLA MIRANDA S.A.C.</t>
  </si>
  <si>
    <t>PRY 2023-0000051</t>
  </si>
  <si>
    <t>OFICINAS</t>
  </si>
  <si>
    <t>PRD 2023-0000047</t>
  </si>
  <si>
    <t>PRD 2023-0000048</t>
  </si>
  <si>
    <t>PRD 2023-0000049</t>
  </si>
  <si>
    <t>PRY 2023-0000052</t>
  </si>
  <si>
    <t>SUMINISTRO INSTALACION PUERTA SECCION AL</t>
  </si>
  <si>
    <t>PRY 2023-0000054</t>
  </si>
  <si>
    <t>AMPLIACION CENTRO PLANTA ARANDANOS</t>
  </si>
  <si>
    <t>PRD 2023-0000050</t>
  </si>
  <si>
    <t>PRY 2023-0000055</t>
  </si>
  <si>
    <t>PRD 2023-0000051</t>
  </si>
  <si>
    <t>AGRICOLA LA GUERRERO S.A.C.</t>
  </si>
  <si>
    <t>PRY 2023-0000056</t>
  </si>
  <si>
    <t>ESTUDIO DE SUELO</t>
  </si>
  <si>
    <t>AGROBUSINESS INTERNATIONAL PERU S.A.C.</t>
  </si>
  <si>
    <t>PRY 2024-0000002</t>
  </si>
  <si>
    <t>PLANTA DE PROCESO DE ARANDANO</t>
  </si>
  <si>
    <t>AGROINDUSTRIAL ESTANISLAO DEL CHIMU S.A.C.</t>
  </si>
  <si>
    <t>PRY 2024-0000003</t>
  </si>
  <si>
    <t>CONSTRUCCION PLANTA PARA PALTAS FREON</t>
  </si>
  <si>
    <t>PRD 2023-0000052</t>
  </si>
  <si>
    <t>PRY 2023-0000057</t>
  </si>
  <si>
    <t>REPARACION 2 VARIADORES</t>
  </si>
  <si>
    <t>PRD 2023-0000053</t>
  </si>
  <si>
    <t>PRY 2024-0000001</t>
  </si>
  <si>
    <t>SUMINISTRO E INSTALACION NIVELADORES</t>
  </si>
  <si>
    <t>PRD 2024-0000001</t>
  </si>
  <si>
    <t>PRY 2024-0000004</t>
  </si>
  <si>
    <t>ACTUALIZACION SISTEMA TERMOMETRIA</t>
  </si>
  <si>
    <t>PRY 2024-0000005</t>
  </si>
  <si>
    <t>INSTALACION TERMOMETRIA</t>
  </si>
  <si>
    <t>PRD 2024-0000002</t>
  </si>
  <si>
    <t>PRD 2024-0000003</t>
  </si>
  <si>
    <t>PRY 2024-0000006</t>
  </si>
  <si>
    <t>REPRACION COMPRESOR DORIN 50HP</t>
  </si>
  <si>
    <t>PRD 2024-0000004</t>
  </si>
  <si>
    <t>EL ROCIO S.A.</t>
  </si>
  <si>
    <t>PRY 2024-0000007</t>
  </si>
  <si>
    <t>INGENIERIA DE FRIO PACKING AVES</t>
  </si>
  <si>
    <t>PRY 2024-0000008</t>
  </si>
  <si>
    <t>PRD 2024-0000006</t>
  </si>
  <si>
    <t>PACIFIC OCEAN BERRIES S.A.C.</t>
  </si>
  <si>
    <t>PRY 2024-0000009</t>
  </si>
  <si>
    <t>ACOPIO PARA ARANDANOS</t>
  </si>
  <si>
    <t>PRY 2024-0000010</t>
  </si>
  <si>
    <t>AMPLIACION PLANTA ARANDANOS</t>
  </si>
  <si>
    <t>PRD 2024-0000007</t>
  </si>
  <si>
    <t>PRY 2024-0000011</t>
  </si>
  <si>
    <t>CONFIGURACION COMPRESORES</t>
  </si>
  <si>
    <t>PRY 2024-0000012</t>
  </si>
  <si>
    <t>CO2 INSPECCION RACK</t>
  </si>
  <si>
    <t>PRD 2024-0000008</t>
  </si>
  <si>
    <t>PRD 2024-0000009</t>
  </si>
  <si>
    <t>PRD 2024-0000011</t>
  </si>
  <si>
    <t>PRD 2024-0000012</t>
  </si>
  <si>
    <t>PRY 2024-0000013</t>
  </si>
  <si>
    <t>SUMINISTRO E INSTALACION EQUIPOS COMPRESOR TORNILLO Y CONDENSADOR</t>
  </si>
  <si>
    <t>PRD 2024-0000013</t>
  </si>
  <si>
    <t>APOYO CONSULTORIA S.A.C.</t>
  </si>
  <si>
    <t>PRY 2024-0000014</t>
  </si>
  <si>
    <t>INSPECCION PLANTA</t>
  </si>
  <si>
    <t>PRD 2024-0000014</t>
  </si>
  <si>
    <t>PRY 2024-0000015</t>
  </si>
  <si>
    <t>PRY 2024-0000016</t>
  </si>
  <si>
    <t>PLANTA ARANDANO 1ERA ETAPA</t>
  </si>
  <si>
    <t>PRY 2024-0000019</t>
  </si>
  <si>
    <t>AMPLIACION PLANTA PROCESOS ARANDANO</t>
  </si>
  <si>
    <t>PRY 2024-0000017</t>
  </si>
  <si>
    <t>SISTEMA DE FRIO PACKING DE FRESCOS</t>
  </si>
  <si>
    <t>PRD 2024-0000015</t>
  </si>
  <si>
    <t>PRY 2024-0000018</t>
  </si>
  <si>
    <t>REVISION CALIBRACION SENSORES</t>
  </si>
  <si>
    <t>PRY 2024-0000020</t>
  </si>
  <si>
    <t>TOPES DE GOME Y REPARACION PANELES</t>
  </si>
  <si>
    <t>AGRICOLA BLUE GOLD S.A.C.</t>
  </si>
  <si>
    <t>PRY 2024-0000021</t>
  </si>
  <si>
    <t>ACOPIO ARANDANO</t>
  </si>
  <si>
    <t>PRY 2024-0000022</t>
  </si>
  <si>
    <t>INSTALACION SUPLES PIR</t>
  </si>
  <si>
    <t>PRY 2024-0000023</t>
  </si>
  <si>
    <t>PRD 2024-0000016</t>
  </si>
  <si>
    <t>PRY 2024-0000024</t>
  </si>
  <si>
    <t>SUMINISTRO INSTALACION ENFRIADORES</t>
  </si>
  <si>
    <t>PRY 2024-0000025</t>
  </si>
  <si>
    <t>PACKING PARA PALTA</t>
  </si>
  <si>
    <t>PRY 2024-0000027</t>
  </si>
  <si>
    <t>AMPLIACION DE PLANTA PROCESARORA DE ARANDANO / CPT-SP / MODULOS DE ENFRIAMIENTO.</t>
  </si>
  <si>
    <t>PRY 2024-0000026</t>
  </si>
  <si>
    <t>MIGRACION TERMOMETRIA PARA USO GATEWAY</t>
  </si>
  <si>
    <t>PRD 2024-0000017</t>
  </si>
  <si>
    <t>PRD 2024-0000018</t>
  </si>
  <si>
    <t>PRY 2024-0000028</t>
  </si>
  <si>
    <t>AMPLIACION PACKING 2024</t>
  </si>
  <si>
    <t>PRY 2024-0000029</t>
  </si>
  <si>
    <t>SOPORTE TECNICO REMOTO SISTEMA</t>
  </si>
  <si>
    <t>PRD 2024-0000019</t>
  </si>
  <si>
    <t>PRY 2024-0000031</t>
  </si>
  <si>
    <t>REVISION Y ACTUALIZACION CONTROL</t>
  </si>
  <si>
    <t>PRY 2024-0000032</t>
  </si>
  <si>
    <t>SUMINISTRO E INSTALACION CONDENSADOR</t>
  </si>
  <si>
    <t>PRY 2024-0000033</t>
  </si>
  <si>
    <t>AMPLIACION PLANTA UVA 2024</t>
  </si>
  <si>
    <t>SOCIEDAD AGRICOLA 3P S.A.C.</t>
  </si>
  <si>
    <t>PRY 2024-0000036</t>
  </si>
  <si>
    <t>PRY 2024-0000034</t>
  </si>
  <si>
    <t>CAMARA CONGELADO</t>
  </si>
  <si>
    <t>PRY 2024-0000035</t>
  </si>
  <si>
    <t>PRY 2024-0000038</t>
  </si>
  <si>
    <t>CÁMARA DE CONSERVACIÓN</t>
  </si>
  <si>
    <t>PRY 2024-0000037</t>
  </si>
  <si>
    <t>EQUIPOS AMPLIACION PACKING 24_25</t>
  </si>
  <si>
    <t>PRD 2024-0000020</t>
  </si>
  <si>
    <t>PRY 2024-0000039</t>
  </si>
  <si>
    <t>SUMINISTRO E INSTALACION VENTILADORES CAMARA</t>
  </si>
  <si>
    <t>PRY 2024-0000040</t>
  </si>
  <si>
    <t>SISTEMA FRIO PASILLO CON GLICOL</t>
  </si>
  <si>
    <t>PRD 2024-0000021</t>
  </si>
  <si>
    <t>PRY 2024-0000041</t>
  </si>
  <si>
    <t>PRY 2024-0000042</t>
  </si>
  <si>
    <t>SISTEMA TERMOMETRIA REUSANDO SENSORES Y MODULOS EXISTENTES</t>
  </si>
  <si>
    <t>PRD 2024-0000022</t>
  </si>
  <si>
    <t>PRD 2024-0000023</t>
  </si>
  <si>
    <t>PRD 2024-0000024</t>
  </si>
  <si>
    <t>PRD 2024-0000025</t>
  </si>
  <si>
    <t>BRANCHOUT FOOD - SUCURSAL PERU</t>
  </si>
  <si>
    <t>PRY 2024-0000043</t>
  </si>
  <si>
    <t>SISTEMA CHILLER</t>
  </si>
  <si>
    <t>PRD 2024-0000026</t>
  </si>
  <si>
    <t>CARNICOS</t>
  </si>
  <si>
    <t>PRY 2024-0000044</t>
  </si>
  <si>
    <t>SUMINISTRO E INSTALACION SIST FRIO</t>
  </si>
  <si>
    <t>PRY 2024-0000045</t>
  </si>
  <si>
    <t>TERMOMETRIA TUNELES MATERIA PRIMA</t>
  </si>
  <si>
    <t>PRD 2024-0000027</t>
  </si>
  <si>
    <t>PRD 2024-0000028</t>
  </si>
  <si>
    <t>PRD 2024-0000029</t>
  </si>
  <si>
    <t>PRY 2024-0000046</t>
  </si>
  <si>
    <t>PRY 2024-0000047</t>
  </si>
  <si>
    <t>CLIMATIZACION ZONA RECEPCION PERLAC</t>
  </si>
  <si>
    <t>SEED FOOD SOCIEDAD ANONIMA CERRADA</t>
  </si>
  <si>
    <t>PAPAS</t>
  </si>
  <si>
    <t>PRY 2024-0000048</t>
  </si>
  <si>
    <t>CAMARA CONSERVACION PAPAS</t>
  </si>
  <si>
    <t>PRY 2024-0000049</t>
  </si>
  <si>
    <t>MEJORA TUNEL MP PARLAC</t>
  </si>
  <si>
    <t>PRY 2024-0000050</t>
  </si>
  <si>
    <t>SUMINISTRO E INSTALACION DETECTORES</t>
  </si>
  <si>
    <t>PRD 2024-0000030</t>
  </si>
  <si>
    <t>PRY 2024-0000051</t>
  </si>
  <si>
    <t>TERMOMETRIA 9 TUNELES PT1000A</t>
  </si>
  <si>
    <t>PRD 2024-0000031</t>
  </si>
  <si>
    <t>PRY 2024-0000052</t>
  </si>
  <si>
    <t>SISTEMA LECTURA Y REGISTRO PRESIONES</t>
  </si>
  <si>
    <t>PRD 2024-0000032</t>
  </si>
  <si>
    <t>PRY 2024-0000053</t>
  </si>
  <si>
    <t>SUMINISTRO E INSTALACION LUMINARIA</t>
  </si>
  <si>
    <t>PRY 2024-0000054</t>
  </si>
  <si>
    <t>IMPLEMENTACION SISTEMA DE FRIO SP/ZA</t>
  </si>
  <si>
    <t>PRD 2024-0000033</t>
  </si>
  <si>
    <t>CAMARA PT OOCC EEMM</t>
  </si>
  <si>
    <t>PRD 2024-0000034</t>
  </si>
  <si>
    <t>PRD 2024-0000035</t>
  </si>
  <si>
    <t>PRD 2024-0000036</t>
  </si>
  <si>
    <t>PRD 2024-0000037</t>
  </si>
  <si>
    <t>PRY 2024-0000055</t>
  </si>
  <si>
    <t>CONSTRUCCION DE CAMARAS DE ENFRIAMIEN</t>
  </si>
  <si>
    <t>PRD 2024-0000038</t>
  </si>
  <si>
    <t>EL PARQUE ALAYA PACKING S.A.C.</t>
  </si>
  <si>
    <t>PRY 2024-0000056</t>
  </si>
  <si>
    <t>SUMINISTRO E INSTALACION EQUIPOS</t>
  </si>
  <si>
    <t>PRD 2024-0000039</t>
  </si>
  <si>
    <t>PRD 2024-0000040</t>
  </si>
  <si>
    <t>PRD 2024-0000041</t>
  </si>
  <si>
    <t>PRY 2024-0000057</t>
  </si>
  <si>
    <t>REUBICACION TUNELES PT</t>
  </si>
  <si>
    <t>PRD 2024-0000043</t>
  </si>
  <si>
    <t>PRD 2024-0000044</t>
  </si>
  <si>
    <t>PRY 2024-0000058</t>
  </si>
  <si>
    <t>AMPLIACION CAMARA MATERIA PRIMA</t>
  </si>
  <si>
    <t>PRY 2024-0000059</t>
  </si>
  <si>
    <t>PRD 2024-0000045</t>
  </si>
  <si>
    <t>PRY 2024-0000061</t>
  </si>
  <si>
    <t>TERMOMETRIA, HMI Y GATEWAY</t>
  </si>
  <si>
    <t>PRY 2024-0000062</t>
  </si>
  <si>
    <t>TERMOMETRIA INTEGRACIONES</t>
  </si>
  <si>
    <t>PRY 2024-0000063</t>
  </si>
  <si>
    <t>ALMACEN Y MEJORAS DE RECEPCIÓN</t>
  </si>
  <si>
    <t>PRY 2024-0000064</t>
  </si>
  <si>
    <t>PRY 2024-0000065</t>
  </si>
  <si>
    <t>PRY 2024-0000066</t>
  </si>
  <si>
    <t>SUMINISTRO E INSTALACION DE SISTEMA DE FRIO CON CHILLER</t>
  </si>
  <si>
    <t>COMPAÑIA MINERA ANTAPACCAY S.A.</t>
  </si>
  <si>
    <t>PRY 2024-0000067</t>
  </si>
  <si>
    <t>EVALUACION DIAGNOSTICO CAMARAS REFRIG</t>
  </si>
  <si>
    <t>PRD 2024-0000046</t>
  </si>
  <si>
    <t>PRD 2024-0000047</t>
  </si>
  <si>
    <t>PRD 2024-0000048</t>
  </si>
  <si>
    <t>PRY 2024-0000068</t>
  </si>
  <si>
    <t>GATE CATERING AND RETAIL SOLUTIONS S.R.L.</t>
  </si>
  <si>
    <t>PRY 2024-0000069</t>
  </si>
  <si>
    <t>TERMOMETRIA 3 CAMARAS</t>
  </si>
  <si>
    <t>PRD 2024-0000049</t>
  </si>
  <si>
    <t>PRD 2024-0000052</t>
  </si>
  <si>
    <t>PRD 2024-0000053</t>
  </si>
  <si>
    <t>PRY 2024-0000071</t>
  </si>
  <si>
    <t>PRY 2024-0000072</t>
  </si>
  <si>
    <t>TUNELES</t>
  </si>
  <si>
    <t>PRY 2024-0000073</t>
  </si>
  <si>
    <t>DESARROLLO MODULO FRIOMAMUT</t>
  </si>
  <si>
    <t>PRY 2024-0000074</t>
  </si>
  <si>
    <t>POZO PERCOLADOR</t>
  </si>
  <si>
    <t>PRD 2024-0000055</t>
  </si>
  <si>
    <t>PRD 2024-0000056</t>
  </si>
  <si>
    <t>PRD 2024-0000057</t>
  </si>
  <si>
    <t>PRY 2024-0000076</t>
  </si>
  <si>
    <t>CAMARA DE CONSERVACION</t>
  </si>
  <si>
    <t>PRD 2024-0000059</t>
  </si>
  <si>
    <t>PRY 2024-0000077</t>
  </si>
  <si>
    <t>ACONDICIONEMIENTO DE TABLERO</t>
  </si>
  <si>
    <t>PRD 2024-0000060</t>
  </si>
  <si>
    <t>PRD 2024-0000061</t>
  </si>
  <si>
    <t>PRD 2025-0000001</t>
  </si>
  <si>
    <t>PRY 2025-0000002</t>
  </si>
  <si>
    <t>SUMINISTRO E INSTALACION DRENAJES</t>
  </si>
  <si>
    <t>PRY 2025-0000003</t>
  </si>
  <si>
    <t>REPARACION DE FOSA NIVELADORA</t>
  </si>
  <si>
    <t>PRY 2025-0000004</t>
  </si>
  <si>
    <t>ELABORACION EXPEDIENTE FRIO</t>
  </si>
  <si>
    <t>PRY 2025-0000005</t>
  </si>
  <si>
    <t>AMPLIACION SISTEMA DE FRIO - TUNEL Y CAMARAS</t>
  </si>
  <si>
    <t>PRY 2025-0000006</t>
  </si>
  <si>
    <t>AMPLIACION ACOPIO ARANDANOS</t>
  </si>
  <si>
    <t>PRY 2025-0000008</t>
  </si>
  <si>
    <t>MANTENIMIENTO CORRECT PUERTA EMBARQUE</t>
  </si>
  <si>
    <t>PRY 2025-0000009</t>
  </si>
  <si>
    <t>COMPRA E INSPECCION SENSORES TERMOMET</t>
  </si>
  <si>
    <t>PRY 2025-0000010</t>
  </si>
  <si>
    <t>AMPLIACION SALA PROCESOS PALTA</t>
  </si>
  <si>
    <t>PRY 2025-0000011</t>
  </si>
  <si>
    <t>MODIF CAMARA E INST VALVULAS EQUIPOS</t>
  </si>
  <si>
    <t>FUSION FOODS S.A.C.</t>
  </si>
  <si>
    <t>PRY 2025-0000012</t>
  </si>
  <si>
    <t>MEJORAS TUNEL CONGELADO</t>
  </si>
  <si>
    <t>AGRICOLA GANADERA LAS CANELAS SAC</t>
  </si>
  <si>
    <t>PRY 2025-0000013</t>
  </si>
  <si>
    <t>VENTA PANELES Y PUERTAS</t>
  </si>
  <si>
    <t>PRY 2025-0000014</t>
  </si>
  <si>
    <t>CLIMATIZADO PASILLO</t>
  </si>
  <si>
    <t>PRY 2025-0000015</t>
  </si>
  <si>
    <t>SUMINISTRO E INST RACK PARA ALMACEN</t>
  </si>
  <si>
    <t>PRY 2025-0000016</t>
  </si>
  <si>
    <t>CAMARA CONSERVACION Y CONGELADOS</t>
  </si>
  <si>
    <t>PRY 2025-0000018</t>
  </si>
  <si>
    <t>PRY 2025-0000019</t>
  </si>
  <si>
    <t>CAMBIO PANELES PASILLO Y REPAR CAMARA</t>
  </si>
  <si>
    <t>QUELEN FRUIT PERU S.A.C.</t>
  </si>
  <si>
    <t>TRUJILLO</t>
  </si>
  <si>
    <t>PRY 2025-0000020</t>
  </si>
  <si>
    <t>ANTEPROYECTO PLANTA EMPAC ARANDANOS</t>
  </si>
  <si>
    <t>PRY 2025-0000021</t>
  </si>
  <si>
    <t>PACKING UVA</t>
  </si>
  <si>
    <t>PRD 2025-0000002</t>
  </si>
  <si>
    <t>PRD 2025-0000003</t>
  </si>
  <si>
    <t>AMPLIACION DE TUNEL Y CAMARA</t>
  </si>
  <si>
    <t>PRY 2025-0000022</t>
  </si>
  <si>
    <t>AMPLIACION DE PACKING DE ARANDANOS</t>
  </si>
  <si>
    <t>PRY 2025-0000023</t>
  </si>
  <si>
    <t>INCREMENTO DE CAPACIDAD NAVE 12 - ARÁNDANOS</t>
  </si>
  <si>
    <t>PRY 2025-0000024</t>
  </si>
  <si>
    <t>PRY 2025-0000025</t>
  </si>
  <si>
    <t>ANTEPROYECTO PLANTA ARANDANOS</t>
  </si>
  <si>
    <t>PRY 2025-0000026</t>
  </si>
  <si>
    <t>SUMINISTRO E INSTALACION BALIZAS</t>
  </si>
  <si>
    <t>PRY 2025-0000027</t>
  </si>
  <si>
    <t>AMPLIACIÓN DE PACKING 4TA ETAPA/AMPLIACIÓN PALETIZADO, TÚNELES DE PT Y CÁMARAS DE PT, SISTEMA NH3-25</t>
  </si>
  <si>
    <t>PRD 2025-0000004</t>
  </si>
  <si>
    <t>PRD 2025-0000005</t>
  </si>
  <si>
    <t>PRD 2025-0000006</t>
  </si>
  <si>
    <t>AMPLIACION PLANTA PROCESOS ARANDANOS</t>
  </si>
  <si>
    <t>PRY 2025-0000029</t>
  </si>
  <si>
    <t>PROYECTO DE FRIO PACKING 3</t>
  </si>
  <si>
    <t>AUSTRAL GROUP S.A.A.</t>
  </si>
  <si>
    <t>SIN PRY</t>
  </si>
  <si>
    <t>COMPRESOR DE AMONIACO, TIPO:TORNILLO, MARCA: FRICK, MODELO:RXF-85H</t>
  </si>
  <si>
    <t>DISTRIBUIDORA EXCLUSIVA DE PRODUCTOS DE CALIDAD SAC</t>
  </si>
  <si>
    <t>PRY 2025-0000028</t>
  </si>
  <si>
    <t>MODIFICACION FOSAS PARA RAMPAS</t>
  </si>
  <si>
    <t>DIAMOND BRIDGE SAC</t>
  </si>
  <si>
    <t>PRY 2025-0000031</t>
  </si>
  <si>
    <t>SERVICIO DE CONSTRUCCION DE ALMACEN DE FRIO</t>
  </si>
  <si>
    <t>PRY 2025-0000030</t>
  </si>
  <si>
    <t>AMPLIACION PACKING MANGO-PALTA</t>
  </si>
  <si>
    <t>PRD 2025-0000009</t>
  </si>
  <si>
    <t>PRD 2025-0000010</t>
  </si>
  <si>
    <t>AMPLIACION PLANTA PROCESOS</t>
  </si>
  <si>
    <t>PRY 2025-0000032</t>
  </si>
  <si>
    <t>AMPLIACION PLANTA DE PROCESO ARANDANO</t>
  </si>
  <si>
    <t>PRD 2025-0000011</t>
  </si>
  <si>
    <t>ALZA PERU PACKING S.A.C.</t>
  </si>
  <si>
    <t>PRD 2025-0000012</t>
  </si>
  <si>
    <t>PRD 2025-0000013</t>
  </si>
  <si>
    <t>PRY 2025-0000034</t>
  </si>
  <si>
    <t>CAMBIO PUERTA</t>
  </si>
  <si>
    <t>PRY 2025-0000035</t>
  </si>
  <si>
    <t>TUNELES CALIFORNIANOS</t>
  </si>
  <si>
    <t>PRY 2025-0000037</t>
  </si>
  <si>
    <t>AMPLIACION DE PLANTA DE PROCESOS - 03 TÚNELES CALIFORNIANOS</t>
  </si>
  <si>
    <t>STEELSER S.A.C.</t>
  </si>
  <si>
    <t>PRY 2025-0000036</t>
  </si>
  <si>
    <t>DESMONTAJE Y MONTAJE EQUIPOS</t>
  </si>
  <si>
    <t>PRD 2025-0000014</t>
  </si>
  <si>
    <t>PRY 2025-0000038</t>
  </si>
  <si>
    <t>REEMPLAZO COIL EN 03 CONDENSADORES</t>
  </si>
  <si>
    <t>PRD 2025-0000015</t>
  </si>
  <si>
    <t>CONTRUCCION PACKING</t>
  </si>
  <si>
    <t>PRD 2025-0000016</t>
  </si>
  <si>
    <t>AGROINDUSTRIA FRUTOS DE ORO S.A.C.</t>
  </si>
  <si>
    <t>PRY 2025-0000039</t>
  </si>
  <si>
    <t>CAMARA DE CONGELADOS</t>
  </si>
  <si>
    <t>PRY 2025-0000040</t>
  </si>
  <si>
    <t>EXPEDIENTE ARQUITECTURA</t>
  </si>
  <si>
    <t>PRD 2025-0000017</t>
  </si>
  <si>
    <t>PRD 2025-0000018</t>
  </si>
  <si>
    <t>PRY 2025-0000041</t>
  </si>
  <si>
    <t>SERVICIO AMPLIACION SP3 TF 17 Y 18 Y SALA DE EMBARQUE (10 RAMPAS) Y CONVERSION A 2 NIVELES EN 3 TF</t>
  </si>
  <si>
    <t>PRY 2025-0000042</t>
  </si>
  <si>
    <t>AMPLIACIÓN DE PLANTA DE PROCESO</t>
  </si>
  <si>
    <t>PRY 2025-0000043</t>
  </si>
  <si>
    <t>AMPLIACION Y REPOTENCIACION PACKING</t>
  </si>
  <si>
    <t>PRD 2025-0000019</t>
  </si>
  <si>
    <t>PRY 2025-0000044</t>
  </si>
  <si>
    <t>ANTEPROYECTO ARQUITECTURA</t>
  </si>
  <si>
    <t>PRY 2025-0000045</t>
  </si>
  <si>
    <t>IMPLEMENTACION TUNEL CONGELADO</t>
  </si>
  <si>
    <t>PRY 2025-0000046</t>
  </si>
  <si>
    <t>KIT DE EMBARQUE #3</t>
  </si>
  <si>
    <t>BERRY HARVEST S.A.</t>
  </si>
  <si>
    <t>PRY 2025-0000047</t>
  </si>
  <si>
    <t>CONSTRUCCION CAMPAMENTO OPERARIOS</t>
  </si>
  <si>
    <t>QBERRIES SAC</t>
  </si>
  <si>
    <t>Q PACK S.A.C.</t>
  </si>
  <si>
    <t>PRY 2025-0000048</t>
  </si>
  <si>
    <t>INGENIERIA PLANTA EMPACADORA ARANDANO</t>
  </si>
  <si>
    <t>PRD 2025-0000020</t>
  </si>
  <si>
    <t>PRD 2025-0000021</t>
  </si>
  <si>
    <t>UNIÓN DE CERVECERÍAS PERUANAS BACKUS Y JOHNSTON SAC</t>
  </si>
  <si>
    <t>PRY 2025-0000049</t>
  </si>
  <si>
    <t>VENTA COMPRESOR FRICK</t>
  </si>
  <si>
    <t>PRD 2025-0000022</t>
  </si>
  <si>
    <t>PRY 2025-0000050</t>
  </si>
  <si>
    <t>SUM E INST DE PANELES Y PUERTAS</t>
  </si>
  <si>
    <t>PRY 2025-0000051</t>
  </si>
  <si>
    <t>PUERTA EMERGENCIA</t>
  </si>
  <si>
    <t>PRD 2025-0000023</t>
  </si>
  <si>
    <t>PRY 2025-0000052</t>
  </si>
  <si>
    <t>CERRAMIENTO CON PANEL EN RECEPCION</t>
  </si>
  <si>
    <t>PRY 2025-0000053</t>
  </si>
  <si>
    <t>INGENIERIA DE REFRIGERACION</t>
  </si>
  <si>
    <t>PRD 2025-0000024</t>
  </si>
  <si>
    <t>PRD 2025-0000025</t>
  </si>
  <si>
    <t>ARA FOODS INDUSTRY S.A.C.</t>
  </si>
  <si>
    <t>PRY 2025-0000054</t>
  </si>
  <si>
    <t>AMPLIACIÓN DE PLANTA DE CONGELADO</t>
  </si>
  <si>
    <t>PRD 2025-0000026</t>
  </si>
  <si>
    <t>PRD 2025-0000027</t>
  </si>
  <si>
    <t>SAN EFISIO S.A.C.</t>
  </si>
  <si>
    <t>PRY 2025-0000055</t>
  </si>
  <si>
    <t>ACOPIO ETAPA I</t>
  </si>
  <si>
    <t>PRY 2025-0000056</t>
  </si>
  <si>
    <t>IN VITRO LAB PERU S.A.C</t>
  </si>
  <si>
    <t>PRY 2025-0000057</t>
  </si>
  <si>
    <t>ELABORACION EXPEDIENTE TECNICO</t>
  </si>
  <si>
    <t>PRD 2025-0000028</t>
  </si>
  <si>
    <t>IMBAREX S.A.</t>
  </si>
  <si>
    <t>PRY 2025-0000058</t>
  </si>
  <si>
    <t>PLANTA PROCESOS CITRICOS Y ARANDANOS</t>
  </si>
  <si>
    <t>PROSEMBRA SOCIEDAD ANONIMA CERRADA</t>
  </si>
  <si>
    <t>PRY 2025-0000059</t>
  </si>
  <si>
    <t>PACKING DE ARANDANOS</t>
  </si>
  <si>
    <t>PRD 2025-0000029</t>
  </si>
  <si>
    <t>PRY 2025-0000060</t>
  </si>
  <si>
    <t>ANULACIÓN TUBO DE CONDENSADOR</t>
  </si>
  <si>
    <t>PRD 2025-0000030</t>
  </si>
  <si>
    <t>PRD 2025-0000031</t>
  </si>
  <si>
    <t>PRD 2025-0000032</t>
  </si>
  <si>
    <t>AMPLIACION DE PK3</t>
  </si>
  <si>
    <t>PRD 2025-0000033</t>
  </si>
  <si>
    <t>PRD 2025-0000034</t>
  </si>
  <si>
    <t>PRY 2025-0000061</t>
  </si>
  <si>
    <t>1° ETAPA PLANTA PROCESO ARANDANO</t>
  </si>
  <si>
    <t>PRD 2025-0000035</t>
  </si>
  <si>
    <t>PRY 2025-0000062</t>
  </si>
  <si>
    <t>EXPEDIENTE TECNICO PROYECTO QUELEN</t>
  </si>
  <si>
    <t>PRY 2025-0000063</t>
  </si>
  <si>
    <t>PACKING DE ARÁNDANOS</t>
  </si>
  <si>
    <t>PRD 2025-0000036</t>
  </si>
  <si>
    <t>PRD 2025-0000037</t>
  </si>
  <si>
    <t>PRD 2025-0000038</t>
  </si>
  <si>
    <t>PRY 2025-0000064</t>
  </si>
  <si>
    <t>EXPEDIENTE TECNICO AREAS SOCIALES</t>
  </si>
  <si>
    <t>PRD 2025-0000039</t>
  </si>
  <si>
    <t>PRY 2025-0000065</t>
  </si>
  <si>
    <t>VENTA EQUIPOS</t>
  </si>
  <si>
    <t>PRD 2025-0000040</t>
  </si>
  <si>
    <t>PRD 2025-0000041</t>
  </si>
  <si>
    <t>PRY 2025-0000066</t>
  </si>
  <si>
    <t>AMPLIACION CAMARA DE FRIO + NUEVA ZONA DE DESPACHO</t>
  </si>
  <si>
    <t>UVICA S.A.C.</t>
  </si>
  <si>
    <t>PRY 2025-0000067</t>
  </si>
  <si>
    <t>OFICINAS UVICA</t>
  </si>
  <si>
    <t>DELICE S.A.C</t>
  </si>
  <si>
    <t>INGENIERIA DETALLE PLANTA NUEVA Y NUEVOS ALMACENES DE DELICE</t>
  </si>
  <si>
    <t>LIMONES PIURANOS SOCIEDAD ANONIMA CERRADA</t>
  </si>
  <si>
    <t xml:space="preserve"> </t>
  </si>
  <si>
    <t>LIMON</t>
  </si>
  <si>
    <t>PRY 2025-0000068</t>
  </si>
  <si>
    <t>CAMARA DE CONGELADO</t>
  </si>
  <si>
    <t>GASTOS GENERALES DEL STAFF</t>
  </si>
  <si>
    <t>PRY 2025-0000069</t>
  </si>
  <si>
    <t>CAMARA DE CONSERVACION #2 Y SP</t>
  </si>
  <si>
    <t>PRY 2025-0000070</t>
  </si>
  <si>
    <t>PRY 2025-0000071</t>
  </si>
  <si>
    <t>SISTEMA DESHIDRATADOR HR50%</t>
  </si>
  <si>
    <t>VSR 2025-0000002</t>
  </si>
  <si>
    <t>SERVICIO DE INSTALACION DE CAMPAMENTO y ARQUITECTURA</t>
  </si>
  <si>
    <t>PRD 2025-0000042</t>
  </si>
  <si>
    <t>ADICIONAL - ESCLUSA, DEFELCTORES ZONA INSPECCION</t>
  </si>
  <si>
    <t>VSR 2025-0000001</t>
  </si>
  <si>
    <t>IMPLEMENTACION DE PACKING</t>
  </si>
  <si>
    <t>PRY 2025-0000073</t>
  </si>
  <si>
    <t>INFRAESTRUCTURA TUNEL ESTATICO</t>
  </si>
  <si>
    <t>PRD 2025-0000043</t>
  </si>
  <si>
    <t>PRY 2025-0000072</t>
  </si>
  <si>
    <t>CAMARA REFRIGERACION CITRICOS Y PALTA</t>
  </si>
  <si>
    <t>VSR 2025-0000003</t>
  </si>
  <si>
    <t>DISEÑO CAMPAMENTO OLMOS</t>
  </si>
  <si>
    <t>QUESO</t>
  </si>
  <si>
    <t>PRY 2025-0000075</t>
  </si>
  <si>
    <t>ALMACEN DE QUESOS</t>
  </si>
  <si>
    <t>PRD 2025-0000044</t>
  </si>
  <si>
    <t>PRY 2025-0000074</t>
  </si>
  <si>
    <t>TUNEL DE ENFRIAMIENTO</t>
  </si>
  <si>
    <t>PRY 2026-0000001</t>
  </si>
  <si>
    <t>PLANTA DE PROCESOS PALTA</t>
  </si>
  <si>
    <t>PRY 2026-0000002</t>
  </si>
  <si>
    <t>PLANTA DE PROCESO DE ARÁNDANO</t>
  </si>
  <si>
    <t>PRY 2026-0000003</t>
  </si>
  <si>
    <t>SUMINISTRO E INSTALACION DE SERVICIO DE SISTEMA DE ENFRIAMIENTO PARA CAMARA DE FRIO</t>
  </si>
  <si>
    <t xml:space="preserve">ICA                                                                                                 </t>
  </si>
  <si>
    <t>PRD 2026-0000001</t>
  </si>
  <si>
    <t>PRD 2026-0000002</t>
  </si>
  <si>
    <t xml:space="preserve">LIMA                                                                                                </t>
  </si>
  <si>
    <t>PRY 2026-0000004</t>
  </si>
  <si>
    <t>AMPLIACION DE PLANTA</t>
  </si>
  <si>
    <t>PRD 2026-0000003</t>
  </si>
  <si>
    <t>AGROBERRIES PERU S.A.C.</t>
  </si>
  <si>
    <t xml:space="preserve">LA LIBERTAD                                                                                         </t>
  </si>
  <si>
    <t>VSR 2026-0000001</t>
  </si>
  <si>
    <t>ANTEPROYECTO PLANTA EMPACADORA</t>
  </si>
  <si>
    <t>PRY 2026-0000005</t>
  </si>
  <si>
    <t>ACOPIO DE ARANDANOS</t>
  </si>
  <si>
    <t>ARCA CONTINENTAL LINDLEY S.A.</t>
  </si>
  <si>
    <t>PRY 2026-0000006</t>
  </si>
  <si>
    <t>SUMINISTRO E INSTALACIÓN DE SERPENTIN</t>
  </si>
  <si>
    <t>PRD 2026-0000004</t>
  </si>
  <si>
    <t>TA EXPORT S.A.C.</t>
  </si>
  <si>
    <t>PRY 2026-0000007</t>
  </si>
  <si>
    <t>PACKING PARA ARANDANOS</t>
  </si>
  <si>
    <t>PRD 2026-0000005</t>
  </si>
  <si>
    <t>DESMONTAJE Y MONTAJE PANELES</t>
  </si>
  <si>
    <t xml:space="preserve">LAMBAYEQUE                                                                                          </t>
  </si>
  <si>
    <t>PRY 2026-0000008</t>
  </si>
  <si>
    <t>CONSTRUCCION ACOPIO ARANDANOS</t>
  </si>
  <si>
    <t>PRD 2026-0000006</t>
  </si>
  <si>
    <t>PRD 2026-0000007</t>
  </si>
  <si>
    <t>VITAFOODS PERU S.A.C.</t>
  </si>
  <si>
    <t>VSR 2026-0000002</t>
  </si>
  <si>
    <t>SERVICIO ARQUITECTURA</t>
  </si>
  <si>
    <t>PRD 2026-0000008</t>
  </si>
  <si>
    <t>PRY 2026-0000009</t>
  </si>
  <si>
    <t xml:space="preserve">NAVE PRODUCTO TERMINADO                                                                                                                                                                                                                                   </t>
  </si>
  <si>
    <t>VSR 2026-0000003</t>
  </si>
  <si>
    <t xml:space="preserve">ANTEPROYECTO PLANTA CONGELADO MANGO                                                                                                                                                                                                                       </t>
  </si>
  <si>
    <t>PRD 2026-0000009</t>
  </si>
  <si>
    <t xml:space="preserve">INSTALACIÓN DE MOTORES Y MODIFICACION P.CORREDERA                                                                                                                                                                                                         </t>
  </si>
  <si>
    <t>FLORISERT S.A.C.</t>
  </si>
  <si>
    <t>PRY 2026-0000010</t>
  </si>
  <si>
    <t xml:space="preserve">AMPLIACION PROCESADORA FLORES                                                                                                                                                                                                                             </t>
  </si>
  <si>
    <t>PRD 2026-0000010</t>
  </si>
  <si>
    <t xml:space="preserve">REFORZAMIENTO ESTRUCTURAL SOLDADURA Y ENSAMBLE PUERTAS                                                                                                                                                                                                    </t>
  </si>
  <si>
    <t>PRY 2026-0000011</t>
  </si>
  <si>
    <t xml:space="preserve">TERMOMETRIA MAMUT                                                                                                                                                                                                                                         </t>
  </si>
  <si>
    <t>PRD 2026-0000011</t>
  </si>
  <si>
    <t xml:space="preserve">OFICINAS TERMOACÚSTICAS PACKING                                                                                                                                                                                                                           </t>
  </si>
  <si>
    <t>PRY 2026-0000012</t>
  </si>
  <si>
    <t xml:space="preserve">IMPLEMENTACION DE PACKING                                                                                                                                                                                                                                 </t>
  </si>
  <si>
    <t>PRY 2026-0000013</t>
  </si>
  <si>
    <t>PROYECTO VIVEROS TAMBO</t>
  </si>
  <si>
    <t>PRD 2026-0000012</t>
  </si>
  <si>
    <t>ESTRUCTURA METALICA</t>
  </si>
  <si>
    <t>PRD 2026-0000013</t>
  </si>
  <si>
    <t>SUMINISTRO E INSTALACION DE CORTINAS DE AIRE</t>
  </si>
  <si>
    <t>PRD 2026-0000014</t>
  </si>
  <si>
    <t>SUMINISTRO E INSTALACION DE PUERTA CORREDERA</t>
  </si>
  <si>
    <t>PRY 2026-0000014</t>
  </si>
  <si>
    <t>UNIDAD CONDENSADORA DANFOSS</t>
  </si>
  <si>
    <t>PRY 2026-0000015</t>
  </si>
  <si>
    <t>CLIMATIZACIÓN PRE-TÚNELES</t>
  </si>
  <si>
    <t>PRY 2026-0000016</t>
  </si>
  <si>
    <t>REPOTENCIACIÓN DE TÚNELES DE PT</t>
  </si>
  <si>
    <t>PRD 2026-0000015</t>
  </si>
  <si>
    <t>1° ETAPA PLANTA PROCESO ARANDANO - ADICIONAL</t>
  </si>
  <si>
    <t>ESTANTERIAS METALICAS J.R.M. S.A.C</t>
  </si>
  <si>
    <t>PRY 2026-0000017</t>
  </si>
  <si>
    <t>CÁMARA DE CONGELADO Y AMBIENTES</t>
  </si>
  <si>
    <t>UNIVERSIDAD FEDERICO HENRIQUEZ Y CARVAJAL</t>
  </si>
  <si>
    <t>PRY 2026-0000018</t>
  </si>
  <si>
    <t>PRY 2026-0000019</t>
  </si>
  <si>
    <t>CÁMARA DE CONGELADOS</t>
  </si>
  <si>
    <t>REITER PERUVIAN BERRY S.A.</t>
  </si>
  <si>
    <t>PRY 2026-0000020</t>
  </si>
  <si>
    <t>PRY 2026-0000021</t>
  </si>
  <si>
    <t>PLANTA UVA</t>
  </si>
  <si>
    <t>PRY 2026-0000022</t>
  </si>
  <si>
    <t>AMPLIACIÓN PACKING DE UVA</t>
  </si>
  <si>
    <t>PRY 2026-0000023</t>
  </si>
  <si>
    <t>MANTENIMIENTO PANELES PACKING AQU ANQ</t>
  </si>
  <si>
    <t>INGENIERIA EN CARTONES Y PAPELES S.A.C</t>
  </si>
  <si>
    <t>PRY 2026-0000024</t>
  </si>
  <si>
    <t>ICYP - SUMINISTRO E INSTALACIÓN</t>
  </si>
  <si>
    <t>PRD 2026-0000016</t>
  </si>
  <si>
    <t>Climatizacion de Camara Mercado Nacional</t>
  </si>
  <si>
    <t>PRD 2026-0000017</t>
  </si>
  <si>
    <t>RAMPAS ENCUENTOS Y BOMBA CONDESADO</t>
  </si>
  <si>
    <t>PRD 2026-0000018</t>
  </si>
  <si>
    <t>SUMINISTRO E INSTALACION RACKS</t>
  </si>
  <si>
    <t xml:space="preserve">AREQUIPA                                                                                            </t>
  </si>
  <si>
    <t>VSR 2026-0000004</t>
  </si>
  <si>
    <t xml:space="preserve">ANTEPROYECTO DE PLANTA EMPAQUE                                                                                                                                                                                                                            </t>
  </si>
  <si>
    <t>PRD 2026-0000019</t>
  </si>
  <si>
    <t>Ampliación de Planta de Proceso - ESCENARIO 2</t>
  </si>
  <si>
    <t>PRD 2026-0000020</t>
  </si>
  <si>
    <t>NIVELADOR HIDRAULICO</t>
  </si>
  <si>
    <t>PRD 2026-0000021</t>
  </si>
  <si>
    <t>IMPLEMENTACION DE SISTEMA DE GASIFICADO</t>
  </si>
  <si>
    <t>PRY 2026-0000025</t>
  </si>
  <si>
    <t>AMPLIACIÓN DE TÚNELES, CÁMARA Y</t>
  </si>
  <si>
    <t>VSR 2026-0000005</t>
  </si>
  <si>
    <t>DESMONTAJE PISOS Y MONTAJE TRIPLAY</t>
  </si>
  <si>
    <t>PRD 2026-0000022</t>
  </si>
  <si>
    <t>SUMINISTRO E INSTALACION PUERTA CORREDERA</t>
  </si>
  <si>
    <t>PRD 2026-0000023</t>
  </si>
  <si>
    <t>PLANTA PROCESO ARANDANO - 2DA ETAPA AMONIACO-GLICOL</t>
  </si>
  <si>
    <t>PRD 2026-0000024</t>
  </si>
  <si>
    <t>AMPLIACIÓN SALA DE PROCESOS</t>
  </si>
  <si>
    <t>PRD 2026-0000025</t>
  </si>
  <si>
    <t>SUMINISTRO E INSTALACION VENTILADOR</t>
  </si>
  <si>
    <t>PRY 2026-0000026</t>
  </si>
  <si>
    <t>TÚNEL CONGELADO</t>
  </si>
  <si>
    <t>PRY 2026-0000027</t>
  </si>
  <si>
    <t>TAL S A</t>
  </si>
  <si>
    <t>PRD 2026-0000026</t>
  </si>
  <si>
    <t>ADICIONAL TUBERIAS Y ASILAMIENTO CONEXION EVAPORADORES</t>
  </si>
  <si>
    <t>PRD 2026-0000027</t>
  </si>
  <si>
    <t>ALQUILER DE MONTACARGAS CONTENEDORMONTAJE LINEA</t>
  </si>
  <si>
    <t>PRD 2026-0000028</t>
  </si>
  <si>
    <t>SUMINISTRO E INSTALACION ELECTRICA</t>
  </si>
  <si>
    <t>PRY 2026-0000028</t>
  </si>
  <si>
    <t>INSTALACION RACK PALLETS RUNNER</t>
  </si>
  <si>
    <t>PRD 2026-0000029</t>
  </si>
  <si>
    <t>FOSA PARA TABLEROS</t>
  </si>
  <si>
    <t>PRY 2026-0000029</t>
  </si>
  <si>
    <t>REPARACION PANELES</t>
  </si>
  <si>
    <t>PRY 2026-0000030</t>
  </si>
  <si>
    <t>PLANTA ARANDANO</t>
  </si>
  <si>
    <t>PRY 2026-0000031</t>
  </si>
  <si>
    <t>AMPLIACION CPT</t>
  </si>
  <si>
    <t>PRY 2026-0000032</t>
  </si>
  <si>
    <t>PLANTA ARANDANO - 2 ETAPA AMONIACO</t>
  </si>
  <si>
    <t>AGRICOLA HUARMEY S.A.C.</t>
  </si>
  <si>
    <t>PRY 2026-0000033</t>
  </si>
  <si>
    <t>TUNEL DE GASIFICADO</t>
  </si>
  <si>
    <t>PRY 2026-0000034</t>
  </si>
  <si>
    <t>SUMINISTRO E INSTALACION EQUIPOS Y</t>
  </si>
  <si>
    <t>PRY 2026-0000035</t>
  </si>
  <si>
    <t>SUMINISTRO DE MATERIALES PARA TÚNELE</t>
  </si>
  <si>
    <t>PROCESOS AGROINDUSTRIALES SOCIEDAD ANONIMA</t>
  </si>
  <si>
    <t>PRY 2026-0000036</t>
  </si>
  <si>
    <t>PLANTA DE PROCESO DE UVA</t>
  </si>
  <si>
    <t>PRD 2026-0000030</t>
  </si>
  <si>
    <t>MANTENIMIENTO DE COMPRESOR PACKING</t>
  </si>
  <si>
    <t>PRD 2026-0000031</t>
  </si>
  <si>
    <t>SUMINISTRO E INSTALACION PUERTA EMERGENCIA</t>
  </si>
  <si>
    <t>PRD 2026-0000032</t>
  </si>
  <si>
    <t>DESMONTAJE Y MONTAJE PUERTA CORREDERAS</t>
  </si>
  <si>
    <t>AUSTRAL GROUP S.A.A</t>
  </si>
  <si>
    <t>PUESTA EN MARCHA DE COMPRESOR FRICK R</t>
  </si>
  <si>
    <t>VSR 2026-0000007</t>
  </si>
  <si>
    <t>ESTUDIO SISTEMA GESTION AGUA</t>
  </si>
  <si>
    <t>VSR 2026-0000008</t>
  </si>
  <si>
    <t>LEVANTAMIENTO INFORMACION ARQUITECTURA</t>
  </si>
  <si>
    <t>PRD 2026-0000033</t>
  </si>
  <si>
    <t>ESTRUCTURA TUBERIAS NH3 SADEMA</t>
  </si>
  <si>
    <t>PRD 2026-0000034</t>
  </si>
  <si>
    <t xml:space="preserve">MANTENIMIENTO UCS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</si>
  <si>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MOQUEGUA                                                                                            </t>
  </si>
  <si>
    <t>PRY 2026-0000037</t>
  </si>
  <si>
    <t xml:space="preserve">BATERIAS REPONTENCIACION TUNELES                                                                                                                                                                                                                          </t>
  </si>
  <si>
    <t>PRY 2026-0000038</t>
  </si>
  <si>
    <t xml:space="preserve">REPOTENCIACION COMPRESOR                                                                                                                                                                                                                                  </t>
  </si>
  <si>
    <t>PRY 2026-0000039</t>
  </si>
  <si>
    <t xml:space="preserve">CONDENSADOR - REPONTENCIACION TUNELES                                                                                                                                                                                                                     </t>
  </si>
  <si>
    <t>PRY 2026-0000040</t>
  </si>
  <si>
    <t xml:space="preserve">ADECUACIÓN DE VANO EN TÚNEL                                                                                                                                                                                                                               </t>
  </si>
  <si>
    <t>PRY 2026-0000041</t>
  </si>
  <si>
    <t>SUMINSTRO E INSTALACION VENTILADOR ESCLUSA</t>
  </si>
  <si>
    <t>#</t>
  </si>
  <si>
    <t>Categoría</t>
  </si>
  <si>
    <t>TABLA 1 – VENTAS MENSUALES + ACUMULADO POR AÑO (2021-2026)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</si>
  <si>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</si>
  <si>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</si>
  <si>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</si>
  <si>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</si>
  <si>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</si>
  <si>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</si>
  <si>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</si>
  <si>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</si>
  <si>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</si>
  <si>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</si>
  <si>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</si>
  <si>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</si>
  <si>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</si>
  <si>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Acum.</t>
  </si>
  <si>
    <t>TABLA 2 – MARGEN PONDERADO MENSUAL (2021-2026)</t>
  </si>
  <si>
    <t>Final Año</t>
  </si>
  <si>
    <t>TABLA 1 – REFRIGERANTE: FREÓN VS OTROS</t>
  </si>
  <si>
    <t>Monto Freón</t>
  </si>
  <si>
    <t>% Freón</t>
  </si>
  <si>
    <t>Monto Otros</t>
  </si>
  <si>
    <t>% Otros</t>
  </si>
  <si>
    <t>Total Año</t>
  </si>
  <si>
    <t>TABLA 2 – MARGEN POR REFRIGERANTE (FREÓN / AMONIACO / OTROS)</t>
  </si>
  <si>
    <t>Freón Monto</t>
  </si>
  <si>
    <t>Freón Mg%</t>
  </si>
  <si>
    <t>Freón %Part</t>
  </si>
  <si>
    <t>Amon. Monto</t>
  </si>
  <si>
    <t>Amon. Mg%</t>
  </si>
  <si>
    <t>Amon. %Part</t>
  </si>
  <si>
    <t>Otros Monto</t>
  </si>
  <si>
    <t>Otros Mg%</t>
  </si>
  <si>
    <t>Otros %Part</t>
  </si>
  <si>
    <t>Total</t>
  </si>
  <si>
    <t>TABLA 3 – TIPO DE VENTA (PR / AD / VS / VSI)</t>
  </si>
  <si>
    <t>PR=Proyecto · AD=Adicional · VS=Servicio arquitectura · VSI=Servicio arquitectura (variación). 2014-2020 sin clasificar (S/C).</t>
  </si>
  <si>
    <t>PR Monto</t>
  </si>
  <si>
    <t>PR %</t>
  </si>
  <si>
    <t>AD Monto</t>
  </si>
  <si>
    <t>AD %</t>
  </si>
  <si>
    <t>VS Monto</t>
  </si>
  <si>
    <t>VS %</t>
  </si>
  <si>
    <t>VSI Monto</t>
  </si>
  <si>
    <t>VSI %</t>
  </si>
  <si>
    <t>TABLA 1 – CLIENTES ACTIVOS 2025-2026</t>
  </si>
  <si>
    <t>Monto 2025</t>
  </si>
  <si>
    <t>Monto 2026</t>
  </si>
  <si>
    <t>Total 25-26</t>
  </si>
  <si>
    <t>% Total</t>
  </si>
  <si>
    <t>Margen %</t>
  </si>
  <si>
    <t>TABLA 2 – CLIENTES NUEVOS 2025-2026 (PRIMERA VEZ EN CARTERA)</t>
  </si>
  <si>
    <t>Año Ingreso</t>
  </si>
  <si>
    <t>Monto</t>
  </si>
  <si>
    <t>Zona</t>
  </si>
  <si>
    <t>Total Nuevos (34)</t>
  </si>
  <si>
    <t>TABLA 1 – CLIENTES ÚNICOS TOTALES</t>
  </si>
  <si>
    <t>Total Clientes Únicos (2014-2026):</t>
  </si>
  <si>
    <t>Clientes Activos</t>
  </si>
  <si>
    <t>Monto Total</t>
  </si>
  <si>
    <t>Ticket Promedio</t>
  </si>
  <si>
    <t>TABLA 2 – TOP 20 CLIENTES HISTÓRICO (2014-2026)</t>
  </si>
  <si>
    <t>Ranking</t>
  </si>
  <si>
    <t>Monto Histórico</t>
  </si>
  <si>
    <t>% Total General</t>
  </si>
  <si>
    <t>Años Activo</t>
  </si>
  <si>
    <t>Último Año</t>
  </si>
  <si>
    <t>Total Top 20</t>
  </si>
  <si>
    <t>TABLA 3 – TOP 20 CLIENTES 2025-2026</t>
  </si>
  <si>
    <t>Monto 25-26</t>
  </si>
  <si>
    <t>% Total 25-26</t>
  </si>
  <si>
    <t>¿Nuevo?</t>
  </si>
  <si>
    <t>SÍ</t>
  </si>
  <si>
    <t>NO</t>
  </si>
  <si>
    <t>CATEGORÍAS POR MONTO FACTURADO 2025-2026</t>
  </si>
  <si>
    <t># Clientes</t>
  </si>
  <si>
    <t>% Particip.</t>
  </si>
  <si>
    <t>Margen Pond.</t>
  </si>
  <si>
    <t>Platinum</t>
  </si>
  <si>
    <t>Gold</t>
  </si>
  <si>
    <t>Classic</t>
  </si>
  <si>
    <t>DETALLE PLATINUM</t>
  </si>
  <si>
    <t>% del Total</t>
  </si>
  <si>
    <t># Reg</t>
  </si>
  <si>
    <t>Subtotal Platinum</t>
  </si>
  <si>
    <t>DETALLE GOLD</t>
  </si>
  <si>
    <t>Subtotal Gold</t>
  </si>
  <si>
    <t>DETALLE CLASSIC</t>
  </si>
  <si>
    <t>Subtotal Classic</t>
  </si>
  <si>
    <t>CATEGORÍAS POR MONTO FACTURADO HISTÓRICO 2014-2026</t>
  </si>
  <si>
    <t>DETALLE HISTÓRICO PLATINUM</t>
  </si>
  <si>
    <t>DETALLE HISTÓRICO GOLD</t>
  </si>
  <si>
    <t>DETALLE HISTÓRICO CLASSIC</t>
  </si>
  <si>
    <t>SEGMENTACIÓN DE CARTERA 2025-2026</t>
  </si>
  <si>
    <t>Retenidos=activos 23-24 y 25-26 · Reactivados=activos antes de 2023, regresan en 25-26 · Nuevos=primera vez · Sin Actividad=activos 23-24 ausentes en 25-26</t>
  </si>
  <si>
    <t>Segmento</t>
  </si>
  <si>
    <t>Retenidos</t>
  </si>
  <si>
    <t>Reactivados</t>
  </si>
  <si>
    <t>Nuevos</t>
  </si>
  <si>
    <t>Sin Actividad</t>
  </si>
  <si>
    <t>DETALLE: RETENIDOS</t>
  </si>
  <si>
    <t>Sector Principal</t>
  </si>
  <si>
    <t>Subtotal Retenidos</t>
  </si>
  <si>
    <t>DETALLE: REACTIVADOS</t>
  </si>
  <si>
    <t>Subtotal Reactivados</t>
  </si>
  <si>
    <t>DETALLE: NUEVOS</t>
  </si>
  <si>
    <t>Subtotal Nuevos</t>
  </si>
  <si>
    <t>DETALLE: SIN ACTIVIDAD</t>
  </si>
  <si>
    <t>Monto 23-24</t>
  </si>
  <si>
    <t>Subtotal Sin Actividad</t>
  </si>
  <si>
    <t>TABLA 1 – VENTAS ANUALES POR ZONA (RESUMEN)</t>
  </si>
  <si>
    <t>% Particip. Año</t>
  </si>
  <si>
    <t>Centro</t>
  </si>
  <si>
    <t>Norte</t>
  </si>
  <si>
    <t>Sur</t>
  </si>
  <si>
    <t>Total 2021</t>
  </si>
  <si>
    <t>Total 2022</t>
  </si>
  <si>
    <t>Total 2023</t>
  </si>
  <si>
    <t>Total 2024</t>
  </si>
  <si>
    <t>Total 2025</t>
  </si>
  <si>
    <t>Total 2026</t>
  </si>
  <si>
    <t>TABLA 2 – DESGLOSE MENSUAL POR ZONA</t>
  </si>
  <si>
    <t>TABLA 1 – EVOLUCIÓN % MENSUAL POR AÑO</t>
  </si>
  <si>
    <t>Promedio</t>
  </si>
  <si>
    <t>TABLA 2 – ESTACIONALIDAD PROMEDIO HISTÓRICA (2021-2026)</t>
  </si>
  <si>
    <t>Métrica</t>
  </si>
  <si>
    <t>Promedio Mensual ($)</t>
  </si>
  <si>
    <t>% Promedio del Año</t>
  </si>
  <si>
    <t>Máximo Mensual ($)</t>
  </si>
  <si>
    <t>Mínimo Mensual ($)</t>
  </si>
  <si>
    <t>RESUMEN POR TRIMESTRES (PROMEDIO HISTÓRICO 2021-2026)</t>
  </si>
  <si>
    <t>Trimestre</t>
  </si>
  <si>
    <t>Meses</t>
  </si>
  <si>
    <t>Promedio Trimestral ($)</t>
  </si>
  <si>
    <t>% del Año</t>
  </si>
  <si>
    <t>Tendencia</t>
  </si>
  <si>
    <t>Q1</t>
  </si>
  <si>
    <t>Ene-Mar</t>
  </si>
  <si>
    <t>● Normal</t>
  </si>
  <si>
    <t>Q2</t>
  </si>
  <si>
    <t>Abr-Jun</t>
  </si>
  <si>
    <t>▲ Pico</t>
  </si>
  <si>
    <t>Q3</t>
  </si>
  <si>
    <t>Jul-Sep</t>
  </si>
  <si>
    <t>Q4</t>
  </si>
  <si>
    <t>Oct-Dic</t>
  </si>
  <si>
    <t>▼ Valle</t>
  </si>
  <si>
    <t>venta total</t>
  </si>
  <si>
    <t xml:space="preserve">MARGEN DEL PROYECTO % </t>
  </si>
  <si>
    <t>VENTA DE OO.CC</t>
  </si>
  <si>
    <t>COSTO DE OO.CC</t>
  </si>
  <si>
    <t>%oocc</t>
  </si>
  <si>
    <t>VENTA DE EE.MM</t>
  </si>
  <si>
    <t>COSTO DE EE.MM</t>
  </si>
  <si>
    <t>%EEMM</t>
  </si>
  <si>
    <t>mg frío</t>
  </si>
  <si>
    <t xml:space="preserve">AGROBERRIES PERU S.A.C.                                                                                                                                                                                 </t>
  </si>
  <si>
    <t xml:space="preserve">PROCESADORA TORRE BLANCA S.A.C                                                                                                                                                                          </t>
  </si>
  <si>
    <t xml:space="preserve">IMBAREX S.A.                                                                                                                                                                                            </t>
  </si>
  <si>
    <t xml:space="preserve">EL PARQUE ALAYA PACKING S.A.C.                                                                                                                                                                          </t>
  </si>
  <si>
    <t xml:space="preserve">DANPER TRUJILLO S.A.C.                                                                                                                                                                                  </t>
  </si>
  <si>
    <t xml:space="preserve">AGROVISION PERU S.A.C.                                                                                                                                                                                  </t>
  </si>
  <si>
    <t xml:space="preserve">FAMILY FARMS PERÚ S.R.L.                                                                                                                                                                                </t>
  </si>
  <si>
    <t xml:space="preserve">AQU ANQA S.A.C.                                                                                                                                                                                         </t>
  </si>
  <si>
    <t xml:space="preserve">QALI FRUITS S.A.C.                                                                                                                                                                                      </t>
  </si>
  <si>
    <t xml:space="preserve">AGROINDUSTRIAL ESTANISLAO DEL CHIMU S.A.C.                                                                                                                                                              </t>
  </si>
  <si>
    <t xml:space="preserve">AGROFUTURA COMPANY S.A.C.                                                                                                                                                                               </t>
  </si>
  <si>
    <t xml:space="preserve">AGRICOLA ALAYA SOCIEDAD ANONIMA CERRADA                                                                                                                                                                 </t>
  </si>
  <si>
    <t xml:space="preserve">BROOM FRIO HOLDING MORROPE S.A.                                                                                                                                                                         </t>
  </si>
  <si>
    <t xml:space="preserve">BOMAREA S.R.L.                                                                                                                                                                                          </t>
  </si>
  <si>
    <t xml:space="preserve">CONSORCIO CARSOL - JRM S.A.C.                                                                                                                                                                           </t>
  </si>
  <si>
    <t>MARGEN FRIO AJUSTADO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</si>
</sst>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\$#,##0"/>
    <numFmt numFmtId="166" formatCode="0.0%"/>
    <numFmt numFmtId="167" formatCode="[$$-540A]#,##0.0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4"/>
      <color rgb="FF002060"/>
      <name val="Arial"/>
      <family val="2"/>
    </font>
    <font>
      <b/>
      <sz val="12"/>
      <color rgb="FF00206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color rgb="FF595959"/>
      <name val="Arial"/>
      <family val="2"/>
    </font>
    <font>
      <b/>
      <sz val="11"/>
      <color rgb="FF002060"/>
      <name val="Arial"/>
      <family val="2"/>
    </font>
    <font>
      <b/>
      <sz val="11"/>
      <color rgb="FF006100"/>
      <name val="Arial"/>
      <family val="2"/>
    </font>
    <font>
      <b/>
      <sz val="11"/>
      <color rgb="FF9C0006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E2EFDA"/>
        <bgColor rgb="FFF2F2F2"/>
      </patternFill>
    </fill>
    <fill>
      <patternFill patternType="solid">
        <fgColor rgb="FFBDD7EE"/>
        <bgColor rgb="FFB4C6E7"/>
      </patternFill>
    </fill>
    <fill>
      <patternFill patternType="solid">
        <fgColor rgb="FFF2F2F2"/>
        <bgColor rgb="FFE2EFDA"/>
      </patternFill>
    </fill>
    <fill>
      <patternFill patternType="solid">
        <fgColor rgb="FFD6E4F0"/>
        <bgColor rgb="FFD9D9D9"/>
      </patternFill>
    </fill>
    <fill>
      <patternFill patternType="solid">
        <fgColor rgb="FFB4C6E7"/>
        <bgColor rgb="FFBDD7EE"/>
      </patternFill>
    </fill>
    <fill>
      <patternFill patternType="solid">
        <fgColor rgb="FFFCE4D6"/>
        <bgColor rgb="FFF2DCDB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FFE699"/>
        <bgColor rgb="FFFFF2CC"/>
      </patternFill>
    </fill>
    <fill>
      <patternFill patternType="solid">
        <fgColor rgb="FFD9D9D9"/>
        <bgColor rgb="FFD6E4F0"/>
      </patternFill>
    </fill>
    <fill>
      <patternFill patternType="solid">
        <fgColor rgb="FFF2DCDB"/>
        <bgColor rgb="FFFCE4D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78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horizontal="center" vertical="center"/>
    </xf>
    <xf numFmtId="166" fontId="5" fillId="6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166" fontId="6" fillId="7" borderId="1" xfId="0" applyNumberFormat="1" applyFont="1" applyFill="1" applyBorder="1" applyAlignment="1">
      <alignment horizontal="center" vertical="center"/>
    </xf>
    <xf numFmtId="165" fontId="6" fillId="8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0" fontId="1" fillId="0" borderId="0" xfId="1" applyNumberFormat="1"/>
    <xf numFmtId="10" fontId="5" fillId="0" borderId="1" xfId="0" applyNumberFormat="1" applyFont="1" applyBorder="1" applyAlignment="1">
      <alignment horizontal="center" vertical="center"/>
    </xf>
    <xf numFmtId="10" fontId="6" fillId="4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10" fontId="6" fillId="5" borderId="1" xfId="0" applyNumberFormat="1" applyFont="1" applyFill="1" applyBorder="1" applyAlignment="1">
      <alignment horizontal="center" vertical="center"/>
    </xf>
    <xf numFmtId="10" fontId="5" fillId="6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167" fontId="5" fillId="6" borderId="1" xfId="0" applyNumberFormat="1" applyFont="1" applyFill="1" applyBorder="1" applyAlignment="1">
      <alignment horizontal="center" vertical="center"/>
    </xf>
    <xf numFmtId="167" fontId="6" fillId="5" borderId="1" xfId="0" applyNumberFormat="1" applyFont="1" applyFill="1" applyBorder="1" applyAlignment="1">
      <alignment horizontal="center" vertical="center"/>
    </xf>
    <xf numFmtId="167" fontId="0" fillId="0" borderId="0" xfId="0" applyNumberFormat="1"/>
    <xf numFmtId="10" fontId="1" fillId="0" borderId="0" xfId="1" applyNumberFormat="1" applyAlignment="1">
      <alignment horizontal="center" vertical="center"/>
    </xf>
    <xf numFmtId="2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9" fontId="1" fillId="14" borderId="2" xfId="1" applyFill="1" applyBorder="1" applyAlignment="1">
      <alignment horizontal="center" vertical="center" wrapText="1"/>
    </xf>
    <xf numFmtId="9" fontId="1" fillId="0" borderId="2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9" fontId="1" fillId="0" borderId="0" xfId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4" fillId="0" borderId="0" xfId="0" applyFont="1"/>
    <xf numFmtId="0" fontId="7" fillId="0" borderId="0" xfId="0" applyFont="1"/>
    <xf numFmtId="0" fontId="8" fillId="7" borderId="0" xfId="0" applyFont="1" applyFill="1"/>
    <xf numFmtId="0" fontId="8" fillId="11" borderId="0" xfId="0" applyFont="1" applyFill="1"/>
    <xf numFmtId="0" fontId="8" fillId="12" borderId="0" xfId="0" applyFont="1" applyFill="1"/>
    <xf numFmtId="0" fontId="8" fillId="13" borderId="0" xfId="0" applyFont="1" applyFill="1"/>
    <xf numFmtId="0" fontId="8" fillId="10" borderId="0" xfId="0" applyFont="1" applyFill="1"/>
    <xf numFmtId="0" fontId="8" fillId="4" borderId="0" xfId="0" applyFont="1" applyFill="1"/>
    <xf numFmtId="0" fontId="8" fillId="8" borderId="0" xfId="0" applyFont="1" applyFill="1"/>
  </cellXfs>
  <cellStyles count="2">
    <cellStyle name="Normal" xfId="0" builtinId="0"/>
    <cellStyle name="Porcentaje" xfId="1" builtinId="5"/>
  </cellStyles>
  <dxfs count="5">
    <dxf>
      <numFmt numFmtId="165" formatCode="\$#,##0"/>
    </dxf>
    <dxf>
      <numFmt numFmtId="166" formatCode="0.0%"/>
    </dxf>
    <dxf>
      <numFmt numFmtId="165" formatCode="\$#,##0"/>
    </dxf>
    <dxf>
      <numFmt numFmtId="16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0080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699"/>
      <rgbColor rgb="FFD9D9D9"/>
      <rgbColor rgb="FFFCE4D6"/>
      <rgbColor rgb="FFF2F2F2"/>
      <rgbColor rgb="FFF2DCD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0194CF-D829-48A6-A3CC-EC7C8DF94674}" name="Tabla1" displayName="Tabla1" ref="A1:Q1801" totalsRowShown="0" headerRowDxfId="4">
  <autoFilter ref="A1:Q1801" xr:uid="{3D0194CF-D829-48A6-A3CC-EC7C8DF94674}"/>
  <sortState xmlns:xlrd2="http://schemas.microsoft.com/office/spreadsheetml/2017/richdata2" ref="A1719:Q1801">
    <sortCondition descending="1" ref="K1:K1801"/>
  </sortState>
  <tableColumns count="17">
    <tableColumn id="1" xr3:uid="{2B24D43D-84D3-45FC-8956-8C79EF74B7E1}" name="Año"/>
    <tableColumn id="2" xr3:uid="{E50AE54B-F76E-41B6-8E32-858CD223E95E}" name="Fecha" dataDxfId="3"/>
    <tableColumn id="3" xr3:uid="{9865138E-B45A-47EA-A37E-91A7D72C659B}" name="Mes"/>
    <tableColumn id="4" xr3:uid="{228F1FAA-D385-4582-80A6-6C8351D5542D}" name="Cliente"/>
    <tableColumn id="5" xr3:uid="{6EE085F2-F504-4989-BAEF-31BA40FF0C29}" name="Descripción"/>
    <tableColumn id="6" xr3:uid="{4C037A73-1E14-40AF-B863-713A7874E309}" name="PAÍS"/>
    <tableColumn id="7" xr3:uid="{9A1578E9-F44C-4DD0-AF58-C24170CAA000}" name="ZONA"/>
    <tableColumn id="8" xr3:uid="{44A19BC9-096A-44CC-A0D9-C265655F59E1}" name="DEPARTAMENTO"/>
    <tableColumn id="9" xr3:uid="{BA2CD08E-237C-4159-BEE8-91D3402D86D3}" name="Sector"/>
    <tableColumn id="10" xr3:uid="{377CDD23-B920-4C38-849A-1209947C6F0B}" name="Refrigerante"/>
    <tableColumn id="11" xr3:uid="{02339D40-8FAF-47BD-8690-CB5384359684}" name="Importe total" dataDxfId="2"/>
    <tableColumn id="12" xr3:uid="{AD688D4C-F13A-43A2-B701-A17477107C48}" name="TIPO DE PROYECTO"/>
    <tableColumn id="13" xr3:uid="{344667CE-AB08-4CC7-81DD-97EA655D9C2F}" name="CODIGO PROYECTO"/>
    <tableColumn id="14" xr3:uid="{B3A2F995-CB8D-482C-A55E-8FA0A2D4B299}" name="Columna1"/>
    <tableColumn id="15" xr3:uid="{A5FAE929-BB7B-4EA8-BEF7-790465CE943F}" name="Margen Comercial" dataDxfId="1"/>
    <tableColumn id="16" xr3:uid="{C8163245-1A08-48BA-8D31-11CF5888B9A1}" name="MARGEN COMERCIAL2" dataDxfId="0"/>
    <tableColumn id="17" xr3:uid="{93D99F4B-73A6-4C15-A8B9-4F3FA4861820}" name="Descripció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05"/>
  <sheetViews>
    <sheetView tabSelected="1" topLeftCell="B1" zoomScaleNormal="100" workbookViewId="0">
      <pane ySplit="1" topLeftCell="A1741" activePane="bottomLeft" state="frozen"/>
      <selection pane="bottomLeft" activeCell="L1790" sqref="L1790"/>
    </sheetView>
  </sheetViews>
  <sheetFormatPr baseColWidth="10" defaultColWidth="8.6640625" defaultRowHeight="14.4" x14ac:dyDescent="0.3"/>
  <cols>
    <col min="1" max="3" width="14" customWidth="1"/>
    <col min="4" max="4" width="42" customWidth="1"/>
    <col min="5" max="5" width="40" hidden="1" customWidth="1"/>
    <col min="6" max="7" width="14" hidden="1" customWidth="1"/>
    <col min="8" max="8" width="18.109375" hidden="1" customWidth="1"/>
    <col min="9" max="10" width="14" hidden="1" customWidth="1"/>
    <col min="11" max="11" width="14" customWidth="1"/>
    <col min="12" max="12" width="21" customWidth="1"/>
    <col min="13" max="13" width="21.109375" customWidth="1"/>
    <col min="14" max="14" width="14" customWidth="1"/>
    <col min="15" max="15" width="18.5546875" style="49" customWidth="1"/>
    <col min="16" max="16" width="23.33203125" customWidth="1"/>
    <col min="17" max="17" width="14.21875" customWidth="1"/>
  </cols>
  <sheetData>
    <row r="1" spans="1:1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9" t="s">
        <v>14</v>
      </c>
      <c r="P1" s="1" t="s">
        <v>15</v>
      </c>
      <c r="Q1" s="1" t="s">
        <v>16</v>
      </c>
    </row>
    <row r="2" spans="1:17" ht="15" customHeight="1" x14ac:dyDescent="0.3">
      <c r="A2">
        <v>2014</v>
      </c>
      <c r="B2" s="2">
        <v>41641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>
        <v>738.56</v>
      </c>
      <c r="O2" s="4">
        <v>0</v>
      </c>
      <c r="P2" s="3">
        <v>0</v>
      </c>
    </row>
    <row r="3" spans="1:17" ht="15" customHeight="1" x14ac:dyDescent="0.3">
      <c r="A3">
        <v>2014</v>
      </c>
      <c r="B3" s="2">
        <v>41642</v>
      </c>
      <c r="C3" t="s">
        <v>17</v>
      </c>
      <c r="D3" t="s">
        <v>25</v>
      </c>
      <c r="E3" t="s">
        <v>26</v>
      </c>
      <c r="F3" t="s">
        <v>20</v>
      </c>
      <c r="G3" t="s">
        <v>21</v>
      </c>
      <c r="H3" t="s">
        <v>22</v>
      </c>
      <c r="I3" t="s">
        <v>23</v>
      </c>
      <c r="J3" t="s">
        <v>27</v>
      </c>
      <c r="K3" s="3">
        <v>2180.6799999999998</v>
      </c>
      <c r="O3" s="4">
        <v>0</v>
      </c>
      <c r="P3" s="3">
        <v>0</v>
      </c>
    </row>
    <row r="4" spans="1:17" ht="15" customHeight="1" x14ac:dyDescent="0.3">
      <c r="A4">
        <v>2014</v>
      </c>
      <c r="B4" s="2">
        <v>41642</v>
      </c>
      <c r="C4" t="s">
        <v>17</v>
      </c>
      <c r="D4" t="s">
        <v>28</v>
      </c>
      <c r="E4" t="s">
        <v>29</v>
      </c>
      <c r="F4" t="s">
        <v>20</v>
      </c>
      <c r="G4" t="s">
        <v>21</v>
      </c>
      <c r="H4" t="s">
        <v>22</v>
      </c>
      <c r="I4" t="s">
        <v>23</v>
      </c>
      <c r="J4" t="s">
        <v>27</v>
      </c>
      <c r="K4" s="3">
        <v>980</v>
      </c>
      <c r="O4" s="4">
        <v>0</v>
      </c>
      <c r="P4" s="3">
        <v>0</v>
      </c>
    </row>
    <row r="5" spans="1:17" ht="15" customHeight="1" x14ac:dyDescent="0.3">
      <c r="A5">
        <v>2014</v>
      </c>
      <c r="B5" s="2">
        <v>41645</v>
      </c>
      <c r="C5" t="s">
        <v>17</v>
      </c>
      <c r="D5" t="s">
        <v>30</v>
      </c>
      <c r="E5" t="s">
        <v>31</v>
      </c>
      <c r="F5" t="s">
        <v>20</v>
      </c>
      <c r="G5" t="s">
        <v>21</v>
      </c>
      <c r="H5" t="s">
        <v>22</v>
      </c>
      <c r="I5" t="s">
        <v>23</v>
      </c>
      <c r="J5" t="s">
        <v>27</v>
      </c>
      <c r="K5" s="3">
        <v>400</v>
      </c>
      <c r="O5" s="4">
        <v>0</v>
      </c>
      <c r="P5" s="3">
        <v>0</v>
      </c>
    </row>
    <row r="6" spans="1:17" ht="15" customHeight="1" x14ac:dyDescent="0.3">
      <c r="A6">
        <v>2014</v>
      </c>
      <c r="B6" s="2">
        <v>41645</v>
      </c>
      <c r="C6" t="s">
        <v>17</v>
      </c>
      <c r="D6" t="s">
        <v>32</v>
      </c>
      <c r="E6" t="s">
        <v>33</v>
      </c>
      <c r="F6" t="s">
        <v>20</v>
      </c>
      <c r="G6" t="s">
        <v>21</v>
      </c>
      <c r="H6" t="s">
        <v>22</v>
      </c>
      <c r="I6" t="s">
        <v>23</v>
      </c>
      <c r="J6" t="s">
        <v>27</v>
      </c>
      <c r="K6" s="3">
        <v>1280</v>
      </c>
      <c r="O6" s="4">
        <v>0</v>
      </c>
      <c r="P6" s="3">
        <v>0</v>
      </c>
    </row>
    <row r="7" spans="1:17" ht="15" customHeight="1" x14ac:dyDescent="0.3">
      <c r="A7">
        <v>2014</v>
      </c>
      <c r="B7" s="2">
        <v>41645</v>
      </c>
      <c r="C7" t="s">
        <v>17</v>
      </c>
      <c r="D7" t="s">
        <v>34</v>
      </c>
      <c r="E7" t="s">
        <v>35</v>
      </c>
      <c r="F7" t="s">
        <v>20</v>
      </c>
      <c r="G7" t="s">
        <v>21</v>
      </c>
      <c r="H7" t="s">
        <v>22</v>
      </c>
      <c r="I7" t="s">
        <v>23</v>
      </c>
      <c r="J7" t="s">
        <v>27</v>
      </c>
      <c r="K7" s="3">
        <v>6600</v>
      </c>
      <c r="O7" s="4">
        <v>0</v>
      </c>
      <c r="P7" s="3">
        <v>0</v>
      </c>
    </row>
    <row r="8" spans="1:17" ht="15" customHeight="1" x14ac:dyDescent="0.3">
      <c r="A8">
        <v>2014</v>
      </c>
      <c r="B8" s="2">
        <v>41645</v>
      </c>
      <c r="C8" t="s">
        <v>17</v>
      </c>
      <c r="D8" t="s">
        <v>36</v>
      </c>
      <c r="E8" t="s">
        <v>37</v>
      </c>
      <c r="F8" t="s">
        <v>20</v>
      </c>
      <c r="G8" t="s">
        <v>38</v>
      </c>
      <c r="H8" t="s">
        <v>39</v>
      </c>
      <c r="I8" t="s">
        <v>23</v>
      </c>
      <c r="J8" t="s">
        <v>27</v>
      </c>
      <c r="K8" s="3">
        <v>8650</v>
      </c>
      <c r="O8" s="4">
        <v>0</v>
      </c>
      <c r="P8" s="3">
        <v>0</v>
      </c>
    </row>
    <row r="9" spans="1:17" ht="15" customHeight="1" x14ac:dyDescent="0.3">
      <c r="A9">
        <v>2014</v>
      </c>
      <c r="B9" s="2">
        <v>41646</v>
      </c>
      <c r="C9" t="s">
        <v>17</v>
      </c>
      <c r="D9" t="s">
        <v>40</v>
      </c>
      <c r="E9" t="s">
        <v>41</v>
      </c>
      <c r="F9" t="s">
        <v>20</v>
      </c>
      <c r="G9" t="s">
        <v>21</v>
      </c>
      <c r="H9" t="s">
        <v>22</v>
      </c>
      <c r="I9" t="s">
        <v>23</v>
      </c>
      <c r="J9" t="s">
        <v>27</v>
      </c>
      <c r="K9" s="3">
        <v>9120</v>
      </c>
      <c r="O9" s="4">
        <v>0</v>
      </c>
      <c r="P9" s="3">
        <v>0</v>
      </c>
    </row>
    <row r="10" spans="1:17" ht="15" customHeight="1" x14ac:dyDescent="0.3">
      <c r="A10">
        <v>2014</v>
      </c>
      <c r="B10" s="2">
        <v>41648</v>
      </c>
      <c r="C10" t="s">
        <v>17</v>
      </c>
      <c r="D10" t="s">
        <v>32</v>
      </c>
      <c r="E10" t="s">
        <v>42</v>
      </c>
      <c r="F10" t="s">
        <v>20</v>
      </c>
      <c r="G10" t="s">
        <v>21</v>
      </c>
      <c r="H10" t="s">
        <v>22</v>
      </c>
      <c r="I10" t="s">
        <v>23</v>
      </c>
      <c r="J10" t="s">
        <v>27</v>
      </c>
      <c r="K10" s="3">
        <v>748.93</v>
      </c>
      <c r="O10" s="4">
        <v>0</v>
      </c>
      <c r="P10" s="3">
        <v>0</v>
      </c>
    </row>
    <row r="11" spans="1:17" ht="15" customHeight="1" x14ac:dyDescent="0.3">
      <c r="A11">
        <v>2014</v>
      </c>
      <c r="B11" s="2">
        <v>41653</v>
      </c>
      <c r="C11" t="s">
        <v>17</v>
      </c>
      <c r="D11" t="s">
        <v>43</v>
      </c>
      <c r="E11" t="s">
        <v>44</v>
      </c>
      <c r="F11" t="s">
        <v>20</v>
      </c>
      <c r="G11" t="s">
        <v>21</v>
      </c>
      <c r="H11" t="s">
        <v>22</v>
      </c>
      <c r="I11" t="s">
        <v>23</v>
      </c>
      <c r="J11" t="s">
        <v>27</v>
      </c>
      <c r="K11" s="3">
        <v>810</v>
      </c>
      <c r="O11" s="4">
        <v>0</v>
      </c>
      <c r="P11" s="3">
        <v>0</v>
      </c>
    </row>
    <row r="12" spans="1:17" ht="15" customHeight="1" x14ac:dyDescent="0.3">
      <c r="A12">
        <v>2014</v>
      </c>
      <c r="B12" s="2">
        <v>41655</v>
      </c>
      <c r="C12" t="s">
        <v>17</v>
      </c>
      <c r="D12" t="s">
        <v>45</v>
      </c>
      <c r="E12" t="s">
        <v>46</v>
      </c>
      <c r="F12" t="s">
        <v>20</v>
      </c>
      <c r="G12" t="s">
        <v>38</v>
      </c>
      <c r="H12" t="s">
        <v>39</v>
      </c>
      <c r="I12" t="s">
        <v>23</v>
      </c>
      <c r="J12" t="s">
        <v>27</v>
      </c>
      <c r="K12" s="3">
        <v>450</v>
      </c>
      <c r="O12" s="4">
        <v>0</v>
      </c>
      <c r="P12" s="3">
        <v>0</v>
      </c>
    </row>
    <row r="13" spans="1:17" ht="15" customHeight="1" x14ac:dyDescent="0.3">
      <c r="A13">
        <v>2014</v>
      </c>
      <c r="B13" s="2">
        <v>41656</v>
      </c>
      <c r="C13" t="s">
        <v>17</v>
      </c>
      <c r="D13" t="s">
        <v>47</v>
      </c>
      <c r="E13" t="s">
        <v>48</v>
      </c>
      <c r="F13" t="s">
        <v>20</v>
      </c>
      <c r="G13" t="s">
        <v>38</v>
      </c>
      <c r="H13" t="s">
        <v>39</v>
      </c>
      <c r="I13" t="s">
        <v>49</v>
      </c>
      <c r="J13" t="s">
        <v>50</v>
      </c>
      <c r="K13" s="3">
        <v>365000</v>
      </c>
      <c r="O13" s="4">
        <v>0</v>
      </c>
      <c r="P13" s="3">
        <v>0</v>
      </c>
    </row>
    <row r="14" spans="1:17" ht="15" customHeight="1" x14ac:dyDescent="0.3">
      <c r="A14">
        <v>2014</v>
      </c>
      <c r="B14" s="2">
        <v>41656</v>
      </c>
      <c r="C14" t="s">
        <v>17</v>
      </c>
      <c r="D14" t="s">
        <v>47</v>
      </c>
      <c r="E14" t="s">
        <v>51</v>
      </c>
      <c r="F14" t="s">
        <v>20</v>
      </c>
      <c r="G14" t="s">
        <v>38</v>
      </c>
      <c r="H14" t="s">
        <v>39</v>
      </c>
      <c r="I14" t="s">
        <v>49</v>
      </c>
      <c r="J14" t="s">
        <v>50</v>
      </c>
      <c r="K14" s="3">
        <v>195000</v>
      </c>
      <c r="O14" s="4">
        <v>0</v>
      </c>
      <c r="P14" s="3">
        <v>0</v>
      </c>
    </row>
    <row r="15" spans="1:17" ht="15" customHeight="1" x14ac:dyDescent="0.3">
      <c r="A15">
        <v>2014</v>
      </c>
      <c r="B15" s="2">
        <v>41657</v>
      </c>
      <c r="C15" t="s">
        <v>17</v>
      </c>
      <c r="D15" t="s">
        <v>18</v>
      </c>
      <c r="E15" t="s">
        <v>52</v>
      </c>
      <c r="F15" t="s">
        <v>20</v>
      </c>
      <c r="G15" t="s">
        <v>21</v>
      </c>
      <c r="H15" t="s">
        <v>22</v>
      </c>
      <c r="I15" t="s">
        <v>23</v>
      </c>
      <c r="J15" t="s">
        <v>27</v>
      </c>
      <c r="K15" s="3">
        <v>619.85</v>
      </c>
      <c r="O15" s="4">
        <v>0</v>
      </c>
      <c r="P15" s="3">
        <v>0</v>
      </c>
    </row>
    <row r="16" spans="1:17" ht="15" customHeight="1" x14ac:dyDescent="0.3">
      <c r="A16">
        <v>2014</v>
      </c>
      <c r="B16" s="2">
        <v>41659</v>
      </c>
      <c r="C16" t="s">
        <v>17</v>
      </c>
      <c r="D16" t="s">
        <v>53</v>
      </c>
      <c r="E16" t="s">
        <v>54</v>
      </c>
      <c r="F16" t="s">
        <v>20</v>
      </c>
      <c r="G16" t="s">
        <v>21</v>
      </c>
      <c r="H16" t="s">
        <v>22</v>
      </c>
      <c r="I16" t="s">
        <v>23</v>
      </c>
      <c r="J16" t="s">
        <v>27</v>
      </c>
      <c r="K16" s="3">
        <v>450</v>
      </c>
      <c r="O16" s="4">
        <v>0</v>
      </c>
      <c r="P16" s="3">
        <v>0</v>
      </c>
    </row>
    <row r="17" spans="1:16" ht="15" customHeight="1" x14ac:dyDescent="0.3">
      <c r="A17">
        <v>2014</v>
      </c>
      <c r="B17" s="2">
        <v>41659</v>
      </c>
      <c r="C17" t="s">
        <v>17</v>
      </c>
      <c r="D17" t="s">
        <v>45</v>
      </c>
      <c r="E17" t="s">
        <v>55</v>
      </c>
      <c r="F17" t="s">
        <v>20</v>
      </c>
      <c r="G17" t="s">
        <v>38</v>
      </c>
      <c r="H17" t="s">
        <v>39</v>
      </c>
      <c r="I17" t="s">
        <v>23</v>
      </c>
      <c r="J17" t="s">
        <v>27</v>
      </c>
      <c r="K17" s="3">
        <v>1300</v>
      </c>
      <c r="O17" s="4">
        <v>0</v>
      </c>
      <c r="P17" s="3">
        <v>0</v>
      </c>
    </row>
    <row r="18" spans="1:16" ht="15" customHeight="1" x14ac:dyDescent="0.3">
      <c r="A18">
        <v>2014</v>
      </c>
      <c r="B18" s="2">
        <v>41659</v>
      </c>
      <c r="C18" t="s">
        <v>17</v>
      </c>
      <c r="D18" t="s">
        <v>56</v>
      </c>
      <c r="E18" t="s">
        <v>57</v>
      </c>
      <c r="F18" t="s">
        <v>20</v>
      </c>
      <c r="G18" t="s">
        <v>21</v>
      </c>
      <c r="H18" t="s">
        <v>22</v>
      </c>
      <c r="I18" t="s">
        <v>23</v>
      </c>
      <c r="J18" t="s">
        <v>27</v>
      </c>
      <c r="K18" s="3">
        <v>483.05</v>
      </c>
      <c r="O18" s="4">
        <v>0</v>
      </c>
      <c r="P18" s="3">
        <v>0</v>
      </c>
    </row>
    <row r="19" spans="1:16" ht="15" customHeight="1" x14ac:dyDescent="0.3">
      <c r="A19">
        <v>2014</v>
      </c>
      <c r="B19" s="2">
        <v>41660</v>
      </c>
      <c r="C19" t="s">
        <v>17</v>
      </c>
      <c r="D19" t="s">
        <v>53</v>
      </c>
      <c r="E19" t="s">
        <v>58</v>
      </c>
      <c r="F19" t="s">
        <v>20</v>
      </c>
      <c r="G19" t="s">
        <v>21</v>
      </c>
      <c r="H19" t="s">
        <v>22</v>
      </c>
      <c r="I19" t="s">
        <v>23</v>
      </c>
      <c r="J19" t="s">
        <v>27</v>
      </c>
      <c r="K19" s="3">
        <v>300</v>
      </c>
      <c r="O19" s="4">
        <v>0</v>
      </c>
      <c r="P19" s="3">
        <v>0</v>
      </c>
    </row>
    <row r="20" spans="1:16" ht="15" customHeight="1" x14ac:dyDescent="0.3">
      <c r="A20">
        <v>2014</v>
      </c>
      <c r="B20" s="2">
        <v>41660</v>
      </c>
      <c r="C20" t="s">
        <v>17</v>
      </c>
      <c r="D20" t="s">
        <v>59</v>
      </c>
      <c r="E20" t="s">
        <v>60</v>
      </c>
      <c r="F20" t="s">
        <v>20</v>
      </c>
      <c r="G20" t="s">
        <v>21</v>
      </c>
      <c r="H20" t="s">
        <v>22</v>
      </c>
      <c r="I20" t="s">
        <v>23</v>
      </c>
      <c r="J20" t="s">
        <v>27</v>
      </c>
      <c r="K20" s="3">
        <v>600</v>
      </c>
      <c r="O20" s="4">
        <v>0</v>
      </c>
      <c r="P20" s="3">
        <v>0</v>
      </c>
    </row>
    <row r="21" spans="1:16" ht="15" customHeight="1" x14ac:dyDescent="0.3">
      <c r="A21">
        <v>2014</v>
      </c>
      <c r="B21" s="2">
        <v>41667</v>
      </c>
      <c r="C21" t="s">
        <v>17</v>
      </c>
      <c r="D21" t="s">
        <v>61</v>
      </c>
      <c r="E21" t="s">
        <v>62</v>
      </c>
      <c r="F21" t="s">
        <v>20</v>
      </c>
      <c r="G21" t="s">
        <v>21</v>
      </c>
      <c r="H21" t="s">
        <v>22</v>
      </c>
      <c r="I21" t="s">
        <v>23</v>
      </c>
      <c r="J21" t="s">
        <v>27</v>
      </c>
      <c r="K21" s="3">
        <v>371.28</v>
      </c>
      <c r="O21" s="4">
        <v>0</v>
      </c>
      <c r="P21" s="3">
        <v>0</v>
      </c>
    </row>
    <row r="22" spans="1:16" ht="15" customHeight="1" x14ac:dyDescent="0.3">
      <c r="A22">
        <v>2014</v>
      </c>
      <c r="B22" s="2">
        <v>41667</v>
      </c>
      <c r="C22" t="s">
        <v>17</v>
      </c>
      <c r="D22" t="s">
        <v>18</v>
      </c>
      <c r="E22" t="s">
        <v>63</v>
      </c>
      <c r="F22" t="s">
        <v>20</v>
      </c>
      <c r="G22" t="s">
        <v>21</v>
      </c>
      <c r="H22" t="s">
        <v>22</v>
      </c>
      <c r="I22" t="s">
        <v>23</v>
      </c>
      <c r="J22" t="s">
        <v>27</v>
      </c>
      <c r="K22" s="3">
        <v>325</v>
      </c>
      <c r="O22" s="4">
        <v>0</v>
      </c>
      <c r="P22" s="3">
        <v>0</v>
      </c>
    </row>
    <row r="23" spans="1:16" ht="15" customHeight="1" x14ac:dyDescent="0.3">
      <c r="A23">
        <v>2014</v>
      </c>
      <c r="B23" s="2">
        <v>41668</v>
      </c>
      <c r="C23" t="s">
        <v>17</v>
      </c>
      <c r="D23" t="s">
        <v>64</v>
      </c>
      <c r="E23" t="s">
        <v>65</v>
      </c>
      <c r="F23" t="s">
        <v>20</v>
      </c>
      <c r="G23" t="s">
        <v>21</v>
      </c>
      <c r="H23" t="s">
        <v>22</v>
      </c>
      <c r="I23" t="s">
        <v>23</v>
      </c>
      <c r="J23" t="s">
        <v>27</v>
      </c>
      <c r="K23" s="3">
        <v>460</v>
      </c>
      <c r="O23" s="4">
        <v>0</v>
      </c>
      <c r="P23" s="3">
        <v>0</v>
      </c>
    </row>
    <row r="24" spans="1:16" ht="15" customHeight="1" x14ac:dyDescent="0.3">
      <c r="A24">
        <v>2014</v>
      </c>
      <c r="B24" s="2">
        <v>41668</v>
      </c>
      <c r="C24" t="s">
        <v>17</v>
      </c>
      <c r="D24" t="s">
        <v>18</v>
      </c>
      <c r="E24" t="s">
        <v>66</v>
      </c>
      <c r="F24" t="s">
        <v>20</v>
      </c>
      <c r="G24" t="s">
        <v>21</v>
      </c>
      <c r="H24" t="s">
        <v>22</v>
      </c>
      <c r="I24" t="s">
        <v>23</v>
      </c>
      <c r="J24" t="s">
        <v>27</v>
      </c>
      <c r="K24" s="3">
        <v>348.25</v>
      </c>
      <c r="O24" s="4">
        <v>0</v>
      </c>
      <c r="P24" s="3">
        <v>0</v>
      </c>
    </row>
    <row r="25" spans="1:16" ht="15" customHeight="1" x14ac:dyDescent="0.3">
      <c r="A25">
        <v>2014</v>
      </c>
      <c r="B25" s="2">
        <v>41668</v>
      </c>
      <c r="C25" t="s">
        <v>17</v>
      </c>
      <c r="D25" t="s">
        <v>67</v>
      </c>
      <c r="E25" t="s">
        <v>68</v>
      </c>
      <c r="F25" t="s">
        <v>20</v>
      </c>
      <c r="G25" t="s">
        <v>21</v>
      </c>
      <c r="H25" t="s">
        <v>22</v>
      </c>
      <c r="I25" t="s">
        <v>23</v>
      </c>
      <c r="J25" t="s">
        <v>27</v>
      </c>
      <c r="K25" s="3">
        <v>7900</v>
      </c>
      <c r="O25" s="4">
        <v>0</v>
      </c>
      <c r="P25" s="3">
        <v>0</v>
      </c>
    </row>
    <row r="26" spans="1:16" ht="15" customHeight="1" x14ac:dyDescent="0.3">
      <c r="A26">
        <v>2014</v>
      </c>
      <c r="B26" s="2">
        <v>41669</v>
      </c>
      <c r="C26" t="s">
        <v>17</v>
      </c>
      <c r="D26" t="s">
        <v>69</v>
      </c>
      <c r="E26" t="s">
        <v>70</v>
      </c>
      <c r="F26" t="s">
        <v>20</v>
      </c>
      <c r="G26" t="s">
        <v>21</v>
      </c>
      <c r="H26" t="s">
        <v>22</v>
      </c>
      <c r="I26" t="s">
        <v>23</v>
      </c>
      <c r="J26" t="s">
        <v>27</v>
      </c>
      <c r="K26" s="3">
        <v>900.3</v>
      </c>
      <c r="O26" s="4">
        <v>0</v>
      </c>
      <c r="P26" s="3">
        <v>0</v>
      </c>
    </row>
    <row r="27" spans="1:16" ht="15" customHeight="1" x14ac:dyDescent="0.3">
      <c r="A27">
        <v>2014</v>
      </c>
      <c r="B27" s="2">
        <v>41675</v>
      </c>
      <c r="C27" t="s">
        <v>71</v>
      </c>
      <c r="D27" t="s">
        <v>30</v>
      </c>
      <c r="E27" t="s">
        <v>72</v>
      </c>
      <c r="F27" t="s">
        <v>20</v>
      </c>
      <c r="G27" t="s">
        <v>21</v>
      </c>
      <c r="H27" t="s">
        <v>22</v>
      </c>
      <c r="I27" t="s">
        <v>23</v>
      </c>
      <c r="J27" t="s">
        <v>27</v>
      </c>
      <c r="K27" s="3">
        <v>212.46</v>
      </c>
      <c r="O27" s="4">
        <v>0</v>
      </c>
      <c r="P27" s="3">
        <v>0</v>
      </c>
    </row>
    <row r="28" spans="1:16" ht="15" customHeight="1" x14ac:dyDescent="0.3">
      <c r="A28">
        <v>2014</v>
      </c>
      <c r="B28" s="2">
        <v>41675</v>
      </c>
      <c r="C28" t="s">
        <v>71</v>
      </c>
      <c r="D28" t="s">
        <v>32</v>
      </c>
      <c r="E28" t="s">
        <v>73</v>
      </c>
      <c r="F28" t="s">
        <v>20</v>
      </c>
      <c r="G28" t="s">
        <v>21</v>
      </c>
      <c r="H28" t="s">
        <v>22</v>
      </c>
      <c r="I28" t="s">
        <v>23</v>
      </c>
      <c r="J28" t="s">
        <v>27</v>
      </c>
      <c r="K28" s="3">
        <v>1800</v>
      </c>
      <c r="O28" s="4">
        <v>0</v>
      </c>
      <c r="P28" s="3">
        <v>0</v>
      </c>
    </row>
    <row r="29" spans="1:16" ht="15" customHeight="1" x14ac:dyDescent="0.3">
      <c r="A29">
        <v>2014</v>
      </c>
      <c r="B29" s="2">
        <v>41675</v>
      </c>
      <c r="C29" t="s">
        <v>71</v>
      </c>
      <c r="D29" t="s">
        <v>74</v>
      </c>
      <c r="E29" t="s">
        <v>75</v>
      </c>
      <c r="F29" t="s">
        <v>20</v>
      </c>
      <c r="G29" t="s">
        <v>21</v>
      </c>
      <c r="H29" t="s">
        <v>22</v>
      </c>
      <c r="I29" t="s">
        <v>23</v>
      </c>
      <c r="J29" t="s">
        <v>27</v>
      </c>
      <c r="K29" s="3">
        <v>8.5</v>
      </c>
      <c r="O29" s="4">
        <v>0</v>
      </c>
      <c r="P29" s="3">
        <v>0</v>
      </c>
    </row>
    <row r="30" spans="1:16" ht="15" customHeight="1" x14ac:dyDescent="0.3">
      <c r="A30">
        <v>2014</v>
      </c>
      <c r="B30" s="2">
        <v>41676</v>
      </c>
      <c r="C30" t="s">
        <v>71</v>
      </c>
      <c r="D30" t="s">
        <v>76</v>
      </c>
      <c r="E30" t="s">
        <v>77</v>
      </c>
      <c r="F30" t="s">
        <v>20</v>
      </c>
      <c r="G30" t="s">
        <v>21</v>
      </c>
      <c r="H30" t="s">
        <v>22</v>
      </c>
      <c r="I30" t="s">
        <v>23</v>
      </c>
      <c r="J30" t="s">
        <v>27</v>
      </c>
      <c r="K30" s="3">
        <v>300</v>
      </c>
      <c r="O30" s="4">
        <v>0</v>
      </c>
      <c r="P30" s="3">
        <v>0</v>
      </c>
    </row>
    <row r="31" spans="1:16" ht="15" customHeight="1" x14ac:dyDescent="0.3">
      <c r="A31">
        <v>2014</v>
      </c>
      <c r="B31" s="2">
        <v>41677</v>
      </c>
      <c r="C31" t="s">
        <v>71</v>
      </c>
      <c r="D31" t="s">
        <v>78</v>
      </c>
      <c r="E31" t="s">
        <v>79</v>
      </c>
      <c r="F31" t="s">
        <v>20</v>
      </c>
      <c r="G31" t="s">
        <v>21</v>
      </c>
      <c r="H31" t="s">
        <v>22</v>
      </c>
      <c r="I31" t="s">
        <v>23</v>
      </c>
      <c r="J31" t="s">
        <v>27</v>
      </c>
      <c r="K31" s="3">
        <v>995.4</v>
      </c>
      <c r="O31" s="4">
        <v>0</v>
      </c>
      <c r="P31" s="3">
        <v>0</v>
      </c>
    </row>
    <row r="32" spans="1:16" ht="15" customHeight="1" x14ac:dyDescent="0.3">
      <c r="A32">
        <v>2014</v>
      </c>
      <c r="B32" s="2">
        <v>41677</v>
      </c>
      <c r="C32" t="s">
        <v>71</v>
      </c>
      <c r="D32" t="s">
        <v>67</v>
      </c>
      <c r="E32" t="s">
        <v>80</v>
      </c>
      <c r="F32" t="s">
        <v>20</v>
      </c>
      <c r="G32" t="s">
        <v>21</v>
      </c>
      <c r="H32" t="s">
        <v>22</v>
      </c>
      <c r="I32" t="s">
        <v>23</v>
      </c>
      <c r="J32" t="s">
        <v>27</v>
      </c>
      <c r="K32" s="3">
        <v>3600</v>
      </c>
      <c r="O32" s="4">
        <v>0</v>
      </c>
      <c r="P32" s="3">
        <v>0</v>
      </c>
    </row>
    <row r="33" spans="1:16" ht="15" customHeight="1" x14ac:dyDescent="0.3">
      <c r="A33">
        <v>2014</v>
      </c>
      <c r="B33" s="2">
        <v>41678</v>
      </c>
      <c r="C33" t="s">
        <v>71</v>
      </c>
      <c r="D33" t="s">
        <v>81</v>
      </c>
      <c r="E33" t="s">
        <v>82</v>
      </c>
      <c r="F33" t="s">
        <v>20</v>
      </c>
      <c r="G33" t="s">
        <v>21</v>
      </c>
      <c r="H33" t="s">
        <v>22</v>
      </c>
      <c r="I33" t="s">
        <v>23</v>
      </c>
      <c r="J33" t="s">
        <v>27</v>
      </c>
      <c r="K33" s="3">
        <v>3600</v>
      </c>
      <c r="O33" s="4">
        <v>0</v>
      </c>
      <c r="P33" s="3">
        <v>0</v>
      </c>
    </row>
    <row r="34" spans="1:16" ht="15" customHeight="1" x14ac:dyDescent="0.3">
      <c r="A34">
        <v>2014</v>
      </c>
      <c r="B34" s="2">
        <v>41678</v>
      </c>
      <c r="C34" t="s">
        <v>71</v>
      </c>
      <c r="D34" t="s">
        <v>83</v>
      </c>
      <c r="E34" t="s">
        <v>84</v>
      </c>
      <c r="F34" t="s">
        <v>20</v>
      </c>
      <c r="G34" t="s">
        <v>21</v>
      </c>
      <c r="H34" t="s">
        <v>22</v>
      </c>
      <c r="I34" t="s">
        <v>23</v>
      </c>
      <c r="J34" t="s">
        <v>27</v>
      </c>
      <c r="K34" s="3">
        <v>65.91</v>
      </c>
      <c r="O34" s="4">
        <v>0</v>
      </c>
      <c r="P34" s="3">
        <v>0</v>
      </c>
    </row>
    <row r="35" spans="1:16" ht="15" customHeight="1" x14ac:dyDescent="0.3">
      <c r="A35">
        <v>2014</v>
      </c>
      <c r="B35" s="2">
        <v>41678</v>
      </c>
      <c r="C35" t="s">
        <v>71</v>
      </c>
      <c r="D35" t="s">
        <v>85</v>
      </c>
      <c r="E35" t="s">
        <v>86</v>
      </c>
      <c r="F35" t="s">
        <v>20</v>
      </c>
      <c r="G35" t="s">
        <v>21</v>
      </c>
      <c r="H35" t="s">
        <v>22</v>
      </c>
      <c r="I35" t="s">
        <v>23</v>
      </c>
      <c r="J35" t="s">
        <v>27</v>
      </c>
      <c r="K35" s="3">
        <v>500</v>
      </c>
      <c r="O35" s="4">
        <v>0</v>
      </c>
      <c r="P35" s="3">
        <v>0</v>
      </c>
    </row>
    <row r="36" spans="1:16" ht="15" customHeight="1" x14ac:dyDescent="0.3">
      <c r="A36">
        <v>2014</v>
      </c>
      <c r="B36" s="2">
        <v>41681</v>
      </c>
      <c r="C36" t="s">
        <v>71</v>
      </c>
      <c r="D36" t="s">
        <v>87</v>
      </c>
      <c r="E36" t="s">
        <v>88</v>
      </c>
      <c r="F36" t="s">
        <v>20</v>
      </c>
      <c r="G36" t="s">
        <v>38</v>
      </c>
      <c r="H36" t="s">
        <v>89</v>
      </c>
      <c r="I36" t="s">
        <v>23</v>
      </c>
      <c r="J36" t="s">
        <v>27</v>
      </c>
      <c r="K36" s="3">
        <v>8050.84</v>
      </c>
      <c r="O36" s="4">
        <v>0</v>
      </c>
      <c r="P36" s="3">
        <v>0</v>
      </c>
    </row>
    <row r="37" spans="1:16" ht="15" customHeight="1" x14ac:dyDescent="0.3">
      <c r="A37">
        <v>2014</v>
      </c>
      <c r="B37" s="2">
        <v>41681</v>
      </c>
      <c r="C37" t="s">
        <v>71</v>
      </c>
      <c r="D37" t="s">
        <v>85</v>
      </c>
      <c r="E37" t="s">
        <v>90</v>
      </c>
      <c r="F37" t="s">
        <v>20</v>
      </c>
      <c r="G37" t="s">
        <v>21</v>
      </c>
      <c r="H37" t="s">
        <v>22</v>
      </c>
      <c r="I37" t="s">
        <v>23</v>
      </c>
      <c r="J37" t="s">
        <v>27</v>
      </c>
      <c r="K37" s="3">
        <v>2410</v>
      </c>
      <c r="O37" s="4">
        <v>0</v>
      </c>
      <c r="P37" s="3">
        <v>0</v>
      </c>
    </row>
    <row r="38" spans="1:16" ht="15" customHeight="1" x14ac:dyDescent="0.3">
      <c r="A38">
        <v>2014</v>
      </c>
      <c r="B38" s="2">
        <v>41681</v>
      </c>
      <c r="C38" t="s">
        <v>71</v>
      </c>
      <c r="D38" t="s">
        <v>56</v>
      </c>
      <c r="E38" t="s">
        <v>91</v>
      </c>
      <c r="F38" t="s">
        <v>20</v>
      </c>
      <c r="G38" t="s">
        <v>21</v>
      </c>
      <c r="H38" t="s">
        <v>22</v>
      </c>
      <c r="I38" t="s">
        <v>23</v>
      </c>
      <c r="J38" t="s">
        <v>27</v>
      </c>
      <c r="K38" s="3">
        <v>300</v>
      </c>
      <c r="O38" s="4">
        <v>0</v>
      </c>
      <c r="P38" s="3">
        <v>0</v>
      </c>
    </row>
    <row r="39" spans="1:16" ht="15" customHeight="1" x14ac:dyDescent="0.3">
      <c r="A39">
        <v>2014</v>
      </c>
      <c r="B39" s="2">
        <v>41682</v>
      </c>
      <c r="C39" t="s">
        <v>71</v>
      </c>
      <c r="D39" t="s">
        <v>92</v>
      </c>
      <c r="E39" t="s">
        <v>93</v>
      </c>
      <c r="F39" t="s">
        <v>20</v>
      </c>
      <c r="G39" t="s">
        <v>21</v>
      </c>
      <c r="H39" t="s">
        <v>22</v>
      </c>
      <c r="I39" t="s">
        <v>23</v>
      </c>
      <c r="J39" t="s">
        <v>27</v>
      </c>
      <c r="K39" s="3">
        <v>5590</v>
      </c>
      <c r="O39" s="4">
        <v>0</v>
      </c>
      <c r="P39" s="3">
        <v>0</v>
      </c>
    </row>
    <row r="40" spans="1:16" ht="15" customHeight="1" x14ac:dyDescent="0.3">
      <c r="A40">
        <v>2014</v>
      </c>
      <c r="B40" s="2">
        <v>41683</v>
      </c>
      <c r="C40" t="s">
        <v>71</v>
      </c>
      <c r="D40" t="s">
        <v>92</v>
      </c>
      <c r="E40" t="s">
        <v>94</v>
      </c>
      <c r="F40" t="s">
        <v>20</v>
      </c>
      <c r="G40" t="s">
        <v>21</v>
      </c>
      <c r="H40" t="s">
        <v>22</v>
      </c>
      <c r="I40" t="s">
        <v>23</v>
      </c>
      <c r="J40" t="s">
        <v>27</v>
      </c>
      <c r="K40" s="3">
        <v>2463.61</v>
      </c>
      <c r="O40" s="4">
        <v>0</v>
      </c>
      <c r="P40" s="3">
        <v>0</v>
      </c>
    </row>
    <row r="41" spans="1:16" ht="15" customHeight="1" x14ac:dyDescent="0.3">
      <c r="A41">
        <v>2014</v>
      </c>
      <c r="B41" s="2">
        <v>41683</v>
      </c>
      <c r="C41" t="s">
        <v>71</v>
      </c>
      <c r="D41" t="s">
        <v>45</v>
      </c>
      <c r="E41" t="s">
        <v>95</v>
      </c>
      <c r="F41" t="s">
        <v>20</v>
      </c>
      <c r="G41" t="s">
        <v>38</v>
      </c>
      <c r="H41" t="s">
        <v>39</v>
      </c>
      <c r="I41" t="s">
        <v>23</v>
      </c>
      <c r="J41" t="s">
        <v>27</v>
      </c>
      <c r="K41" s="3">
        <v>250</v>
      </c>
      <c r="O41" s="4">
        <v>0</v>
      </c>
      <c r="P41" s="3">
        <v>0</v>
      </c>
    </row>
    <row r="42" spans="1:16" ht="15" customHeight="1" x14ac:dyDescent="0.3">
      <c r="A42">
        <v>2014</v>
      </c>
      <c r="B42" s="2">
        <v>41684</v>
      </c>
      <c r="C42" t="s">
        <v>71</v>
      </c>
      <c r="D42" t="s">
        <v>85</v>
      </c>
      <c r="E42" t="s">
        <v>96</v>
      </c>
      <c r="F42" t="s">
        <v>20</v>
      </c>
      <c r="G42" t="s">
        <v>21</v>
      </c>
      <c r="H42" t="s">
        <v>22</v>
      </c>
      <c r="I42" t="s">
        <v>23</v>
      </c>
      <c r="J42" t="s">
        <v>27</v>
      </c>
      <c r="K42" s="3">
        <v>240</v>
      </c>
      <c r="O42" s="4">
        <v>0</v>
      </c>
      <c r="P42" s="3">
        <v>0</v>
      </c>
    </row>
    <row r="43" spans="1:16" ht="15" customHeight="1" x14ac:dyDescent="0.3">
      <c r="A43">
        <v>2014</v>
      </c>
      <c r="B43" s="2">
        <v>41685</v>
      </c>
      <c r="C43" t="s">
        <v>71</v>
      </c>
      <c r="D43" t="s">
        <v>74</v>
      </c>
      <c r="E43" t="s">
        <v>97</v>
      </c>
      <c r="F43" t="s">
        <v>20</v>
      </c>
      <c r="G43" t="s">
        <v>21</v>
      </c>
      <c r="H43" t="s">
        <v>22</v>
      </c>
      <c r="I43" t="s">
        <v>23</v>
      </c>
      <c r="J43" t="s">
        <v>27</v>
      </c>
      <c r="K43" s="3">
        <v>8000</v>
      </c>
      <c r="O43" s="4">
        <v>0</v>
      </c>
      <c r="P43" s="3">
        <v>0</v>
      </c>
    </row>
    <row r="44" spans="1:16" ht="15" customHeight="1" x14ac:dyDescent="0.3">
      <c r="A44">
        <v>2014</v>
      </c>
      <c r="B44" s="2">
        <v>41685</v>
      </c>
      <c r="C44" t="s">
        <v>71</v>
      </c>
      <c r="D44" t="s">
        <v>56</v>
      </c>
      <c r="E44" t="s">
        <v>98</v>
      </c>
      <c r="F44" t="s">
        <v>20</v>
      </c>
      <c r="G44" t="s">
        <v>21</v>
      </c>
      <c r="H44" t="s">
        <v>22</v>
      </c>
      <c r="I44" t="s">
        <v>23</v>
      </c>
      <c r="J44" t="s">
        <v>27</v>
      </c>
      <c r="K44" s="3">
        <v>210</v>
      </c>
      <c r="O44" s="4">
        <v>0</v>
      </c>
      <c r="P44" s="3">
        <v>0</v>
      </c>
    </row>
    <row r="45" spans="1:16" ht="15" customHeight="1" x14ac:dyDescent="0.3">
      <c r="A45">
        <v>2014</v>
      </c>
      <c r="B45" s="2">
        <v>41687</v>
      </c>
      <c r="C45" t="s">
        <v>71</v>
      </c>
      <c r="D45" t="s">
        <v>99</v>
      </c>
      <c r="E45" t="s">
        <v>100</v>
      </c>
      <c r="F45" t="s">
        <v>20</v>
      </c>
      <c r="G45" t="s">
        <v>21</v>
      </c>
      <c r="H45" t="s">
        <v>101</v>
      </c>
      <c r="I45" t="s">
        <v>23</v>
      </c>
      <c r="J45" t="s">
        <v>27</v>
      </c>
      <c r="K45" s="3">
        <v>920</v>
      </c>
      <c r="O45" s="4">
        <v>0</v>
      </c>
      <c r="P45" s="3">
        <v>0</v>
      </c>
    </row>
    <row r="46" spans="1:16" ht="15" customHeight="1" x14ac:dyDescent="0.3">
      <c r="A46">
        <v>2014</v>
      </c>
      <c r="B46" s="2">
        <v>41687</v>
      </c>
      <c r="C46" t="s">
        <v>71</v>
      </c>
      <c r="D46" t="s">
        <v>40</v>
      </c>
      <c r="E46" t="s">
        <v>102</v>
      </c>
      <c r="F46" t="s">
        <v>20</v>
      </c>
      <c r="G46" t="s">
        <v>21</v>
      </c>
      <c r="H46" t="s">
        <v>22</v>
      </c>
      <c r="I46" t="s">
        <v>23</v>
      </c>
      <c r="J46" t="s">
        <v>27</v>
      </c>
      <c r="K46" s="3">
        <v>1550</v>
      </c>
      <c r="O46" s="4">
        <v>0</v>
      </c>
      <c r="P46" s="3">
        <v>0</v>
      </c>
    </row>
    <row r="47" spans="1:16" ht="15" customHeight="1" x14ac:dyDescent="0.3">
      <c r="A47">
        <v>2014</v>
      </c>
      <c r="B47" s="2">
        <v>41688</v>
      </c>
      <c r="C47" t="s">
        <v>71</v>
      </c>
      <c r="D47" t="s">
        <v>103</v>
      </c>
      <c r="E47" t="s">
        <v>104</v>
      </c>
      <c r="F47" t="s">
        <v>20</v>
      </c>
      <c r="G47" t="s">
        <v>21</v>
      </c>
      <c r="H47" t="s">
        <v>22</v>
      </c>
      <c r="I47" t="s">
        <v>23</v>
      </c>
      <c r="J47" t="s">
        <v>27</v>
      </c>
      <c r="K47" s="3">
        <v>2303.29</v>
      </c>
      <c r="O47" s="4">
        <v>0</v>
      </c>
      <c r="P47" s="3">
        <v>0</v>
      </c>
    </row>
    <row r="48" spans="1:16" ht="15" customHeight="1" x14ac:dyDescent="0.3">
      <c r="A48">
        <v>2014</v>
      </c>
      <c r="B48" s="2">
        <v>41689</v>
      </c>
      <c r="C48" t="s">
        <v>71</v>
      </c>
      <c r="D48" t="s">
        <v>105</v>
      </c>
      <c r="E48" t="s">
        <v>106</v>
      </c>
      <c r="F48" t="s">
        <v>20</v>
      </c>
      <c r="G48" t="s">
        <v>107</v>
      </c>
      <c r="H48" t="s">
        <v>108</v>
      </c>
      <c r="I48" t="s">
        <v>109</v>
      </c>
      <c r="J48" t="s">
        <v>110</v>
      </c>
      <c r="K48" s="3">
        <v>50000</v>
      </c>
      <c r="O48" s="4">
        <v>0</v>
      </c>
      <c r="P48" s="3">
        <v>0</v>
      </c>
    </row>
    <row r="49" spans="1:16" ht="15" customHeight="1" x14ac:dyDescent="0.3">
      <c r="A49">
        <v>2014</v>
      </c>
      <c r="B49" s="2">
        <v>41689</v>
      </c>
      <c r="C49" t="s">
        <v>71</v>
      </c>
      <c r="D49" t="s">
        <v>111</v>
      </c>
      <c r="E49" t="s">
        <v>112</v>
      </c>
      <c r="F49" t="s">
        <v>20</v>
      </c>
      <c r="G49" t="s">
        <v>21</v>
      </c>
      <c r="H49" t="s">
        <v>22</v>
      </c>
      <c r="I49" t="s">
        <v>23</v>
      </c>
      <c r="J49" t="s">
        <v>27</v>
      </c>
      <c r="K49" s="3">
        <v>68.900000000000006</v>
      </c>
      <c r="O49" s="4">
        <v>0</v>
      </c>
      <c r="P49" s="3">
        <v>0</v>
      </c>
    </row>
    <row r="50" spans="1:16" ht="15" customHeight="1" x14ac:dyDescent="0.3">
      <c r="A50">
        <v>2014</v>
      </c>
      <c r="B50" s="2">
        <v>41690</v>
      </c>
      <c r="C50" t="s">
        <v>71</v>
      </c>
      <c r="D50" t="s">
        <v>113</v>
      </c>
      <c r="E50" t="s">
        <v>114</v>
      </c>
      <c r="F50" t="s">
        <v>20</v>
      </c>
      <c r="G50" t="s">
        <v>38</v>
      </c>
      <c r="H50" t="s">
        <v>89</v>
      </c>
      <c r="I50" t="s">
        <v>23</v>
      </c>
      <c r="J50" t="s">
        <v>110</v>
      </c>
      <c r="K50" s="3">
        <v>14150.23</v>
      </c>
      <c r="O50" s="4">
        <v>0</v>
      </c>
      <c r="P50" s="3">
        <v>0</v>
      </c>
    </row>
    <row r="51" spans="1:16" ht="15" customHeight="1" x14ac:dyDescent="0.3">
      <c r="A51">
        <v>2014</v>
      </c>
      <c r="B51" s="2">
        <v>41690</v>
      </c>
      <c r="C51" t="s">
        <v>71</v>
      </c>
      <c r="D51" t="s">
        <v>115</v>
      </c>
      <c r="E51" t="s">
        <v>116</v>
      </c>
      <c r="F51" t="s">
        <v>20</v>
      </c>
      <c r="G51" t="s">
        <v>107</v>
      </c>
      <c r="H51" t="s">
        <v>117</v>
      </c>
      <c r="I51" t="s">
        <v>23</v>
      </c>
      <c r="J51" t="s">
        <v>27</v>
      </c>
      <c r="K51" s="3">
        <v>10890.55</v>
      </c>
      <c r="O51" s="4">
        <v>0</v>
      </c>
      <c r="P51" s="3">
        <v>0</v>
      </c>
    </row>
    <row r="52" spans="1:16" ht="15" customHeight="1" x14ac:dyDescent="0.3">
      <c r="A52">
        <v>2014</v>
      </c>
      <c r="B52" s="2">
        <v>41690</v>
      </c>
      <c r="C52" t="s">
        <v>71</v>
      </c>
      <c r="D52" t="s">
        <v>118</v>
      </c>
      <c r="E52" t="s">
        <v>119</v>
      </c>
      <c r="F52" t="s">
        <v>20</v>
      </c>
      <c r="G52" t="s">
        <v>21</v>
      </c>
      <c r="H52" t="s">
        <v>22</v>
      </c>
      <c r="I52" t="s">
        <v>23</v>
      </c>
      <c r="J52" t="s">
        <v>27</v>
      </c>
      <c r="K52" s="3">
        <v>17.8</v>
      </c>
      <c r="O52" s="4">
        <v>0</v>
      </c>
      <c r="P52" s="3">
        <v>0</v>
      </c>
    </row>
    <row r="53" spans="1:16" ht="15" customHeight="1" x14ac:dyDescent="0.3">
      <c r="A53">
        <v>2014</v>
      </c>
      <c r="B53" s="2">
        <v>41694</v>
      </c>
      <c r="C53" t="s">
        <v>71</v>
      </c>
      <c r="D53" t="s">
        <v>92</v>
      </c>
      <c r="E53" t="s">
        <v>120</v>
      </c>
      <c r="F53" t="s">
        <v>20</v>
      </c>
      <c r="G53" t="s">
        <v>21</v>
      </c>
      <c r="H53" t="s">
        <v>22</v>
      </c>
      <c r="I53" t="s">
        <v>23</v>
      </c>
      <c r="J53" t="s">
        <v>27</v>
      </c>
      <c r="K53" s="3">
        <v>155</v>
      </c>
      <c r="O53" s="4">
        <v>0</v>
      </c>
      <c r="P53" s="3">
        <v>0</v>
      </c>
    </row>
    <row r="54" spans="1:16" ht="15" customHeight="1" x14ac:dyDescent="0.3">
      <c r="A54">
        <v>2014</v>
      </c>
      <c r="B54" s="2">
        <v>41694</v>
      </c>
      <c r="C54" t="s">
        <v>71</v>
      </c>
      <c r="D54" t="s">
        <v>45</v>
      </c>
      <c r="E54" t="s">
        <v>121</v>
      </c>
      <c r="F54" t="s">
        <v>20</v>
      </c>
      <c r="G54" t="s">
        <v>38</v>
      </c>
      <c r="H54" t="s">
        <v>39</v>
      </c>
      <c r="I54" t="s">
        <v>122</v>
      </c>
      <c r="J54" t="s">
        <v>123</v>
      </c>
      <c r="K54" s="3">
        <v>266582.34000000003</v>
      </c>
      <c r="O54" s="4">
        <v>0</v>
      </c>
      <c r="P54" s="3">
        <v>0</v>
      </c>
    </row>
    <row r="55" spans="1:16" ht="15" customHeight="1" x14ac:dyDescent="0.3">
      <c r="A55">
        <v>2014</v>
      </c>
      <c r="B55" s="2">
        <v>41694</v>
      </c>
      <c r="C55" t="s">
        <v>71</v>
      </c>
      <c r="D55" t="s">
        <v>124</v>
      </c>
      <c r="E55" t="s">
        <v>125</v>
      </c>
      <c r="F55" t="s">
        <v>20</v>
      </c>
      <c r="G55" t="s">
        <v>21</v>
      </c>
      <c r="H55" t="s">
        <v>101</v>
      </c>
      <c r="I55" t="s">
        <v>23</v>
      </c>
      <c r="J55" t="s">
        <v>27</v>
      </c>
      <c r="K55" s="3">
        <v>2960</v>
      </c>
      <c r="O55" s="4">
        <v>0</v>
      </c>
      <c r="P55" s="3">
        <v>0</v>
      </c>
    </row>
    <row r="56" spans="1:16" ht="15" customHeight="1" x14ac:dyDescent="0.3">
      <c r="A56">
        <v>2014</v>
      </c>
      <c r="B56" s="2">
        <v>41695</v>
      </c>
      <c r="C56" t="s">
        <v>71</v>
      </c>
      <c r="D56" t="s">
        <v>126</v>
      </c>
      <c r="E56" t="s">
        <v>127</v>
      </c>
      <c r="F56" t="s">
        <v>20</v>
      </c>
      <c r="G56" t="s">
        <v>21</v>
      </c>
      <c r="H56" t="s">
        <v>128</v>
      </c>
      <c r="I56" t="s">
        <v>49</v>
      </c>
      <c r="J56" t="s">
        <v>123</v>
      </c>
      <c r="K56" s="3">
        <v>24582.83</v>
      </c>
      <c r="O56" s="4">
        <v>0</v>
      </c>
      <c r="P56" s="3">
        <v>0</v>
      </c>
    </row>
    <row r="57" spans="1:16" ht="15" customHeight="1" x14ac:dyDescent="0.3">
      <c r="A57">
        <v>2014</v>
      </c>
      <c r="B57" s="2">
        <v>41695</v>
      </c>
      <c r="C57" t="s">
        <v>71</v>
      </c>
      <c r="D57" t="s">
        <v>92</v>
      </c>
      <c r="E57" t="s">
        <v>120</v>
      </c>
      <c r="F57" t="s">
        <v>20</v>
      </c>
      <c r="G57" t="s">
        <v>21</v>
      </c>
      <c r="H57" t="s">
        <v>22</v>
      </c>
      <c r="I57" t="s">
        <v>23</v>
      </c>
      <c r="J57" t="s">
        <v>27</v>
      </c>
      <c r="K57" s="3">
        <v>155</v>
      </c>
      <c r="O57" s="4">
        <v>0</v>
      </c>
      <c r="P57" s="3">
        <v>0</v>
      </c>
    </row>
    <row r="58" spans="1:16" ht="15" customHeight="1" x14ac:dyDescent="0.3">
      <c r="A58">
        <v>2014</v>
      </c>
      <c r="B58" s="2">
        <v>41696</v>
      </c>
      <c r="C58" t="s">
        <v>71</v>
      </c>
      <c r="D58" t="s">
        <v>30</v>
      </c>
      <c r="E58" t="s">
        <v>129</v>
      </c>
      <c r="F58" t="s">
        <v>20</v>
      </c>
      <c r="G58" t="s">
        <v>21</v>
      </c>
      <c r="H58" t="s">
        <v>22</v>
      </c>
      <c r="I58" t="s">
        <v>23</v>
      </c>
      <c r="J58" t="s">
        <v>27</v>
      </c>
      <c r="K58" s="3">
        <v>550</v>
      </c>
      <c r="O58" s="4">
        <v>0</v>
      </c>
      <c r="P58" s="3">
        <v>0</v>
      </c>
    </row>
    <row r="59" spans="1:16" ht="15" customHeight="1" x14ac:dyDescent="0.3">
      <c r="A59">
        <v>2014</v>
      </c>
      <c r="B59" s="2">
        <v>41696</v>
      </c>
      <c r="C59" t="s">
        <v>71</v>
      </c>
      <c r="D59" t="s">
        <v>67</v>
      </c>
      <c r="E59" t="s">
        <v>130</v>
      </c>
      <c r="F59" t="s">
        <v>20</v>
      </c>
      <c r="G59" t="s">
        <v>21</v>
      </c>
      <c r="H59" t="s">
        <v>22</v>
      </c>
      <c r="I59" t="s">
        <v>23</v>
      </c>
      <c r="J59" t="s">
        <v>27</v>
      </c>
      <c r="K59" s="3">
        <v>7897.6</v>
      </c>
      <c r="O59" s="4">
        <v>0</v>
      </c>
      <c r="P59" s="3">
        <v>0</v>
      </c>
    </row>
    <row r="60" spans="1:16" ht="15" customHeight="1" x14ac:dyDescent="0.3">
      <c r="A60">
        <v>2014</v>
      </c>
      <c r="B60" s="2">
        <v>41696</v>
      </c>
      <c r="C60" t="s">
        <v>71</v>
      </c>
      <c r="D60" t="s">
        <v>67</v>
      </c>
      <c r="E60" t="s">
        <v>131</v>
      </c>
      <c r="F60" t="s">
        <v>20</v>
      </c>
      <c r="G60" t="s">
        <v>21</v>
      </c>
      <c r="H60" t="s">
        <v>22</v>
      </c>
      <c r="I60" t="s">
        <v>23</v>
      </c>
      <c r="J60" t="s">
        <v>27</v>
      </c>
      <c r="K60" s="3">
        <v>5310</v>
      </c>
      <c r="O60" s="4">
        <v>0</v>
      </c>
      <c r="P60" s="3">
        <v>0</v>
      </c>
    </row>
    <row r="61" spans="1:16" ht="15" customHeight="1" x14ac:dyDescent="0.3">
      <c r="A61">
        <v>2014</v>
      </c>
      <c r="B61" s="2">
        <v>41697</v>
      </c>
      <c r="C61" t="s">
        <v>71</v>
      </c>
      <c r="D61" t="s">
        <v>69</v>
      </c>
      <c r="E61" t="s">
        <v>132</v>
      </c>
      <c r="F61" t="s">
        <v>20</v>
      </c>
      <c r="G61" t="s">
        <v>21</v>
      </c>
      <c r="H61" t="s">
        <v>22</v>
      </c>
      <c r="I61" t="s">
        <v>23</v>
      </c>
      <c r="J61" t="s">
        <v>27</v>
      </c>
      <c r="K61" s="3">
        <v>1650</v>
      </c>
      <c r="O61" s="4">
        <v>0</v>
      </c>
      <c r="P61" s="3">
        <v>0</v>
      </c>
    </row>
    <row r="62" spans="1:16" ht="15" customHeight="1" x14ac:dyDescent="0.3">
      <c r="A62">
        <v>2014</v>
      </c>
      <c r="B62" s="2">
        <v>41698</v>
      </c>
      <c r="C62" t="s">
        <v>71</v>
      </c>
      <c r="D62" t="s">
        <v>64</v>
      </c>
      <c r="E62" t="s">
        <v>133</v>
      </c>
      <c r="F62" t="s">
        <v>20</v>
      </c>
      <c r="G62" t="s">
        <v>38</v>
      </c>
      <c r="H62" t="s">
        <v>39</v>
      </c>
      <c r="I62" t="s">
        <v>23</v>
      </c>
      <c r="J62" t="s">
        <v>27</v>
      </c>
      <c r="K62" s="3">
        <v>400</v>
      </c>
      <c r="O62" s="4">
        <v>0</v>
      </c>
      <c r="P62" s="3">
        <v>0</v>
      </c>
    </row>
    <row r="63" spans="1:16" ht="15" customHeight="1" x14ac:dyDescent="0.3">
      <c r="A63">
        <v>2014</v>
      </c>
      <c r="B63" s="2">
        <v>41698</v>
      </c>
      <c r="C63" t="s">
        <v>71</v>
      </c>
      <c r="D63" t="s">
        <v>134</v>
      </c>
      <c r="E63" t="s">
        <v>135</v>
      </c>
      <c r="F63" t="s">
        <v>20</v>
      </c>
      <c r="G63" t="s">
        <v>107</v>
      </c>
      <c r="H63" t="s">
        <v>108</v>
      </c>
      <c r="I63" t="s">
        <v>136</v>
      </c>
      <c r="J63" t="s">
        <v>123</v>
      </c>
      <c r="K63" s="3">
        <v>115000</v>
      </c>
      <c r="O63" s="4">
        <v>0</v>
      </c>
      <c r="P63" s="3">
        <v>0</v>
      </c>
    </row>
    <row r="64" spans="1:16" ht="15" customHeight="1" x14ac:dyDescent="0.3">
      <c r="A64">
        <v>2014</v>
      </c>
      <c r="B64" s="2">
        <v>41701</v>
      </c>
      <c r="C64" t="s">
        <v>137</v>
      </c>
      <c r="D64" t="s">
        <v>138</v>
      </c>
      <c r="E64" t="s">
        <v>139</v>
      </c>
      <c r="F64" t="s">
        <v>20</v>
      </c>
      <c r="G64" t="s">
        <v>21</v>
      </c>
      <c r="H64" t="s">
        <v>22</v>
      </c>
      <c r="I64" t="s">
        <v>23</v>
      </c>
      <c r="J64" t="s">
        <v>27</v>
      </c>
      <c r="K64" s="3">
        <v>480</v>
      </c>
      <c r="O64" s="4">
        <v>0</v>
      </c>
      <c r="P64" s="3">
        <v>0</v>
      </c>
    </row>
    <row r="65" spans="1:16" ht="15" customHeight="1" x14ac:dyDescent="0.3">
      <c r="A65">
        <v>2014</v>
      </c>
      <c r="B65" s="2">
        <v>41702</v>
      </c>
      <c r="C65" t="s">
        <v>137</v>
      </c>
      <c r="D65" t="s">
        <v>32</v>
      </c>
      <c r="E65" t="s">
        <v>140</v>
      </c>
      <c r="F65" t="s">
        <v>20</v>
      </c>
      <c r="G65" t="s">
        <v>21</v>
      </c>
      <c r="H65" t="s">
        <v>22</v>
      </c>
      <c r="I65" t="s">
        <v>141</v>
      </c>
      <c r="J65" t="s">
        <v>123</v>
      </c>
      <c r="K65" s="3">
        <v>559471.38</v>
      </c>
      <c r="O65" s="4">
        <v>0</v>
      </c>
      <c r="P65" s="3">
        <v>0</v>
      </c>
    </row>
    <row r="66" spans="1:16" ht="15" customHeight="1" x14ac:dyDescent="0.3">
      <c r="A66">
        <v>2014</v>
      </c>
      <c r="B66" s="2">
        <v>41702</v>
      </c>
      <c r="C66" t="s">
        <v>137</v>
      </c>
      <c r="D66" t="s">
        <v>142</v>
      </c>
      <c r="E66" t="s">
        <v>143</v>
      </c>
      <c r="F66" t="s">
        <v>20</v>
      </c>
      <c r="G66" t="s">
        <v>38</v>
      </c>
      <c r="H66" t="s">
        <v>89</v>
      </c>
      <c r="I66" t="s">
        <v>141</v>
      </c>
      <c r="J66" t="s">
        <v>123</v>
      </c>
      <c r="K66" s="3">
        <v>715348.39</v>
      </c>
      <c r="O66" s="4">
        <v>0</v>
      </c>
      <c r="P66" s="3">
        <v>0</v>
      </c>
    </row>
    <row r="67" spans="1:16" ht="15" customHeight="1" x14ac:dyDescent="0.3">
      <c r="A67">
        <v>2014</v>
      </c>
      <c r="B67" s="2">
        <v>41702</v>
      </c>
      <c r="C67" t="s">
        <v>137</v>
      </c>
      <c r="D67" t="s">
        <v>142</v>
      </c>
      <c r="E67" t="s">
        <v>144</v>
      </c>
      <c r="F67" t="s">
        <v>20</v>
      </c>
      <c r="G67" t="s">
        <v>38</v>
      </c>
      <c r="H67" t="s">
        <v>89</v>
      </c>
      <c r="I67" t="s">
        <v>141</v>
      </c>
      <c r="J67" t="s">
        <v>123</v>
      </c>
      <c r="K67" s="3">
        <v>305009.01</v>
      </c>
      <c r="O67" s="4">
        <v>0</v>
      </c>
      <c r="P67" s="3">
        <v>0</v>
      </c>
    </row>
    <row r="68" spans="1:16" ht="15" customHeight="1" x14ac:dyDescent="0.3">
      <c r="A68">
        <v>2014</v>
      </c>
      <c r="B68" s="2">
        <v>41706</v>
      </c>
      <c r="C68" t="s">
        <v>137</v>
      </c>
      <c r="D68" t="s">
        <v>145</v>
      </c>
      <c r="E68" t="s">
        <v>146</v>
      </c>
      <c r="F68" t="s">
        <v>20</v>
      </c>
      <c r="G68" t="s">
        <v>38</v>
      </c>
      <c r="H68" t="s">
        <v>147</v>
      </c>
      <c r="I68" t="s">
        <v>23</v>
      </c>
      <c r="J68" t="s">
        <v>27</v>
      </c>
      <c r="K68" s="3">
        <v>8250</v>
      </c>
      <c r="O68" s="4">
        <v>0</v>
      </c>
      <c r="P68" s="3">
        <v>0</v>
      </c>
    </row>
    <row r="69" spans="1:16" ht="15" customHeight="1" x14ac:dyDescent="0.3">
      <c r="A69">
        <v>2014</v>
      </c>
      <c r="B69" s="2">
        <v>41708</v>
      </c>
      <c r="C69" t="s">
        <v>137</v>
      </c>
      <c r="D69" t="s">
        <v>18</v>
      </c>
      <c r="E69" t="s">
        <v>148</v>
      </c>
      <c r="F69" t="s">
        <v>20</v>
      </c>
      <c r="G69" t="s">
        <v>38</v>
      </c>
      <c r="H69" t="s">
        <v>147</v>
      </c>
      <c r="I69" t="s">
        <v>23</v>
      </c>
      <c r="J69" t="s">
        <v>27</v>
      </c>
      <c r="K69" s="3">
        <v>186.15</v>
      </c>
      <c r="O69" s="4">
        <v>0</v>
      </c>
      <c r="P69" s="3">
        <v>0</v>
      </c>
    </row>
    <row r="70" spans="1:16" ht="15" customHeight="1" x14ac:dyDescent="0.3">
      <c r="A70">
        <v>2014</v>
      </c>
      <c r="B70" s="2">
        <v>41708</v>
      </c>
      <c r="C70" t="s">
        <v>137</v>
      </c>
      <c r="D70" t="s">
        <v>56</v>
      </c>
      <c r="E70" t="s">
        <v>149</v>
      </c>
      <c r="F70" t="s">
        <v>20</v>
      </c>
      <c r="G70" t="s">
        <v>21</v>
      </c>
      <c r="H70" t="s">
        <v>22</v>
      </c>
      <c r="I70" t="s">
        <v>23</v>
      </c>
      <c r="J70" t="s">
        <v>110</v>
      </c>
      <c r="K70" s="3">
        <v>14000</v>
      </c>
      <c r="O70" s="4">
        <v>0</v>
      </c>
      <c r="P70" s="3">
        <v>0</v>
      </c>
    </row>
    <row r="71" spans="1:16" ht="15" customHeight="1" x14ac:dyDescent="0.3">
      <c r="A71">
        <v>2014</v>
      </c>
      <c r="B71" s="2">
        <v>41709</v>
      </c>
      <c r="C71" t="s">
        <v>137</v>
      </c>
      <c r="D71" t="s">
        <v>103</v>
      </c>
      <c r="E71" t="s">
        <v>150</v>
      </c>
      <c r="F71" t="s">
        <v>20</v>
      </c>
      <c r="G71" t="s">
        <v>21</v>
      </c>
      <c r="H71" t="s">
        <v>22</v>
      </c>
      <c r="I71" t="s">
        <v>23</v>
      </c>
      <c r="J71" t="s">
        <v>27</v>
      </c>
      <c r="K71" s="3">
        <v>220.69</v>
      </c>
      <c r="O71" s="4">
        <v>0</v>
      </c>
      <c r="P71" s="3">
        <v>0</v>
      </c>
    </row>
    <row r="72" spans="1:16" ht="15" customHeight="1" x14ac:dyDescent="0.3">
      <c r="A72">
        <v>2014</v>
      </c>
      <c r="B72" s="2">
        <v>41710</v>
      </c>
      <c r="C72" t="s">
        <v>137</v>
      </c>
      <c r="D72" t="s">
        <v>30</v>
      </c>
      <c r="E72" t="s">
        <v>151</v>
      </c>
      <c r="F72" t="s">
        <v>20</v>
      </c>
      <c r="G72" t="s">
        <v>21</v>
      </c>
      <c r="H72" t="s">
        <v>22</v>
      </c>
      <c r="I72" t="s">
        <v>23</v>
      </c>
      <c r="J72" t="s">
        <v>27</v>
      </c>
      <c r="K72" s="3">
        <v>53.53</v>
      </c>
      <c r="O72" s="4">
        <v>0</v>
      </c>
      <c r="P72" s="3">
        <v>0</v>
      </c>
    </row>
    <row r="73" spans="1:16" ht="15" customHeight="1" x14ac:dyDescent="0.3">
      <c r="A73">
        <v>2014</v>
      </c>
      <c r="B73" s="2">
        <v>41710</v>
      </c>
      <c r="C73" t="s">
        <v>137</v>
      </c>
      <c r="D73" t="s">
        <v>67</v>
      </c>
      <c r="E73" t="s">
        <v>152</v>
      </c>
      <c r="F73" t="s">
        <v>20</v>
      </c>
      <c r="G73" t="s">
        <v>21</v>
      </c>
      <c r="H73" t="s">
        <v>22</v>
      </c>
      <c r="I73" t="s">
        <v>23</v>
      </c>
      <c r="J73" t="s">
        <v>27</v>
      </c>
      <c r="K73" s="3">
        <v>3350</v>
      </c>
      <c r="O73" s="4">
        <v>0</v>
      </c>
      <c r="P73" s="3">
        <v>0</v>
      </c>
    </row>
    <row r="74" spans="1:16" ht="15" customHeight="1" x14ac:dyDescent="0.3">
      <c r="A74">
        <v>2014</v>
      </c>
      <c r="B74" s="2">
        <v>41711</v>
      </c>
      <c r="C74" t="s">
        <v>137</v>
      </c>
      <c r="D74" t="s">
        <v>47</v>
      </c>
      <c r="E74" t="s">
        <v>153</v>
      </c>
      <c r="F74" t="s">
        <v>20</v>
      </c>
      <c r="G74" t="s">
        <v>38</v>
      </c>
      <c r="H74" t="s">
        <v>39</v>
      </c>
      <c r="I74" t="s">
        <v>23</v>
      </c>
      <c r="J74" t="s">
        <v>27</v>
      </c>
      <c r="K74" s="3">
        <v>450</v>
      </c>
      <c r="O74" s="4">
        <v>0</v>
      </c>
      <c r="P74" s="3">
        <v>0</v>
      </c>
    </row>
    <row r="75" spans="1:16" ht="15" customHeight="1" x14ac:dyDescent="0.3">
      <c r="A75">
        <v>2014</v>
      </c>
      <c r="B75" s="2">
        <v>41711</v>
      </c>
      <c r="C75" t="s">
        <v>137</v>
      </c>
      <c r="D75" t="s">
        <v>92</v>
      </c>
      <c r="E75" t="s">
        <v>154</v>
      </c>
      <c r="F75" t="s">
        <v>20</v>
      </c>
      <c r="G75" t="s">
        <v>21</v>
      </c>
      <c r="H75" t="s">
        <v>22</v>
      </c>
      <c r="I75" t="s">
        <v>23</v>
      </c>
      <c r="J75" t="s">
        <v>27</v>
      </c>
      <c r="K75" s="3">
        <v>3100</v>
      </c>
      <c r="O75" s="4">
        <v>0</v>
      </c>
      <c r="P75" s="3">
        <v>0</v>
      </c>
    </row>
    <row r="76" spans="1:16" ht="15" customHeight="1" x14ac:dyDescent="0.3">
      <c r="A76">
        <v>2014</v>
      </c>
      <c r="B76" s="2">
        <v>41717</v>
      </c>
      <c r="C76" t="s">
        <v>137</v>
      </c>
      <c r="D76" t="s">
        <v>155</v>
      </c>
      <c r="E76" t="s">
        <v>156</v>
      </c>
      <c r="F76" t="s">
        <v>20</v>
      </c>
      <c r="G76" t="s">
        <v>38</v>
      </c>
      <c r="H76" t="s">
        <v>39</v>
      </c>
      <c r="I76" t="s">
        <v>23</v>
      </c>
      <c r="J76" t="s">
        <v>27</v>
      </c>
      <c r="K76" s="3">
        <v>1200</v>
      </c>
      <c r="O76" s="4">
        <v>0</v>
      </c>
      <c r="P76" s="3">
        <v>0</v>
      </c>
    </row>
    <row r="77" spans="1:16" ht="15" customHeight="1" x14ac:dyDescent="0.3">
      <c r="A77">
        <v>2014</v>
      </c>
      <c r="B77" s="2">
        <v>41719</v>
      </c>
      <c r="C77" t="s">
        <v>137</v>
      </c>
      <c r="D77" t="s">
        <v>59</v>
      </c>
      <c r="E77" t="s">
        <v>157</v>
      </c>
      <c r="F77" t="s">
        <v>20</v>
      </c>
      <c r="G77" t="s">
        <v>21</v>
      </c>
      <c r="H77" t="s">
        <v>22</v>
      </c>
      <c r="I77" t="s">
        <v>23</v>
      </c>
      <c r="J77" t="s">
        <v>27</v>
      </c>
      <c r="K77" s="3">
        <v>2943.09</v>
      </c>
      <c r="O77" s="4">
        <v>0</v>
      </c>
      <c r="P77" s="3">
        <v>0</v>
      </c>
    </row>
    <row r="78" spans="1:16" ht="15" customHeight="1" x14ac:dyDescent="0.3">
      <c r="A78">
        <v>2014</v>
      </c>
      <c r="B78" s="2">
        <v>41720</v>
      </c>
      <c r="C78" t="s">
        <v>137</v>
      </c>
      <c r="D78" t="s">
        <v>118</v>
      </c>
      <c r="E78" t="s">
        <v>158</v>
      </c>
      <c r="F78" t="s">
        <v>20</v>
      </c>
      <c r="G78" t="s">
        <v>21</v>
      </c>
      <c r="H78" t="s">
        <v>22</v>
      </c>
      <c r="I78" t="s">
        <v>23</v>
      </c>
      <c r="J78" t="s">
        <v>27</v>
      </c>
      <c r="K78" s="3">
        <v>1117</v>
      </c>
      <c r="O78" s="4">
        <v>0</v>
      </c>
      <c r="P78" s="3">
        <v>0</v>
      </c>
    </row>
    <row r="79" spans="1:16" ht="15" customHeight="1" x14ac:dyDescent="0.3">
      <c r="A79">
        <v>2014</v>
      </c>
      <c r="B79" s="2">
        <v>41723</v>
      </c>
      <c r="C79" t="s">
        <v>137</v>
      </c>
      <c r="D79" t="s">
        <v>159</v>
      </c>
      <c r="E79" t="s">
        <v>160</v>
      </c>
      <c r="F79" t="s">
        <v>20</v>
      </c>
      <c r="G79" t="s">
        <v>107</v>
      </c>
      <c r="H79" t="s">
        <v>108</v>
      </c>
      <c r="I79" t="s">
        <v>23</v>
      </c>
      <c r="J79" t="s">
        <v>27</v>
      </c>
      <c r="K79" s="3">
        <v>1050</v>
      </c>
      <c r="O79" s="4">
        <v>0</v>
      </c>
      <c r="P79" s="3">
        <v>0</v>
      </c>
    </row>
    <row r="80" spans="1:16" ht="15" customHeight="1" x14ac:dyDescent="0.3">
      <c r="A80">
        <v>2014</v>
      </c>
      <c r="B80" s="2">
        <v>41725</v>
      </c>
      <c r="C80" t="s">
        <v>137</v>
      </c>
      <c r="D80" t="s">
        <v>161</v>
      </c>
      <c r="E80" t="s">
        <v>162</v>
      </c>
      <c r="F80" t="s">
        <v>20</v>
      </c>
      <c r="G80" t="s">
        <v>38</v>
      </c>
      <c r="H80" t="s">
        <v>147</v>
      </c>
      <c r="I80" t="s">
        <v>141</v>
      </c>
      <c r="J80" t="s">
        <v>123</v>
      </c>
      <c r="K80" s="3">
        <v>627226.84</v>
      </c>
      <c r="O80" s="4">
        <v>0</v>
      </c>
      <c r="P80" s="3">
        <v>0</v>
      </c>
    </row>
    <row r="81" spans="1:16" ht="15" customHeight="1" x14ac:dyDescent="0.3">
      <c r="A81">
        <v>2014</v>
      </c>
      <c r="B81" s="2">
        <v>41725</v>
      </c>
      <c r="C81" t="s">
        <v>137</v>
      </c>
      <c r="D81" t="s">
        <v>163</v>
      </c>
      <c r="E81" t="s">
        <v>164</v>
      </c>
      <c r="F81" t="s">
        <v>20</v>
      </c>
      <c r="G81" t="s">
        <v>38</v>
      </c>
      <c r="H81" t="s">
        <v>89</v>
      </c>
      <c r="I81" t="s">
        <v>141</v>
      </c>
      <c r="J81" t="s">
        <v>50</v>
      </c>
      <c r="K81" s="3">
        <v>1123193.6499999999</v>
      </c>
      <c r="O81" s="4">
        <v>0</v>
      </c>
      <c r="P81" s="3">
        <v>0</v>
      </c>
    </row>
    <row r="82" spans="1:16" ht="15" customHeight="1" x14ac:dyDescent="0.3">
      <c r="A82">
        <v>2014</v>
      </c>
      <c r="B82" s="2">
        <v>41725</v>
      </c>
      <c r="C82" t="s">
        <v>137</v>
      </c>
      <c r="D82" t="s">
        <v>56</v>
      </c>
      <c r="E82" t="s">
        <v>165</v>
      </c>
      <c r="F82" t="s">
        <v>20</v>
      </c>
      <c r="G82" t="s">
        <v>21</v>
      </c>
      <c r="H82" t="s">
        <v>22</v>
      </c>
      <c r="I82" t="s">
        <v>23</v>
      </c>
      <c r="J82" t="s">
        <v>27</v>
      </c>
      <c r="K82" s="3">
        <v>460</v>
      </c>
      <c r="O82" s="4">
        <v>0</v>
      </c>
      <c r="P82" s="3">
        <v>0</v>
      </c>
    </row>
    <row r="83" spans="1:16" ht="15" customHeight="1" x14ac:dyDescent="0.3">
      <c r="A83">
        <v>2014</v>
      </c>
      <c r="B83" s="2">
        <v>41726</v>
      </c>
      <c r="C83" t="s">
        <v>137</v>
      </c>
      <c r="D83" t="s">
        <v>18</v>
      </c>
      <c r="E83" t="s">
        <v>166</v>
      </c>
      <c r="F83" t="s">
        <v>20</v>
      </c>
      <c r="G83" t="s">
        <v>21</v>
      </c>
      <c r="H83" t="s">
        <v>22</v>
      </c>
      <c r="I83" t="s">
        <v>23</v>
      </c>
      <c r="J83" t="s">
        <v>27</v>
      </c>
      <c r="K83" s="3">
        <v>53</v>
      </c>
      <c r="O83" s="4">
        <v>0</v>
      </c>
      <c r="P83" s="3">
        <v>0</v>
      </c>
    </row>
    <row r="84" spans="1:16" ht="15" customHeight="1" x14ac:dyDescent="0.3">
      <c r="A84">
        <v>2014</v>
      </c>
      <c r="B84" s="2">
        <v>41726</v>
      </c>
      <c r="C84" t="s">
        <v>137</v>
      </c>
      <c r="D84" t="s">
        <v>67</v>
      </c>
      <c r="E84" t="s">
        <v>167</v>
      </c>
      <c r="F84" t="s">
        <v>20</v>
      </c>
      <c r="G84" t="s">
        <v>21</v>
      </c>
      <c r="H84" t="s">
        <v>22</v>
      </c>
      <c r="I84" t="s">
        <v>23</v>
      </c>
      <c r="J84" t="s">
        <v>27</v>
      </c>
      <c r="K84" s="3">
        <v>1750</v>
      </c>
      <c r="O84" s="4">
        <v>0</v>
      </c>
      <c r="P84" s="3">
        <v>0</v>
      </c>
    </row>
    <row r="85" spans="1:16" ht="15" customHeight="1" x14ac:dyDescent="0.3">
      <c r="A85">
        <v>2014</v>
      </c>
      <c r="B85" s="2">
        <v>41729</v>
      </c>
      <c r="C85" t="s">
        <v>137</v>
      </c>
      <c r="D85" t="s">
        <v>87</v>
      </c>
      <c r="E85" t="s">
        <v>168</v>
      </c>
      <c r="F85" t="s">
        <v>20</v>
      </c>
      <c r="G85" t="s">
        <v>38</v>
      </c>
      <c r="H85" t="s">
        <v>89</v>
      </c>
      <c r="I85" t="s">
        <v>136</v>
      </c>
      <c r="J85" t="s">
        <v>123</v>
      </c>
      <c r="K85" s="3">
        <v>820000</v>
      </c>
      <c r="O85" s="4">
        <v>0</v>
      </c>
      <c r="P85" s="3">
        <v>0</v>
      </c>
    </row>
    <row r="86" spans="1:16" ht="15" customHeight="1" x14ac:dyDescent="0.3">
      <c r="A86">
        <v>2014</v>
      </c>
      <c r="B86" s="2">
        <v>41731</v>
      </c>
      <c r="C86" t="s">
        <v>169</v>
      </c>
      <c r="D86" t="s">
        <v>47</v>
      </c>
      <c r="E86" t="s">
        <v>170</v>
      </c>
      <c r="F86" t="s">
        <v>20</v>
      </c>
      <c r="G86" t="s">
        <v>38</v>
      </c>
      <c r="H86" t="s">
        <v>39</v>
      </c>
      <c r="I86" t="s">
        <v>23</v>
      </c>
      <c r="J86" t="s">
        <v>27</v>
      </c>
      <c r="K86" s="3">
        <v>228.01</v>
      </c>
      <c r="O86" s="4">
        <v>0</v>
      </c>
      <c r="P86" s="3">
        <v>0</v>
      </c>
    </row>
    <row r="87" spans="1:16" ht="15" customHeight="1" x14ac:dyDescent="0.3">
      <c r="A87">
        <v>2014</v>
      </c>
      <c r="B87" s="2">
        <v>41731</v>
      </c>
      <c r="C87" t="s">
        <v>169</v>
      </c>
      <c r="D87" t="s">
        <v>103</v>
      </c>
      <c r="E87" t="s">
        <v>171</v>
      </c>
      <c r="F87" t="s">
        <v>20</v>
      </c>
      <c r="G87" t="s">
        <v>38</v>
      </c>
      <c r="H87" t="s">
        <v>89</v>
      </c>
      <c r="I87" t="s">
        <v>23</v>
      </c>
      <c r="J87" t="s">
        <v>27</v>
      </c>
      <c r="K87" s="3">
        <v>135</v>
      </c>
      <c r="O87" s="4">
        <v>0</v>
      </c>
      <c r="P87" s="3">
        <v>0</v>
      </c>
    </row>
    <row r="88" spans="1:16" ht="15" customHeight="1" x14ac:dyDescent="0.3">
      <c r="A88">
        <v>2014</v>
      </c>
      <c r="B88" s="2">
        <v>41736</v>
      </c>
      <c r="C88" t="s">
        <v>169</v>
      </c>
      <c r="D88" t="s">
        <v>142</v>
      </c>
      <c r="E88" t="s">
        <v>172</v>
      </c>
      <c r="F88" t="s">
        <v>20</v>
      </c>
      <c r="G88" t="s">
        <v>38</v>
      </c>
      <c r="H88" t="s">
        <v>89</v>
      </c>
      <c r="I88" t="s">
        <v>23</v>
      </c>
      <c r="J88" t="s">
        <v>27</v>
      </c>
      <c r="K88" s="3">
        <v>1045.56</v>
      </c>
      <c r="O88" s="4">
        <v>0</v>
      </c>
      <c r="P88" s="3">
        <v>0</v>
      </c>
    </row>
    <row r="89" spans="1:16" ht="15" customHeight="1" x14ac:dyDescent="0.3">
      <c r="A89">
        <v>2014</v>
      </c>
      <c r="B89" s="2">
        <v>41737</v>
      </c>
      <c r="C89" t="s">
        <v>169</v>
      </c>
      <c r="D89" t="s">
        <v>85</v>
      </c>
      <c r="E89" t="s">
        <v>173</v>
      </c>
      <c r="F89" t="s">
        <v>20</v>
      </c>
      <c r="G89" t="s">
        <v>21</v>
      </c>
      <c r="H89" t="s">
        <v>22</v>
      </c>
      <c r="I89" t="s">
        <v>23</v>
      </c>
      <c r="J89" t="s">
        <v>27</v>
      </c>
      <c r="K89" s="3">
        <v>11100</v>
      </c>
      <c r="O89" s="4">
        <v>0</v>
      </c>
      <c r="P89" s="3">
        <v>0</v>
      </c>
    </row>
    <row r="90" spans="1:16" ht="15" customHeight="1" x14ac:dyDescent="0.3">
      <c r="A90">
        <v>2014</v>
      </c>
      <c r="B90" s="2">
        <v>41738</v>
      </c>
      <c r="C90" t="s">
        <v>169</v>
      </c>
      <c r="D90" t="s">
        <v>174</v>
      </c>
      <c r="E90" t="s">
        <v>175</v>
      </c>
      <c r="F90" t="s">
        <v>20</v>
      </c>
      <c r="G90" t="s">
        <v>21</v>
      </c>
      <c r="H90" t="s">
        <v>176</v>
      </c>
      <c r="I90" t="s">
        <v>23</v>
      </c>
      <c r="J90" t="s">
        <v>27</v>
      </c>
      <c r="K90" s="3">
        <v>5645.85</v>
      </c>
      <c r="O90" s="4">
        <v>0</v>
      </c>
      <c r="P90" s="3">
        <v>0</v>
      </c>
    </row>
    <row r="91" spans="1:16" ht="15" customHeight="1" x14ac:dyDescent="0.3">
      <c r="A91">
        <v>2014</v>
      </c>
      <c r="B91" s="2">
        <v>41739</v>
      </c>
      <c r="C91" t="s">
        <v>169</v>
      </c>
      <c r="D91" t="s">
        <v>45</v>
      </c>
      <c r="E91" t="s">
        <v>177</v>
      </c>
      <c r="F91" t="s">
        <v>20</v>
      </c>
      <c r="G91" t="s">
        <v>38</v>
      </c>
      <c r="H91" t="s">
        <v>39</v>
      </c>
      <c r="I91" t="s">
        <v>178</v>
      </c>
      <c r="J91" t="s">
        <v>50</v>
      </c>
      <c r="K91" s="3">
        <v>2273833.48</v>
      </c>
      <c r="O91" s="4">
        <v>0</v>
      </c>
      <c r="P91" s="3">
        <v>0</v>
      </c>
    </row>
    <row r="92" spans="1:16" ht="15" customHeight="1" x14ac:dyDescent="0.3">
      <c r="A92">
        <v>2014</v>
      </c>
      <c r="B92" s="2">
        <v>41740</v>
      </c>
      <c r="C92" t="s">
        <v>169</v>
      </c>
      <c r="D92" t="s">
        <v>179</v>
      </c>
      <c r="E92" t="s">
        <v>177</v>
      </c>
      <c r="F92" t="s">
        <v>20</v>
      </c>
      <c r="G92" t="s">
        <v>38</v>
      </c>
      <c r="H92" t="s">
        <v>89</v>
      </c>
      <c r="I92" t="s">
        <v>141</v>
      </c>
      <c r="J92" t="s">
        <v>50</v>
      </c>
      <c r="K92" s="3">
        <v>895000</v>
      </c>
      <c r="O92" s="4">
        <v>0</v>
      </c>
      <c r="P92" s="3">
        <v>0</v>
      </c>
    </row>
    <row r="93" spans="1:16" ht="15" customHeight="1" x14ac:dyDescent="0.3">
      <c r="A93">
        <v>2014</v>
      </c>
      <c r="B93" s="2">
        <v>41740</v>
      </c>
      <c r="C93" t="s">
        <v>169</v>
      </c>
      <c r="D93" t="s">
        <v>59</v>
      </c>
      <c r="E93" t="s">
        <v>157</v>
      </c>
      <c r="F93" t="s">
        <v>20</v>
      </c>
      <c r="G93" t="s">
        <v>21</v>
      </c>
      <c r="H93" t="s">
        <v>22</v>
      </c>
      <c r="I93" t="s">
        <v>136</v>
      </c>
      <c r="J93" t="s">
        <v>110</v>
      </c>
      <c r="K93" s="3">
        <v>25000</v>
      </c>
      <c r="O93" s="4">
        <v>0</v>
      </c>
      <c r="P93" s="3">
        <v>0</v>
      </c>
    </row>
    <row r="94" spans="1:16" ht="15" customHeight="1" x14ac:dyDescent="0.3">
      <c r="A94">
        <v>2014</v>
      </c>
      <c r="B94" s="2">
        <v>41743</v>
      </c>
      <c r="C94" t="s">
        <v>169</v>
      </c>
      <c r="D94" t="s">
        <v>28</v>
      </c>
      <c r="E94" t="s">
        <v>180</v>
      </c>
      <c r="F94" t="s">
        <v>20</v>
      </c>
      <c r="G94" t="s">
        <v>21</v>
      </c>
      <c r="H94" t="s">
        <v>22</v>
      </c>
      <c r="I94" t="s">
        <v>23</v>
      </c>
      <c r="J94" t="s">
        <v>27</v>
      </c>
      <c r="K94" s="3">
        <v>295</v>
      </c>
      <c r="O94" s="4">
        <v>0</v>
      </c>
      <c r="P94" s="3">
        <v>0</v>
      </c>
    </row>
    <row r="95" spans="1:16" ht="15" customHeight="1" x14ac:dyDescent="0.3">
      <c r="A95">
        <v>2014</v>
      </c>
      <c r="B95" s="2">
        <v>41750</v>
      </c>
      <c r="C95" t="s">
        <v>169</v>
      </c>
      <c r="D95" t="s">
        <v>181</v>
      </c>
      <c r="E95" t="s">
        <v>182</v>
      </c>
      <c r="F95" t="s">
        <v>20</v>
      </c>
      <c r="G95" t="s">
        <v>21</v>
      </c>
      <c r="H95" t="s">
        <v>22</v>
      </c>
      <c r="I95" t="s">
        <v>23</v>
      </c>
      <c r="J95" t="s">
        <v>27</v>
      </c>
      <c r="K95" s="3">
        <v>409.92</v>
      </c>
      <c r="O95" s="4">
        <v>0</v>
      </c>
      <c r="P95" s="3">
        <v>0</v>
      </c>
    </row>
    <row r="96" spans="1:16" ht="15" customHeight="1" x14ac:dyDescent="0.3">
      <c r="A96">
        <v>2014</v>
      </c>
      <c r="B96" s="2">
        <v>41751</v>
      </c>
      <c r="C96" t="s">
        <v>169</v>
      </c>
      <c r="D96" t="s">
        <v>53</v>
      </c>
      <c r="E96" t="s">
        <v>183</v>
      </c>
      <c r="F96" t="s">
        <v>20</v>
      </c>
      <c r="G96" t="s">
        <v>21</v>
      </c>
      <c r="H96" t="s">
        <v>22</v>
      </c>
      <c r="I96" t="s">
        <v>23</v>
      </c>
      <c r="J96" t="s">
        <v>27</v>
      </c>
      <c r="K96" s="3">
        <v>151.24</v>
      </c>
      <c r="O96" s="4">
        <v>0</v>
      </c>
      <c r="P96" s="3">
        <v>0</v>
      </c>
    </row>
    <row r="97" spans="1:16" ht="15" customHeight="1" x14ac:dyDescent="0.3">
      <c r="A97">
        <v>2014</v>
      </c>
      <c r="B97" s="2">
        <v>41751</v>
      </c>
      <c r="C97" t="s">
        <v>169</v>
      </c>
      <c r="D97" t="s">
        <v>184</v>
      </c>
      <c r="E97" t="s">
        <v>185</v>
      </c>
      <c r="F97" t="s">
        <v>20</v>
      </c>
      <c r="G97" t="s">
        <v>107</v>
      </c>
      <c r="H97" t="s">
        <v>108</v>
      </c>
      <c r="I97" t="s">
        <v>23</v>
      </c>
      <c r="J97" t="s">
        <v>27</v>
      </c>
      <c r="K97" s="3">
        <v>1700.1</v>
      </c>
      <c r="O97" s="4">
        <v>0</v>
      </c>
      <c r="P97" s="3">
        <v>0</v>
      </c>
    </row>
    <row r="98" spans="1:16" ht="15" customHeight="1" x14ac:dyDescent="0.3">
      <c r="A98">
        <v>2014</v>
      </c>
      <c r="B98" s="2">
        <v>41751</v>
      </c>
      <c r="C98" t="s">
        <v>169</v>
      </c>
      <c r="D98" t="s">
        <v>56</v>
      </c>
      <c r="E98" t="s">
        <v>186</v>
      </c>
      <c r="F98" t="s">
        <v>20</v>
      </c>
      <c r="G98" t="s">
        <v>21</v>
      </c>
      <c r="H98" t="s">
        <v>22</v>
      </c>
      <c r="I98" t="s">
        <v>141</v>
      </c>
      <c r="J98" t="s">
        <v>50</v>
      </c>
      <c r="K98" s="3">
        <v>160000</v>
      </c>
      <c r="O98" s="4">
        <v>0</v>
      </c>
      <c r="P98" s="3">
        <v>0</v>
      </c>
    </row>
    <row r="99" spans="1:16" ht="15" customHeight="1" x14ac:dyDescent="0.3">
      <c r="A99">
        <v>2014</v>
      </c>
      <c r="B99" s="2">
        <v>41754</v>
      </c>
      <c r="C99" t="s">
        <v>169</v>
      </c>
      <c r="D99" t="s">
        <v>43</v>
      </c>
      <c r="E99" t="s">
        <v>187</v>
      </c>
      <c r="F99" t="s">
        <v>20</v>
      </c>
      <c r="G99" t="s">
        <v>21</v>
      </c>
      <c r="H99" t="s">
        <v>22</v>
      </c>
      <c r="I99" t="s">
        <v>23</v>
      </c>
      <c r="J99" t="s">
        <v>27</v>
      </c>
      <c r="K99" s="3">
        <v>2370</v>
      </c>
      <c r="O99" s="4">
        <v>0</v>
      </c>
      <c r="P99" s="3">
        <v>0</v>
      </c>
    </row>
    <row r="100" spans="1:16" ht="15" customHeight="1" x14ac:dyDescent="0.3">
      <c r="A100">
        <v>2014</v>
      </c>
      <c r="B100" s="2">
        <v>41759</v>
      </c>
      <c r="C100" t="s">
        <v>169</v>
      </c>
      <c r="D100" t="s">
        <v>188</v>
      </c>
      <c r="E100" t="s">
        <v>189</v>
      </c>
      <c r="F100" t="s">
        <v>20</v>
      </c>
      <c r="G100" t="s">
        <v>21</v>
      </c>
      <c r="H100" t="s">
        <v>22</v>
      </c>
      <c r="I100" t="s">
        <v>23</v>
      </c>
      <c r="J100" t="s">
        <v>27</v>
      </c>
      <c r="K100" s="3">
        <v>7330</v>
      </c>
      <c r="O100" s="4">
        <v>0</v>
      </c>
      <c r="P100" s="3">
        <v>0</v>
      </c>
    </row>
    <row r="101" spans="1:16" ht="15" customHeight="1" x14ac:dyDescent="0.3">
      <c r="A101">
        <v>2014</v>
      </c>
      <c r="B101" s="2">
        <v>41764</v>
      </c>
      <c r="C101" t="s">
        <v>190</v>
      </c>
      <c r="D101" t="s">
        <v>145</v>
      </c>
      <c r="E101" t="s">
        <v>191</v>
      </c>
      <c r="F101" t="s">
        <v>20</v>
      </c>
      <c r="G101" t="s">
        <v>38</v>
      </c>
      <c r="H101" t="s">
        <v>147</v>
      </c>
      <c r="I101" t="s">
        <v>23</v>
      </c>
      <c r="J101" t="s">
        <v>27</v>
      </c>
      <c r="K101" s="3">
        <v>1100</v>
      </c>
      <c r="O101" s="4">
        <v>0</v>
      </c>
      <c r="P101" s="3">
        <v>0</v>
      </c>
    </row>
    <row r="102" spans="1:16" ht="15" customHeight="1" x14ac:dyDescent="0.3">
      <c r="A102">
        <v>2014</v>
      </c>
      <c r="B102" s="2">
        <v>41765</v>
      </c>
      <c r="C102" t="s">
        <v>190</v>
      </c>
      <c r="D102" t="s">
        <v>47</v>
      </c>
      <c r="E102" t="s">
        <v>192</v>
      </c>
      <c r="F102" t="s">
        <v>20</v>
      </c>
      <c r="G102" t="s">
        <v>38</v>
      </c>
      <c r="H102" t="s">
        <v>39</v>
      </c>
      <c r="I102" t="s">
        <v>49</v>
      </c>
      <c r="J102" t="s">
        <v>123</v>
      </c>
      <c r="K102" s="3">
        <v>175000</v>
      </c>
      <c r="O102" s="4">
        <v>0</v>
      </c>
      <c r="P102" s="3">
        <v>0</v>
      </c>
    </row>
    <row r="103" spans="1:16" ht="15" customHeight="1" x14ac:dyDescent="0.3">
      <c r="A103">
        <v>2014</v>
      </c>
      <c r="B103" s="2">
        <v>41767</v>
      </c>
      <c r="C103" t="s">
        <v>190</v>
      </c>
      <c r="D103" t="s">
        <v>30</v>
      </c>
      <c r="E103" t="s">
        <v>193</v>
      </c>
      <c r="F103" t="s">
        <v>20</v>
      </c>
      <c r="G103" t="s">
        <v>21</v>
      </c>
      <c r="H103" t="s">
        <v>22</v>
      </c>
      <c r="I103" t="s">
        <v>23</v>
      </c>
      <c r="J103" t="s">
        <v>27</v>
      </c>
      <c r="K103" s="3">
        <v>7638</v>
      </c>
      <c r="O103" s="4">
        <v>0</v>
      </c>
      <c r="P103" s="3">
        <v>0</v>
      </c>
    </row>
    <row r="104" spans="1:16" ht="15" customHeight="1" x14ac:dyDescent="0.3">
      <c r="A104">
        <v>2014</v>
      </c>
      <c r="B104" s="2">
        <v>41767</v>
      </c>
      <c r="C104" t="s">
        <v>190</v>
      </c>
      <c r="D104" t="s">
        <v>194</v>
      </c>
      <c r="E104" t="s">
        <v>195</v>
      </c>
      <c r="F104" t="s">
        <v>20</v>
      </c>
      <c r="G104" t="s">
        <v>21</v>
      </c>
      <c r="H104" t="s">
        <v>22</v>
      </c>
      <c r="I104" t="s">
        <v>23</v>
      </c>
      <c r="J104" t="s">
        <v>27</v>
      </c>
      <c r="K104" s="3">
        <v>1080</v>
      </c>
      <c r="O104" s="4">
        <v>0</v>
      </c>
      <c r="P104" s="3">
        <v>0</v>
      </c>
    </row>
    <row r="105" spans="1:16" ht="15" customHeight="1" x14ac:dyDescent="0.3">
      <c r="A105">
        <v>2014</v>
      </c>
      <c r="B105" s="2">
        <v>41768</v>
      </c>
      <c r="C105" t="s">
        <v>190</v>
      </c>
      <c r="D105" t="s">
        <v>184</v>
      </c>
      <c r="E105" t="s">
        <v>196</v>
      </c>
      <c r="F105" t="s">
        <v>20</v>
      </c>
      <c r="G105" t="s">
        <v>107</v>
      </c>
      <c r="H105" t="s">
        <v>108</v>
      </c>
      <c r="I105" t="s">
        <v>23</v>
      </c>
      <c r="J105" t="s">
        <v>27</v>
      </c>
      <c r="K105" s="3">
        <v>630</v>
      </c>
      <c r="O105" s="4">
        <v>0</v>
      </c>
      <c r="P105" s="3">
        <v>0</v>
      </c>
    </row>
    <row r="106" spans="1:16" ht="15" customHeight="1" x14ac:dyDescent="0.3">
      <c r="A106">
        <v>2014</v>
      </c>
      <c r="B106" s="2">
        <v>41772</v>
      </c>
      <c r="C106" t="s">
        <v>190</v>
      </c>
      <c r="D106" t="s">
        <v>197</v>
      </c>
      <c r="E106" t="s">
        <v>198</v>
      </c>
      <c r="F106" t="s">
        <v>20</v>
      </c>
      <c r="G106" t="s">
        <v>38</v>
      </c>
      <c r="H106" t="s">
        <v>147</v>
      </c>
      <c r="I106" t="s">
        <v>23</v>
      </c>
      <c r="J106" t="s">
        <v>110</v>
      </c>
      <c r="K106" s="3">
        <v>13125</v>
      </c>
      <c r="O106" s="4">
        <v>0</v>
      </c>
      <c r="P106" s="3">
        <v>0</v>
      </c>
    </row>
    <row r="107" spans="1:16" ht="15" customHeight="1" x14ac:dyDescent="0.3">
      <c r="A107">
        <v>2014</v>
      </c>
      <c r="B107" s="2">
        <v>41772</v>
      </c>
      <c r="C107" t="s">
        <v>190</v>
      </c>
      <c r="D107" t="s">
        <v>199</v>
      </c>
      <c r="E107" t="s">
        <v>200</v>
      </c>
      <c r="F107" t="s">
        <v>20</v>
      </c>
      <c r="G107" t="s">
        <v>21</v>
      </c>
      <c r="H107" t="s">
        <v>22</v>
      </c>
      <c r="I107" t="s">
        <v>136</v>
      </c>
      <c r="J107" t="s">
        <v>110</v>
      </c>
      <c r="K107" s="3">
        <v>11920.51</v>
      </c>
      <c r="O107" s="4">
        <v>0</v>
      </c>
      <c r="P107" s="3">
        <v>0</v>
      </c>
    </row>
    <row r="108" spans="1:16" ht="15" customHeight="1" x14ac:dyDescent="0.3">
      <c r="A108">
        <v>2014</v>
      </c>
      <c r="B108" s="2">
        <v>41774</v>
      </c>
      <c r="C108" t="s">
        <v>190</v>
      </c>
      <c r="D108" t="s">
        <v>43</v>
      </c>
      <c r="E108" t="s">
        <v>201</v>
      </c>
      <c r="F108" t="s">
        <v>20</v>
      </c>
      <c r="G108" t="s">
        <v>21</v>
      </c>
      <c r="H108" t="s">
        <v>22</v>
      </c>
      <c r="I108" t="s">
        <v>23</v>
      </c>
      <c r="J108" t="s">
        <v>27</v>
      </c>
      <c r="K108" s="3">
        <v>1580</v>
      </c>
      <c r="O108" s="4">
        <v>0</v>
      </c>
      <c r="P108" s="3">
        <v>0</v>
      </c>
    </row>
    <row r="109" spans="1:16" ht="15" customHeight="1" x14ac:dyDescent="0.3">
      <c r="A109">
        <v>2014</v>
      </c>
      <c r="B109" s="2">
        <v>41774</v>
      </c>
      <c r="C109" t="s">
        <v>190</v>
      </c>
      <c r="D109" t="s">
        <v>85</v>
      </c>
      <c r="E109" t="s">
        <v>202</v>
      </c>
      <c r="F109" t="s">
        <v>20</v>
      </c>
      <c r="G109" t="s">
        <v>21</v>
      </c>
      <c r="H109" t="s">
        <v>22</v>
      </c>
      <c r="I109" t="s">
        <v>23</v>
      </c>
      <c r="J109" t="s">
        <v>27</v>
      </c>
      <c r="K109" s="3">
        <v>1000</v>
      </c>
      <c r="O109" s="4">
        <v>0</v>
      </c>
      <c r="P109" s="3">
        <v>0</v>
      </c>
    </row>
    <row r="110" spans="1:16" ht="15" customHeight="1" x14ac:dyDescent="0.3">
      <c r="A110">
        <v>2014</v>
      </c>
      <c r="B110" s="2">
        <v>41775</v>
      </c>
      <c r="C110" t="s">
        <v>190</v>
      </c>
      <c r="D110" t="s">
        <v>69</v>
      </c>
      <c r="E110" t="s">
        <v>203</v>
      </c>
      <c r="F110" t="s">
        <v>20</v>
      </c>
      <c r="G110" t="s">
        <v>21</v>
      </c>
      <c r="H110" t="s">
        <v>22</v>
      </c>
      <c r="I110" t="s">
        <v>136</v>
      </c>
      <c r="J110" t="s">
        <v>123</v>
      </c>
      <c r="K110" s="3">
        <v>48068.480000000003</v>
      </c>
      <c r="O110" s="4">
        <v>0</v>
      </c>
      <c r="P110" s="3">
        <v>0</v>
      </c>
    </row>
    <row r="111" spans="1:16" ht="15" customHeight="1" x14ac:dyDescent="0.3">
      <c r="A111">
        <v>2014</v>
      </c>
      <c r="B111" s="2">
        <v>41779</v>
      </c>
      <c r="C111" t="s">
        <v>190</v>
      </c>
      <c r="D111" t="s">
        <v>83</v>
      </c>
      <c r="E111" t="s">
        <v>204</v>
      </c>
      <c r="F111" t="s">
        <v>20</v>
      </c>
      <c r="G111" t="s">
        <v>21</v>
      </c>
      <c r="H111" t="s">
        <v>22</v>
      </c>
      <c r="I111" t="s">
        <v>23</v>
      </c>
      <c r="J111" t="s">
        <v>27</v>
      </c>
      <c r="K111" s="3">
        <v>120</v>
      </c>
      <c r="O111" s="4">
        <v>0</v>
      </c>
      <c r="P111" s="3">
        <v>0</v>
      </c>
    </row>
    <row r="112" spans="1:16" ht="15" customHeight="1" x14ac:dyDescent="0.3">
      <c r="A112">
        <v>2014</v>
      </c>
      <c r="B112" s="2">
        <v>41779</v>
      </c>
      <c r="C112" t="s">
        <v>190</v>
      </c>
      <c r="D112" t="s">
        <v>205</v>
      </c>
      <c r="E112" t="s">
        <v>206</v>
      </c>
      <c r="F112" t="s">
        <v>20</v>
      </c>
      <c r="G112" t="s">
        <v>21</v>
      </c>
      <c r="H112" t="s">
        <v>22</v>
      </c>
      <c r="I112" t="s">
        <v>23</v>
      </c>
      <c r="J112" t="s">
        <v>27</v>
      </c>
      <c r="K112" s="3">
        <v>131.85</v>
      </c>
      <c r="O112" s="4">
        <v>0</v>
      </c>
      <c r="P112" s="3">
        <v>0</v>
      </c>
    </row>
    <row r="113" spans="1:16" ht="15" customHeight="1" x14ac:dyDescent="0.3">
      <c r="A113">
        <v>2014</v>
      </c>
      <c r="B113" s="2">
        <v>41780</v>
      </c>
      <c r="C113" t="s">
        <v>190</v>
      </c>
      <c r="D113" t="s">
        <v>118</v>
      </c>
      <c r="E113" t="s">
        <v>207</v>
      </c>
      <c r="F113" t="s">
        <v>20</v>
      </c>
      <c r="G113" t="s">
        <v>21</v>
      </c>
      <c r="H113" t="s">
        <v>22</v>
      </c>
      <c r="I113" t="s">
        <v>23</v>
      </c>
      <c r="J113" t="s">
        <v>27</v>
      </c>
      <c r="K113" s="3">
        <v>139.94999999999999</v>
      </c>
      <c r="O113" s="4">
        <v>0</v>
      </c>
      <c r="P113" s="3">
        <v>0</v>
      </c>
    </row>
    <row r="114" spans="1:16" ht="15" customHeight="1" x14ac:dyDescent="0.3">
      <c r="A114">
        <v>2014</v>
      </c>
      <c r="B114" s="2">
        <v>41782</v>
      </c>
      <c r="C114" t="s">
        <v>190</v>
      </c>
      <c r="D114" t="s">
        <v>155</v>
      </c>
      <c r="E114" t="s">
        <v>208</v>
      </c>
      <c r="F114" t="s">
        <v>20</v>
      </c>
      <c r="G114" t="s">
        <v>38</v>
      </c>
      <c r="H114" t="s">
        <v>39</v>
      </c>
      <c r="I114" t="s">
        <v>23</v>
      </c>
      <c r="J114" t="s">
        <v>27</v>
      </c>
      <c r="K114" s="3">
        <v>700</v>
      </c>
      <c r="O114" s="4">
        <v>0</v>
      </c>
      <c r="P114" s="3">
        <v>0</v>
      </c>
    </row>
    <row r="115" spans="1:16" ht="15" customHeight="1" x14ac:dyDescent="0.3">
      <c r="A115">
        <v>2014</v>
      </c>
      <c r="B115" s="2">
        <v>41782</v>
      </c>
      <c r="C115" t="s">
        <v>190</v>
      </c>
      <c r="D115" t="s">
        <v>47</v>
      </c>
      <c r="E115" t="s">
        <v>209</v>
      </c>
      <c r="F115" t="s">
        <v>20</v>
      </c>
      <c r="G115" t="s">
        <v>38</v>
      </c>
      <c r="H115" t="s">
        <v>39</v>
      </c>
      <c r="I115" t="s">
        <v>23</v>
      </c>
      <c r="J115" t="s">
        <v>27</v>
      </c>
      <c r="K115" s="3">
        <v>350</v>
      </c>
      <c r="O115" s="4">
        <v>0</v>
      </c>
      <c r="P115" s="3">
        <v>0</v>
      </c>
    </row>
    <row r="116" spans="1:16" ht="15" customHeight="1" x14ac:dyDescent="0.3">
      <c r="A116">
        <v>2014</v>
      </c>
      <c r="B116" s="2">
        <v>41782</v>
      </c>
      <c r="C116" t="s">
        <v>190</v>
      </c>
      <c r="D116" t="s">
        <v>188</v>
      </c>
      <c r="E116" t="s">
        <v>210</v>
      </c>
      <c r="F116" t="s">
        <v>20</v>
      </c>
      <c r="G116" t="s">
        <v>21</v>
      </c>
      <c r="H116" t="s">
        <v>22</v>
      </c>
      <c r="I116" t="s">
        <v>23</v>
      </c>
      <c r="J116" t="s">
        <v>27</v>
      </c>
      <c r="K116" s="3">
        <v>6150</v>
      </c>
      <c r="O116" s="4">
        <v>0</v>
      </c>
      <c r="P116" s="3">
        <v>0</v>
      </c>
    </row>
    <row r="117" spans="1:16" ht="15" customHeight="1" x14ac:dyDescent="0.3">
      <c r="A117">
        <v>2014</v>
      </c>
      <c r="B117" s="2">
        <v>41782</v>
      </c>
      <c r="C117" t="s">
        <v>190</v>
      </c>
      <c r="D117" t="s">
        <v>211</v>
      </c>
      <c r="E117" t="s">
        <v>212</v>
      </c>
      <c r="F117" t="s">
        <v>20</v>
      </c>
      <c r="G117" t="s">
        <v>107</v>
      </c>
      <c r="H117" t="s">
        <v>108</v>
      </c>
      <c r="I117" t="s">
        <v>23</v>
      </c>
      <c r="J117" t="s">
        <v>27</v>
      </c>
      <c r="K117" s="3">
        <v>560</v>
      </c>
      <c r="O117" s="4">
        <v>0</v>
      </c>
      <c r="P117" s="3">
        <v>0</v>
      </c>
    </row>
    <row r="118" spans="1:16" ht="15" customHeight="1" x14ac:dyDescent="0.3">
      <c r="A118">
        <v>2014</v>
      </c>
      <c r="B118" s="2">
        <v>41785</v>
      </c>
      <c r="C118" t="s">
        <v>190</v>
      </c>
      <c r="D118" t="s">
        <v>45</v>
      </c>
      <c r="E118" t="s">
        <v>213</v>
      </c>
      <c r="F118" t="s">
        <v>20</v>
      </c>
      <c r="G118" t="s">
        <v>38</v>
      </c>
      <c r="H118" t="s">
        <v>39</v>
      </c>
      <c r="I118" t="s">
        <v>23</v>
      </c>
      <c r="J118" t="s">
        <v>27</v>
      </c>
      <c r="K118" s="3">
        <v>6152.33</v>
      </c>
      <c r="O118" s="4">
        <v>0</v>
      </c>
      <c r="P118" s="3">
        <v>0</v>
      </c>
    </row>
    <row r="119" spans="1:16" ht="15" customHeight="1" x14ac:dyDescent="0.3">
      <c r="A119">
        <v>2014</v>
      </c>
      <c r="B119" s="2">
        <v>41786</v>
      </c>
      <c r="C119" t="s">
        <v>190</v>
      </c>
      <c r="D119" t="s">
        <v>18</v>
      </c>
      <c r="E119" t="s">
        <v>214</v>
      </c>
      <c r="F119" t="s">
        <v>20</v>
      </c>
      <c r="G119" t="s">
        <v>21</v>
      </c>
      <c r="H119" t="s">
        <v>22</v>
      </c>
      <c r="I119" t="s">
        <v>23</v>
      </c>
      <c r="J119" t="s">
        <v>27</v>
      </c>
      <c r="K119" s="3">
        <v>184.73</v>
      </c>
      <c r="O119" s="4">
        <v>0</v>
      </c>
      <c r="P119" s="3">
        <v>0</v>
      </c>
    </row>
    <row r="120" spans="1:16" ht="15" customHeight="1" x14ac:dyDescent="0.3">
      <c r="A120">
        <v>2014</v>
      </c>
      <c r="B120" s="2">
        <v>41786</v>
      </c>
      <c r="C120" t="s">
        <v>190</v>
      </c>
      <c r="D120" t="s">
        <v>215</v>
      </c>
      <c r="E120" t="s">
        <v>216</v>
      </c>
      <c r="F120" t="s">
        <v>20</v>
      </c>
      <c r="G120" t="s">
        <v>38</v>
      </c>
      <c r="H120" t="s">
        <v>147</v>
      </c>
      <c r="I120" t="s">
        <v>23</v>
      </c>
      <c r="J120" t="s">
        <v>27</v>
      </c>
      <c r="K120" s="3">
        <v>1200</v>
      </c>
      <c r="O120" s="4">
        <v>0</v>
      </c>
      <c r="P120" s="3">
        <v>0</v>
      </c>
    </row>
    <row r="121" spans="1:16" ht="15" customHeight="1" x14ac:dyDescent="0.3">
      <c r="A121">
        <v>2014</v>
      </c>
      <c r="B121" s="2">
        <v>41788</v>
      </c>
      <c r="C121" t="s">
        <v>190</v>
      </c>
      <c r="D121" t="s">
        <v>69</v>
      </c>
      <c r="E121" t="s">
        <v>217</v>
      </c>
      <c r="F121" t="s">
        <v>20</v>
      </c>
      <c r="G121" t="s">
        <v>21</v>
      </c>
      <c r="H121" t="s">
        <v>22</v>
      </c>
      <c r="I121" t="s">
        <v>23</v>
      </c>
      <c r="J121" t="s">
        <v>27</v>
      </c>
      <c r="K121" s="3">
        <v>915.84</v>
      </c>
      <c r="O121" s="4">
        <v>0</v>
      </c>
      <c r="P121" s="3">
        <v>0</v>
      </c>
    </row>
    <row r="122" spans="1:16" ht="15" customHeight="1" x14ac:dyDescent="0.3">
      <c r="A122">
        <v>2014</v>
      </c>
      <c r="B122" s="2">
        <v>41792</v>
      </c>
      <c r="C122" t="s">
        <v>218</v>
      </c>
      <c r="D122" t="s">
        <v>219</v>
      </c>
      <c r="E122" t="s">
        <v>220</v>
      </c>
      <c r="F122" t="s">
        <v>20</v>
      </c>
      <c r="G122" t="s">
        <v>38</v>
      </c>
      <c r="H122" t="s">
        <v>89</v>
      </c>
      <c r="I122" t="s">
        <v>141</v>
      </c>
      <c r="J122" t="s">
        <v>123</v>
      </c>
      <c r="K122" s="3">
        <v>78451.53</v>
      </c>
      <c r="O122" s="4">
        <v>0</v>
      </c>
      <c r="P122" s="3">
        <v>0</v>
      </c>
    </row>
    <row r="123" spans="1:16" ht="15" customHeight="1" x14ac:dyDescent="0.3">
      <c r="A123">
        <v>2014</v>
      </c>
      <c r="B123" s="2">
        <v>41794</v>
      </c>
      <c r="C123" t="s">
        <v>218</v>
      </c>
      <c r="D123" t="s">
        <v>64</v>
      </c>
      <c r="E123" t="s">
        <v>221</v>
      </c>
      <c r="F123" t="s">
        <v>20</v>
      </c>
      <c r="G123" t="s">
        <v>38</v>
      </c>
      <c r="H123" t="s">
        <v>89</v>
      </c>
      <c r="I123" t="s">
        <v>23</v>
      </c>
      <c r="J123" t="s">
        <v>27</v>
      </c>
      <c r="K123" s="3">
        <v>880</v>
      </c>
      <c r="O123" s="4">
        <v>0</v>
      </c>
      <c r="P123" s="3">
        <v>0</v>
      </c>
    </row>
    <row r="124" spans="1:16" ht="15" customHeight="1" x14ac:dyDescent="0.3">
      <c r="A124">
        <v>2014</v>
      </c>
      <c r="B124" s="2">
        <v>41795</v>
      </c>
      <c r="C124" t="s">
        <v>218</v>
      </c>
      <c r="D124" t="s">
        <v>18</v>
      </c>
      <c r="E124" t="s">
        <v>222</v>
      </c>
      <c r="F124" t="s">
        <v>20</v>
      </c>
      <c r="G124" t="s">
        <v>21</v>
      </c>
      <c r="H124" t="s">
        <v>22</v>
      </c>
      <c r="I124" t="s">
        <v>23</v>
      </c>
      <c r="J124" t="s">
        <v>27</v>
      </c>
      <c r="K124" s="3">
        <v>600</v>
      </c>
      <c r="O124" s="4">
        <v>0</v>
      </c>
      <c r="P124" s="3">
        <v>0</v>
      </c>
    </row>
    <row r="125" spans="1:16" ht="15" customHeight="1" x14ac:dyDescent="0.3">
      <c r="A125">
        <v>2014</v>
      </c>
      <c r="B125" s="2">
        <v>41796</v>
      </c>
      <c r="C125" t="s">
        <v>218</v>
      </c>
      <c r="D125" t="s">
        <v>76</v>
      </c>
      <c r="E125" t="s">
        <v>223</v>
      </c>
      <c r="F125" t="s">
        <v>20</v>
      </c>
      <c r="G125" t="s">
        <v>21</v>
      </c>
      <c r="H125" t="s">
        <v>22</v>
      </c>
      <c r="I125" t="s">
        <v>136</v>
      </c>
      <c r="J125" t="s">
        <v>123</v>
      </c>
      <c r="K125" s="3">
        <v>65318.75</v>
      </c>
      <c r="O125" s="4">
        <v>0</v>
      </c>
      <c r="P125" s="3">
        <v>0</v>
      </c>
    </row>
    <row r="126" spans="1:16" ht="15" customHeight="1" x14ac:dyDescent="0.3">
      <c r="A126">
        <v>2014</v>
      </c>
      <c r="B126" s="2">
        <v>41797</v>
      </c>
      <c r="C126" t="s">
        <v>218</v>
      </c>
      <c r="D126" t="s">
        <v>224</v>
      </c>
      <c r="E126" t="s">
        <v>225</v>
      </c>
      <c r="F126" t="s">
        <v>20</v>
      </c>
      <c r="G126" t="s">
        <v>21</v>
      </c>
      <c r="H126" t="s">
        <v>22</v>
      </c>
      <c r="I126" t="s">
        <v>23</v>
      </c>
      <c r="J126" t="s">
        <v>27</v>
      </c>
      <c r="K126" s="3">
        <v>754.48</v>
      </c>
      <c r="O126" s="4">
        <v>0</v>
      </c>
      <c r="P126" s="3">
        <v>0</v>
      </c>
    </row>
    <row r="127" spans="1:16" ht="15" customHeight="1" x14ac:dyDescent="0.3">
      <c r="A127">
        <v>2014</v>
      </c>
      <c r="B127" s="2">
        <v>41799</v>
      </c>
      <c r="C127" t="s">
        <v>218</v>
      </c>
      <c r="D127" t="s">
        <v>69</v>
      </c>
      <c r="E127" t="s">
        <v>226</v>
      </c>
      <c r="F127" t="s">
        <v>20</v>
      </c>
      <c r="G127" t="s">
        <v>21</v>
      </c>
      <c r="H127" t="s">
        <v>22</v>
      </c>
      <c r="I127" t="s">
        <v>136</v>
      </c>
      <c r="J127" t="s">
        <v>123</v>
      </c>
      <c r="K127" s="3">
        <v>88940.83</v>
      </c>
      <c r="O127" s="4">
        <v>0</v>
      </c>
      <c r="P127" s="3">
        <v>0</v>
      </c>
    </row>
    <row r="128" spans="1:16" ht="15" customHeight="1" x14ac:dyDescent="0.3">
      <c r="A128">
        <v>2014</v>
      </c>
      <c r="B128" s="2">
        <v>41801</v>
      </c>
      <c r="C128" t="s">
        <v>218</v>
      </c>
      <c r="D128" t="s">
        <v>227</v>
      </c>
      <c r="E128" t="s">
        <v>228</v>
      </c>
      <c r="F128" t="s">
        <v>20</v>
      </c>
      <c r="G128" t="s">
        <v>21</v>
      </c>
      <c r="H128" t="s">
        <v>22</v>
      </c>
      <c r="I128" t="s">
        <v>23</v>
      </c>
      <c r="J128" t="s">
        <v>27</v>
      </c>
      <c r="K128" s="3">
        <v>789.09</v>
      </c>
      <c r="O128" s="4">
        <v>0</v>
      </c>
      <c r="P128" s="3">
        <v>0</v>
      </c>
    </row>
    <row r="129" spans="1:16" ht="15" customHeight="1" x14ac:dyDescent="0.3">
      <c r="A129">
        <v>2014</v>
      </c>
      <c r="B129" s="2">
        <v>41802</v>
      </c>
      <c r="C129" t="s">
        <v>218</v>
      </c>
      <c r="D129" t="s">
        <v>113</v>
      </c>
      <c r="E129" t="s">
        <v>229</v>
      </c>
      <c r="F129" t="s">
        <v>20</v>
      </c>
      <c r="G129" t="s">
        <v>38</v>
      </c>
      <c r="H129" t="s">
        <v>89</v>
      </c>
      <c r="I129" t="s">
        <v>23</v>
      </c>
      <c r="J129" t="s">
        <v>27</v>
      </c>
      <c r="K129" s="3">
        <v>6521.11</v>
      </c>
      <c r="O129" s="4">
        <v>0</v>
      </c>
      <c r="P129" s="3">
        <v>0</v>
      </c>
    </row>
    <row r="130" spans="1:16" ht="15" customHeight="1" x14ac:dyDescent="0.3">
      <c r="A130">
        <v>2014</v>
      </c>
      <c r="B130" s="2">
        <v>41802</v>
      </c>
      <c r="C130" t="s">
        <v>218</v>
      </c>
      <c r="D130" t="s">
        <v>87</v>
      </c>
      <c r="E130" t="s">
        <v>230</v>
      </c>
      <c r="F130" t="s">
        <v>20</v>
      </c>
      <c r="G130" t="s">
        <v>38</v>
      </c>
      <c r="H130" t="s">
        <v>89</v>
      </c>
      <c r="I130" t="s">
        <v>23</v>
      </c>
      <c r="J130" t="s">
        <v>27</v>
      </c>
      <c r="K130" s="3">
        <v>10946.18</v>
      </c>
      <c r="O130" s="4">
        <v>0</v>
      </c>
      <c r="P130" s="3">
        <v>0</v>
      </c>
    </row>
    <row r="131" spans="1:16" ht="15" customHeight="1" x14ac:dyDescent="0.3">
      <c r="A131">
        <v>2014</v>
      </c>
      <c r="B131" s="2">
        <v>41802</v>
      </c>
      <c r="C131" t="s">
        <v>218</v>
      </c>
      <c r="D131" t="s">
        <v>188</v>
      </c>
      <c r="E131" t="s">
        <v>231</v>
      </c>
      <c r="F131" t="s">
        <v>20</v>
      </c>
      <c r="G131" t="s">
        <v>21</v>
      </c>
      <c r="H131" t="s">
        <v>22</v>
      </c>
      <c r="I131" t="s">
        <v>23</v>
      </c>
      <c r="J131" t="s">
        <v>27</v>
      </c>
      <c r="K131" s="3">
        <v>6150</v>
      </c>
      <c r="O131" s="4">
        <v>0</v>
      </c>
      <c r="P131" s="3">
        <v>0</v>
      </c>
    </row>
    <row r="132" spans="1:16" ht="15" customHeight="1" x14ac:dyDescent="0.3">
      <c r="A132">
        <v>2014</v>
      </c>
      <c r="B132" s="2">
        <v>41803</v>
      </c>
      <c r="C132" t="s">
        <v>218</v>
      </c>
      <c r="D132" t="s">
        <v>232</v>
      </c>
      <c r="E132" t="s">
        <v>233</v>
      </c>
      <c r="F132" t="s">
        <v>20</v>
      </c>
      <c r="G132" t="s">
        <v>21</v>
      </c>
      <c r="H132" t="s">
        <v>101</v>
      </c>
      <c r="I132" t="s">
        <v>141</v>
      </c>
      <c r="J132" t="s">
        <v>123</v>
      </c>
      <c r="K132" s="3">
        <v>67039.850000000006</v>
      </c>
      <c r="O132" s="4">
        <v>0</v>
      </c>
      <c r="P132" s="3">
        <v>0</v>
      </c>
    </row>
    <row r="133" spans="1:16" ht="15" customHeight="1" x14ac:dyDescent="0.3">
      <c r="A133">
        <v>2014</v>
      </c>
      <c r="B133" s="2">
        <v>41803</v>
      </c>
      <c r="C133" t="s">
        <v>218</v>
      </c>
      <c r="D133" t="s">
        <v>56</v>
      </c>
      <c r="E133" t="s">
        <v>234</v>
      </c>
      <c r="F133" t="s">
        <v>20</v>
      </c>
      <c r="G133" t="s">
        <v>21</v>
      </c>
      <c r="H133" t="s">
        <v>22</v>
      </c>
      <c r="I133" t="s">
        <v>23</v>
      </c>
      <c r="J133" t="s">
        <v>27</v>
      </c>
      <c r="K133" s="3">
        <v>40</v>
      </c>
      <c r="O133" s="4">
        <v>0</v>
      </c>
      <c r="P133" s="3">
        <v>0</v>
      </c>
    </row>
    <row r="134" spans="1:16" ht="15" customHeight="1" x14ac:dyDescent="0.3">
      <c r="A134">
        <v>2014</v>
      </c>
      <c r="B134" s="2">
        <v>41804</v>
      </c>
      <c r="C134" t="s">
        <v>218</v>
      </c>
      <c r="D134" t="s">
        <v>224</v>
      </c>
      <c r="E134" t="s">
        <v>235</v>
      </c>
      <c r="F134" t="s">
        <v>20</v>
      </c>
      <c r="G134" t="s">
        <v>21</v>
      </c>
      <c r="H134" t="s">
        <v>22</v>
      </c>
      <c r="I134" t="s">
        <v>23</v>
      </c>
      <c r="J134" t="s">
        <v>27</v>
      </c>
      <c r="K134" s="3">
        <v>460</v>
      </c>
      <c r="O134" s="4">
        <v>0</v>
      </c>
      <c r="P134" s="3">
        <v>0</v>
      </c>
    </row>
    <row r="135" spans="1:16" ht="15" customHeight="1" x14ac:dyDescent="0.3">
      <c r="A135">
        <v>2014</v>
      </c>
      <c r="B135" s="2">
        <v>41806</v>
      </c>
      <c r="C135" t="s">
        <v>218</v>
      </c>
      <c r="D135" t="s">
        <v>18</v>
      </c>
      <c r="E135" t="s">
        <v>236</v>
      </c>
      <c r="F135" t="s">
        <v>20</v>
      </c>
      <c r="G135" t="s">
        <v>21</v>
      </c>
      <c r="H135" t="s">
        <v>22</v>
      </c>
      <c r="I135" t="s">
        <v>23</v>
      </c>
      <c r="J135" t="s">
        <v>27</v>
      </c>
      <c r="K135" s="3">
        <v>117</v>
      </c>
      <c r="O135" s="4">
        <v>0</v>
      </c>
      <c r="P135" s="3">
        <v>0</v>
      </c>
    </row>
    <row r="136" spans="1:16" ht="15" customHeight="1" x14ac:dyDescent="0.3">
      <c r="A136">
        <v>2014</v>
      </c>
      <c r="B136" s="2">
        <v>41806</v>
      </c>
      <c r="C136" t="s">
        <v>218</v>
      </c>
      <c r="D136" t="s">
        <v>199</v>
      </c>
      <c r="E136" t="s">
        <v>237</v>
      </c>
      <c r="F136" t="s">
        <v>20</v>
      </c>
      <c r="G136" t="s">
        <v>21</v>
      </c>
      <c r="H136" t="s">
        <v>22</v>
      </c>
      <c r="I136" t="s">
        <v>23</v>
      </c>
      <c r="J136" t="s">
        <v>27</v>
      </c>
      <c r="K136" s="3">
        <v>800</v>
      </c>
      <c r="O136" s="4">
        <v>0</v>
      </c>
      <c r="P136" s="3">
        <v>0</v>
      </c>
    </row>
    <row r="137" spans="1:16" ht="15" customHeight="1" x14ac:dyDescent="0.3">
      <c r="A137">
        <v>2014</v>
      </c>
      <c r="B137" s="2">
        <v>41807</v>
      </c>
      <c r="C137" t="s">
        <v>218</v>
      </c>
      <c r="D137" t="s">
        <v>53</v>
      </c>
      <c r="E137" t="s">
        <v>238</v>
      </c>
      <c r="F137" t="s">
        <v>20</v>
      </c>
      <c r="G137" t="s">
        <v>21</v>
      </c>
      <c r="H137" t="s">
        <v>22</v>
      </c>
      <c r="I137" t="s">
        <v>136</v>
      </c>
      <c r="J137" t="s">
        <v>123</v>
      </c>
      <c r="K137" s="3">
        <v>68000</v>
      </c>
      <c r="O137" s="4">
        <v>0</v>
      </c>
      <c r="P137" s="3">
        <v>0</v>
      </c>
    </row>
    <row r="138" spans="1:16" ht="15" customHeight="1" x14ac:dyDescent="0.3">
      <c r="A138">
        <v>2014</v>
      </c>
      <c r="B138" s="2">
        <v>41807</v>
      </c>
      <c r="C138" t="s">
        <v>218</v>
      </c>
      <c r="D138" t="s">
        <v>69</v>
      </c>
      <c r="E138" t="s">
        <v>239</v>
      </c>
      <c r="F138" t="s">
        <v>20</v>
      </c>
      <c r="G138" t="s">
        <v>21</v>
      </c>
      <c r="H138" t="s">
        <v>22</v>
      </c>
      <c r="I138" t="s">
        <v>23</v>
      </c>
      <c r="J138" t="s">
        <v>27</v>
      </c>
      <c r="K138" s="3">
        <v>2800</v>
      </c>
      <c r="O138" s="4">
        <v>0</v>
      </c>
      <c r="P138" s="3">
        <v>0</v>
      </c>
    </row>
    <row r="139" spans="1:16" ht="15" customHeight="1" x14ac:dyDescent="0.3">
      <c r="A139">
        <v>2014</v>
      </c>
      <c r="B139" s="2">
        <v>41808</v>
      </c>
      <c r="C139" t="s">
        <v>218</v>
      </c>
      <c r="D139" t="s">
        <v>30</v>
      </c>
      <c r="E139" t="s">
        <v>240</v>
      </c>
      <c r="F139" t="s">
        <v>20</v>
      </c>
      <c r="G139" t="s">
        <v>21</v>
      </c>
      <c r="H139" t="s">
        <v>22</v>
      </c>
      <c r="I139" t="s">
        <v>136</v>
      </c>
      <c r="J139" t="s">
        <v>50</v>
      </c>
      <c r="K139" s="3">
        <v>75000</v>
      </c>
      <c r="O139" s="4">
        <v>0</v>
      </c>
      <c r="P139" s="3">
        <v>0</v>
      </c>
    </row>
    <row r="140" spans="1:16" ht="15" customHeight="1" x14ac:dyDescent="0.3">
      <c r="A140">
        <v>2014</v>
      </c>
      <c r="B140" s="2">
        <v>41809</v>
      </c>
      <c r="C140" t="s">
        <v>218</v>
      </c>
      <c r="D140" t="s">
        <v>181</v>
      </c>
      <c r="E140" t="s">
        <v>241</v>
      </c>
      <c r="F140" t="s">
        <v>20</v>
      </c>
      <c r="G140" t="s">
        <v>21</v>
      </c>
      <c r="H140" t="s">
        <v>22</v>
      </c>
      <c r="I140" t="s">
        <v>23</v>
      </c>
      <c r="J140" t="s">
        <v>27</v>
      </c>
      <c r="K140" s="3">
        <v>321.08</v>
      </c>
      <c r="O140" s="4">
        <v>0</v>
      </c>
      <c r="P140" s="3">
        <v>0</v>
      </c>
    </row>
    <row r="141" spans="1:16" ht="15" customHeight="1" x14ac:dyDescent="0.3">
      <c r="A141">
        <v>2014</v>
      </c>
      <c r="B141" s="2">
        <v>41809</v>
      </c>
      <c r="C141" t="s">
        <v>218</v>
      </c>
      <c r="D141" t="s">
        <v>87</v>
      </c>
      <c r="E141" t="s">
        <v>242</v>
      </c>
      <c r="F141" t="s">
        <v>20</v>
      </c>
      <c r="G141" t="s">
        <v>38</v>
      </c>
      <c r="H141" t="s">
        <v>89</v>
      </c>
      <c r="I141" t="s">
        <v>23</v>
      </c>
      <c r="J141" t="s">
        <v>27</v>
      </c>
      <c r="K141" s="3">
        <v>1025.98</v>
      </c>
      <c r="O141" s="4">
        <v>0</v>
      </c>
      <c r="P141" s="3">
        <v>0</v>
      </c>
    </row>
    <row r="142" spans="1:16" ht="15" customHeight="1" x14ac:dyDescent="0.3">
      <c r="A142">
        <v>2014</v>
      </c>
      <c r="B142" s="2">
        <v>41810</v>
      </c>
      <c r="C142" t="s">
        <v>218</v>
      </c>
      <c r="D142" t="s">
        <v>47</v>
      </c>
      <c r="E142" t="s">
        <v>243</v>
      </c>
      <c r="F142" t="s">
        <v>20</v>
      </c>
      <c r="G142" t="s">
        <v>38</v>
      </c>
      <c r="H142" t="s">
        <v>39</v>
      </c>
      <c r="I142" t="s">
        <v>23</v>
      </c>
      <c r="J142" t="s">
        <v>27</v>
      </c>
      <c r="K142" s="3">
        <v>1200</v>
      </c>
      <c r="O142" s="4">
        <v>0</v>
      </c>
      <c r="P142" s="3">
        <v>0</v>
      </c>
    </row>
    <row r="143" spans="1:16" ht="15" customHeight="1" x14ac:dyDescent="0.3">
      <c r="A143">
        <v>2014</v>
      </c>
      <c r="B143" s="2">
        <v>41810</v>
      </c>
      <c r="C143" t="s">
        <v>218</v>
      </c>
      <c r="D143" t="s">
        <v>47</v>
      </c>
      <c r="E143" t="s">
        <v>244</v>
      </c>
      <c r="F143" t="s">
        <v>20</v>
      </c>
      <c r="G143" t="s">
        <v>38</v>
      </c>
      <c r="H143" t="s">
        <v>39</v>
      </c>
      <c r="I143" t="s">
        <v>23</v>
      </c>
      <c r="J143" t="s">
        <v>27</v>
      </c>
      <c r="K143" s="3">
        <v>520</v>
      </c>
      <c r="O143" s="4">
        <v>0</v>
      </c>
      <c r="P143" s="3">
        <v>0</v>
      </c>
    </row>
    <row r="144" spans="1:16" ht="15" customHeight="1" x14ac:dyDescent="0.3">
      <c r="A144">
        <v>2014</v>
      </c>
      <c r="B144" s="2">
        <v>41810</v>
      </c>
      <c r="C144" t="s">
        <v>218</v>
      </c>
      <c r="D144" t="s">
        <v>174</v>
      </c>
      <c r="E144" t="s">
        <v>245</v>
      </c>
      <c r="F144" t="s">
        <v>20</v>
      </c>
      <c r="G144" t="s">
        <v>21</v>
      </c>
      <c r="H144" t="s">
        <v>176</v>
      </c>
      <c r="I144" t="s">
        <v>122</v>
      </c>
      <c r="J144" t="s">
        <v>123</v>
      </c>
      <c r="K144" s="3">
        <v>44776.86</v>
      </c>
      <c r="O144" s="4">
        <v>0</v>
      </c>
      <c r="P144" s="3">
        <v>0</v>
      </c>
    </row>
    <row r="145" spans="1:16" ht="15" customHeight="1" x14ac:dyDescent="0.3">
      <c r="A145">
        <v>2014</v>
      </c>
      <c r="B145" s="2">
        <v>41810</v>
      </c>
      <c r="C145" t="s">
        <v>218</v>
      </c>
      <c r="D145" t="s">
        <v>174</v>
      </c>
      <c r="E145" t="s">
        <v>246</v>
      </c>
      <c r="F145" t="s">
        <v>20</v>
      </c>
      <c r="G145" t="s">
        <v>21</v>
      </c>
      <c r="H145" t="s">
        <v>176</v>
      </c>
      <c r="I145" t="s">
        <v>122</v>
      </c>
      <c r="J145" t="s">
        <v>123</v>
      </c>
      <c r="K145" s="3">
        <v>34528.04</v>
      </c>
      <c r="O145" s="4">
        <v>0</v>
      </c>
      <c r="P145" s="3">
        <v>0</v>
      </c>
    </row>
    <row r="146" spans="1:16" ht="15" customHeight="1" x14ac:dyDescent="0.3">
      <c r="A146">
        <v>2014</v>
      </c>
      <c r="B146" s="2">
        <v>41810</v>
      </c>
      <c r="C146" t="s">
        <v>218</v>
      </c>
      <c r="D146" t="s">
        <v>247</v>
      </c>
      <c r="E146" t="s">
        <v>248</v>
      </c>
      <c r="F146" t="s">
        <v>20</v>
      </c>
      <c r="G146" t="s">
        <v>21</v>
      </c>
      <c r="H146" t="s">
        <v>22</v>
      </c>
      <c r="I146" t="s">
        <v>23</v>
      </c>
      <c r="J146" t="s">
        <v>27</v>
      </c>
      <c r="K146" s="3">
        <v>1130</v>
      </c>
      <c r="O146" s="4">
        <v>0</v>
      </c>
      <c r="P146" s="3">
        <v>0</v>
      </c>
    </row>
    <row r="147" spans="1:16" ht="15" customHeight="1" x14ac:dyDescent="0.3">
      <c r="A147">
        <v>2014</v>
      </c>
      <c r="B147" s="2">
        <v>41810</v>
      </c>
      <c r="C147" t="s">
        <v>218</v>
      </c>
      <c r="D147" t="s">
        <v>247</v>
      </c>
      <c r="E147" t="s">
        <v>249</v>
      </c>
      <c r="F147" t="s">
        <v>20</v>
      </c>
      <c r="G147" t="s">
        <v>21</v>
      </c>
      <c r="H147" t="s">
        <v>22</v>
      </c>
      <c r="I147" t="s">
        <v>23</v>
      </c>
      <c r="J147" t="s">
        <v>27</v>
      </c>
      <c r="K147" s="3">
        <v>650</v>
      </c>
      <c r="O147" s="4">
        <v>0</v>
      </c>
      <c r="P147" s="3">
        <v>0</v>
      </c>
    </row>
    <row r="148" spans="1:16" ht="15" customHeight="1" x14ac:dyDescent="0.3">
      <c r="A148">
        <v>2014</v>
      </c>
      <c r="B148" s="2">
        <v>41813</v>
      </c>
      <c r="C148" t="s">
        <v>218</v>
      </c>
      <c r="D148" t="s">
        <v>45</v>
      </c>
      <c r="E148" t="s">
        <v>250</v>
      </c>
      <c r="F148" t="s">
        <v>20</v>
      </c>
      <c r="G148" t="s">
        <v>38</v>
      </c>
      <c r="H148" t="s">
        <v>39</v>
      </c>
      <c r="I148" t="s">
        <v>23</v>
      </c>
      <c r="J148" t="s">
        <v>27</v>
      </c>
      <c r="K148" s="3">
        <v>3304</v>
      </c>
      <c r="O148" s="4">
        <v>0</v>
      </c>
      <c r="P148" s="3">
        <v>0</v>
      </c>
    </row>
    <row r="149" spans="1:16" ht="15" customHeight="1" x14ac:dyDescent="0.3">
      <c r="A149">
        <v>2014</v>
      </c>
      <c r="B149" s="2">
        <v>41814</v>
      </c>
      <c r="C149" t="s">
        <v>218</v>
      </c>
      <c r="D149" t="s">
        <v>56</v>
      </c>
      <c r="E149" t="s">
        <v>251</v>
      </c>
      <c r="F149" t="s">
        <v>20</v>
      </c>
      <c r="G149" t="s">
        <v>21</v>
      </c>
      <c r="H149" t="s">
        <v>22</v>
      </c>
      <c r="I149" t="s">
        <v>23</v>
      </c>
      <c r="J149" t="s">
        <v>27</v>
      </c>
      <c r="K149" s="3">
        <v>3396.25</v>
      </c>
      <c r="O149" s="4">
        <v>0</v>
      </c>
      <c r="P149" s="3">
        <v>0</v>
      </c>
    </row>
    <row r="150" spans="1:16" ht="15" customHeight="1" x14ac:dyDescent="0.3">
      <c r="A150">
        <v>2014</v>
      </c>
      <c r="B150" s="2">
        <v>41814</v>
      </c>
      <c r="C150" t="s">
        <v>218</v>
      </c>
      <c r="D150" t="s">
        <v>56</v>
      </c>
      <c r="E150" t="s">
        <v>252</v>
      </c>
      <c r="F150" t="s">
        <v>20</v>
      </c>
      <c r="G150" t="s">
        <v>21</v>
      </c>
      <c r="H150" t="s">
        <v>22</v>
      </c>
      <c r="I150" t="s">
        <v>23</v>
      </c>
      <c r="J150" t="s">
        <v>27</v>
      </c>
      <c r="K150" s="3">
        <v>400</v>
      </c>
      <c r="O150" s="4">
        <v>0</v>
      </c>
      <c r="P150" s="3">
        <v>0</v>
      </c>
    </row>
    <row r="151" spans="1:16" ht="15" customHeight="1" x14ac:dyDescent="0.3">
      <c r="A151">
        <v>2014</v>
      </c>
      <c r="B151" s="2">
        <v>41815</v>
      </c>
      <c r="C151" t="s">
        <v>218</v>
      </c>
      <c r="D151" t="s">
        <v>253</v>
      </c>
      <c r="E151" t="s">
        <v>254</v>
      </c>
      <c r="F151" t="s">
        <v>20</v>
      </c>
      <c r="G151" t="s">
        <v>21</v>
      </c>
      <c r="H151" t="s">
        <v>22</v>
      </c>
      <c r="I151" t="s">
        <v>23</v>
      </c>
      <c r="J151" t="s">
        <v>110</v>
      </c>
      <c r="K151" s="3">
        <v>157139.81</v>
      </c>
      <c r="O151" s="4">
        <v>0</v>
      </c>
      <c r="P151" s="3">
        <v>0</v>
      </c>
    </row>
    <row r="152" spans="1:16" ht="15" customHeight="1" x14ac:dyDescent="0.3">
      <c r="A152">
        <v>2014</v>
      </c>
      <c r="B152" s="2">
        <v>41818</v>
      </c>
      <c r="C152" t="s">
        <v>218</v>
      </c>
      <c r="D152" t="s">
        <v>87</v>
      </c>
      <c r="E152" t="s">
        <v>255</v>
      </c>
      <c r="F152" t="s">
        <v>20</v>
      </c>
      <c r="G152" t="s">
        <v>38</v>
      </c>
      <c r="H152" t="s">
        <v>89</v>
      </c>
      <c r="I152" t="s">
        <v>23</v>
      </c>
      <c r="J152" t="s">
        <v>27</v>
      </c>
      <c r="K152" s="3">
        <v>9800</v>
      </c>
      <c r="O152" s="4">
        <v>0</v>
      </c>
      <c r="P152" s="3">
        <v>0</v>
      </c>
    </row>
    <row r="153" spans="1:16" ht="15" customHeight="1" x14ac:dyDescent="0.3">
      <c r="A153">
        <v>2014</v>
      </c>
      <c r="B153" s="2">
        <v>41818</v>
      </c>
      <c r="C153" t="s">
        <v>218</v>
      </c>
      <c r="D153" t="s">
        <v>83</v>
      </c>
      <c r="E153" t="s">
        <v>256</v>
      </c>
      <c r="F153" t="s">
        <v>20</v>
      </c>
      <c r="G153" t="s">
        <v>21</v>
      </c>
      <c r="H153" t="s">
        <v>22</v>
      </c>
      <c r="I153" t="s">
        <v>23</v>
      </c>
      <c r="J153" t="s">
        <v>27</v>
      </c>
      <c r="K153" s="3">
        <v>606.92999999999995</v>
      </c>
      <c r="O153" s="4">
        <v>0</v>
      </c>
      <c r="P153" s="3">
        <v>0</v>
      </c>
    </row>
    <row r="154" spans="1:16" ht="15" customHeight="1" x14ac:dyDescent="0.3">
      <c r="A154">
        <v>2014</v>
      </c>
      <c r="B154" s="2">
        <v>41820</v>
      </c>
      <c r="C154" t="s">
        <v>218</v>
      </c>
      <c r="D154" t="s">
        <v>47</v>
      </c>
      <c r="E154" t="s">
        <v>257</v>
      </c>
      <c r="F154" t="s">
        <v>20</v>
      </c>
      <c r="G154" t="s">
        <v>38</v>
      </c>
      <c r="H154" t="s">
        <v>39</v>
      </c>
      <c r="I154" t="s">
        <v>23</v>
      </c>
      <c r="J154" t="s">
        <v>27</v>
      </c>
      <c r="K154" s="3">
        <v>2191</v>
      </c>
      <c r="O154" s="4">
        <v>0</v>
      </c>
      <c r="P154" s="3">
        <v>0</v>
      </c>
    </row>
    <row r="155" spans="1:16" ht="15" customHeight="1" x14ac:dyDescent="0.3">
      <c r="A155">
        <v>2014</v>
      </c>
      <c r="B155" s="2">
        <v>41820</v>
      </c>
      <c r="C155" t="s">
        <v>218</v>
      </c>
      <c r="D155" t="s">
        <v>188</v>
      </c>
      <c r="E155" t="s">
        <v>258</v>
      </c>
      <c r="F155" t="s">
        <v>20</v>
      </c>
      <c r="G155" t="s">
        <v>21</v>
      </c>
      <c r="H155" t="s">
        <v>101</v>
      </c>
      <c r="I155" t="s">
        <v>23</v>
      </c>
      <c r="J155" t="s">
        <v>27</v>
      </c>
      <c r="K155" s="3">
        <v>7650</v>
      </c>
      <c r="O155" s="4">
        <v>0</v>
      </c>
      <c r="P155" s="3">
        <v>0</v>
      </c>
    </row>
    <row r="156" spans="1:16" ht="15" customHeight="1" x14ac:dyDescent="0.3">
      <c r="A156">
        <v>2014</v>
      </c>
      <c r="B156" s="2">
        <v>41820</v>
      </c>
      <c r="C156" t="s">
        <v>218</v>
      </c>
      <c r="D156" t="s">
        <v>188</v>
      </c>
      <c r="E156" t="s">
        <v>259</v>
      </c>
      <c r="F156" t="s">
        <v>20</v>
      </c>
      <c r="G156" t="s">
        <v>21</v>
      </c>
      <c r="H156" t="s">
        <v>22</v>
      </c>
      <c r="I156" t="s">
        <v>23</v>
      </c>
      <c r="J156" t="s">
        <v>27</v>
      </c>
      <c r="K156" s="3">
        <v>6450</v>
      </c>
      <c r="O156" s="4">
        <v>0</v>
      </c>
      <c r="P156" s="3">
        <v>0</v>
      </c>
    </row>
    <row r="157" spans="1:16" ht="15" customHeight="1" x14ac:dyDescent="0.3">
      <c r="A157">
        <v>2014</v>
      </c>
      <c r="B157" s="2">
        <v>41820</v>
      </c>
      <c r="C157" t="s">
        <v>218</v>
      </c>
      <c r="D157" t="s">
        <v>188</v>
      </c>
      <c r="E157" t="s">
        <v>260</v>
      </c>
      <c r="F157" t="s">
        <v>20</v>
      </c>
      <c r="G157" t="s">
        <v>107</v>
      </c>
      <c r="H157" t="s">
        <v>108</v>
      </c>
      <c r="I157" t="s">
        <v>23</v>
      </c>
      <c r="J157" t="s">
        <v>27</v>
      </c>
      <c r="K157" s="3">
        <v>1840</v>
      </c>
      <c r="O157" s="4">
        <v>0</v>
      </c>
      <c r="P157" s="3">
        <v>0</v>
      </c>
    </row>
    <row r="158" spans="1:16" ht="15" customHeight="1" x14ac:dyDescent="0.3">
      <c r="A158">
        <v>2014</v>
      </c>
      <c r="B158" s="2">
        <v>41820</v>
      </c>
      <c r="C158" t="s">
        <v>218</v>
      </c>
      <c r="D158" t="s">
        <v>56</v>
      </c>
      <c r="E158" t="s">
        <v>261</v>
      </c>
      <c r="F158" t="s">
        <v>20</v>
      </c>
      <c r="G158" t="s">
        <v>21</v>
      </c>
      <c r="H158" t="s">
        <v>22</v>
      </c>
      <c r="I158" t="s">
        <v>23</v>
      </c>
      <c r="J158" t="s">
        <v>27</v>
      </c>
      <c r="K158" s="3">
        <v>530</v>
      </c>
      <c r="O158" s="4">
        <v>0</v>
      </c>
      <c r="P158" s="3">
        <v>0</v>
      </c>
    </row>
    <row r="159" spans="1:16" ht="15" customHeight="1" x14ac:dyDescent="0.3">
      <c r="A159">
        <v>2014</v>
      </c>
      <c r="B159" s="2">
        <v>41821</v>
      </c>
      <c r="C159" t="s">
        <v>262</v>
      </c>
      <c r="D159" t="s">
        <v>61</v>
      </c>
      <c r="E159" t="s">
        <v>263</v>
      </c>
      <c r="F159" t="s">
        <v>20</v>
      </c>
      <c r="G159" t="s">
        <v>21</v>
      </c>
      <c r="H159" t="s">
        <v>22</v>
      </c>
      <c r="I159" t="s">
        <v>136</v>
      </c>
      <c r="J159" t="s">
        <v>123</v>
      </c>
      <c r="K159" s="3">
        <v>101187.94</v>
      </c>
      <c r="O159" s="4">
        <v>0</v>
      </c>
      <c r="P159" s="3">
        <v>0</v>
      </c>
    </row>
    <row r="160" spans="1:16" ht="15" customHeight="1" x14ac:dyDescent="0.3">
      <c r="A160">
        <v>2014</v>
      </c>
      <c r="B160" s="2">
        <v>41824</v>
      </c>
      <c r="C160" t="s">
        <v>262</v>
      </c>
      <c r="D160" t="s">
        <v>219</v>
      </c>
      <c r="E160" t="s">
        <v>264</v>
      </c>
      <c r="F160" t="s">
        <v>20</v>
      </c>
      <c r="G160" t="s">
        <v>38</v>
      </c>
      <c r="H160" t="s">
        <v>89</v>
      </c>
      <c r="I160" t="s">
        <v>23</v>
      </c>
      <c r="J160" t="s">
        <v>27</v>
      </c>
      <c r="K160" s="3">
        <v>5174</v>
      </c>
      <c r="O160" s="4">
        <v>0</v>
      </c>
      <c r="P160" s="3">
        <v>0</v>
      </c>
    </row>
    <row r="161" spans="1:16" ht="15" customHeight="1" x14ac:dyDescent="0.3">
      <c r="A161">
        <v>2014</v>
      </c>
      <c r="B161" s="2">
        <v>41824</v>
      </c>
      <c r="C161" t="s">
        <v>262</v>
      </c>
      <c r="D161" t="s">
        <v>265</v>
      </c>
      <c r="E161" t="s">
        <v>266</v>
      </c>
      <c r="F161" t="s">
        <v>20</v>
      </c>
      <c r="G161" t="s">
        <v>38</v>
      </c>
      <c r="H161" t="s">
        <v>89</v>
      </c>
      <c r="I161" t="s">
        <v>141</v>
      </c>
      <c r="J161" t="s">
        <v>123</v>
      </c>
      <c r="K161" s="3">
        <v>135152.09</v>
      </c>
      <c r="O161" s="4">
        <v>0</v>
      </c>
      <c r="P161" s="3">
        <v>0</v>
      </c>
    </row>
    <row r="162" spans="1:16" ht="15" customHeight="1" x14ac:dyDescent="0.3">
      <c r="A162">
        <v>2014</v>
      </c>
      <c r="B162" s="2">
        <v>41827</v>
      </c>
      <c r="C162" t="s">
        <v>262</v>
      </c>
      <c r="D162" t="s">
        <v>47</v>
      </c>
      <c r="E162" t="s">
        <v>267</v>
      </c>
      <c r="F162" t="s">
        <v>20</v>
      </c>
      <c r="G162" t="s">
        <v>38</v>
      </c>
      <c r="H162" t="s">
        <v>39</v>
      </c>
      <c r="I162" t="s">
        <v>23</v>
      </c>
      <c r="J162" t="s">
        <v>27</v>
      </c>
      <c r="K162" s="3">
        <v>2000</v>
      </c>
      <c r="O162" s="4">
        <v>0</v>
      </c>
      <c r="P162" s="3">
        <v>0</v>
      </c>
    </row>
    <row r="163" spans="1:16" ht="15" customHeight="1" x14ac:dyDescent="0.3">
      <c r="A163">
        <v>2014</v>
      </c>
      <c r="B163" s="2">
        <v>41829</v>
      </c>
      <c r="C163" t="s">
        <v>262</v>
      </c>
      <c r="D163" t="s">
        <v>188</v>
      </c>
      <c r="E163" t="s">
        <v>268</v>
      </c>
      <c r="F163" t="s">
        <v>20</v>
      </c>
      <c r="G163" t="s">
        <v>21</v>
      </c>
      <c r="H163" t="s">
        <v>22</v>
      </c>
      <c r="I163" t="s">
        <v>23</v>
      </c>
      <c r="J163" t="s">
        <v>27</v>
      </c>
      <c r="K163" s="3">
        <v>300</v>
      </c>
      <c r="O163" s="4">
        <v>0</v>
      </c>
      <c r="P163" s="3">
        <v>0</v>
      </c>
    </row>
    <row r="164" spans="1:16" ht="15" customHeight="1" x14ac:dyDescent="0.3">
      <c r="A164">
        <v>2014</v>
      </c>
      <c r="B164" s="2">
        <v>41829</v>
      </c>
      <c r="C164" t="s">
        <v>262</v>
      </c>
      <c r="D164" t="s">
        <v>174</v>
      </c>
      <c r="E164" t="s">
        <v>269</v>
      </c>
      <c r="F164" t="s">
        <v>20</v>
      </c>
      <c r="G164" t="s">
        <v>21</v>
      </c>
      <c r="H164" t="s">
        <v>176</v>
      </c>
      <c r="I164" t="s">
        <v>23</v>
      </c>
      <c r="J164" t="s">
        <v>27</v>
      </c>
      <c r="K164" s="3">
        <v>1607.33</v>
      </c>
      <c r="O164" s="4">
        <v>0</v>
      </c>
      <c r="P164" s="3">
        <v>0</v>
      </c>
    </row>
    <row r="165" spans="1:16" ht="15" customHeight="1" x14ac:dyDescent="0.3">
      <c r="A165">
        <v>2014</v>
      </c>
      <c r="B165" s="2">
        <v>41829</v>
      </c>
      <c r="C165" t="s">
        <v>262</v>
      </c>
      <c r="D165" t="s">
        <v>174</v>
      </c>
      <c r="E165" t="s">
        <v>270</v>
      </c>
      <c r="F165" t="s">
        <v>20</v>
      </c>
      <c r="G165" t="s">
        <v>21</v>
      </c>
      <c r="H165" t="s">
        <v>176</v>
      </c>
      <c r="I165" t="s">
        <v>23</v>
      </c>
      <c r="J165" t="s">
        <v>27</v>
      </c>
      <c r="K165" s="3">
        <v>681</v>
      </c>
      <c r="O165" s="4">
        <v>0</v>
      </c>
      <c r="P165" s="3">
        <v>0</v>
      </c>
    </row>
    <row r="166" spans="1:16" ht="15" customHeight="1" x14ac:dyDescent="0.3">
      <c r="A166">
        <v>2014</v>
      </c>
      <c r="B166" s="2">
        <v>41830</v>
      </c>
      <c r="C166" t="s">
        <v>262</v>
      </c>
      <c r="D166" t="s">
        <v>271</v>
      </c>
      <c r="E166" t="s">
        <v>272</v>
      </c>
      <c r="F166" t="s">
        <v>20</v>
      </c>
      <c r="G166" t="s">
        <v>38</v>
      </c>
      <c r="H166" t="s">
        <v>89</v>
      </c>
      <c r="I166" t="s">
        <v>141</v>
      </c>
      <c r="J166" t="s">
        <v>110</v>
      </c>
      <c r="K166" s="3">
        <v>15800</v>
      </c>
      <c r="O166" s="4">
        <v>0</v>
      </c>
      <c r="P166" s="3">
        <v>0</v>
      </c>
    </row>
    <row r="167" spans="1:16" ht="15" customHeight="1" x14ac:dyDescent="0.3">
      <c r="A167">
        <v>2014</v>
      </c>
      <c r="B167" s="2">
        <v>41830</v>
      </c>
      <c r="C167" t="s">
        <v>262</v>
      </c>
      <c r="D167" t="s">
        <v>18</v>
      </c>
      <c r="E167" t="s">
        <v>273</v>
      </c>
      <c r="F167" t="s">
        <v>20</v>
      </c>
      <c r="G167" t="s">
        <v>21</v>
      </c>
      <c r="H167" t="s">
        <v>22</v>
      </c>
      <c r="I167" t="s">
        <v>23</v>
      </c>
      <c r="J167" t="s">
        <v>27</v>
      </c>
      <c r="K167" s="3">
        <v>87.5</v>
      </c>
      <c r="O167" s="4">
        <v>0</v>
      </c>
      <c r="P167" s="3">
        <v>0</v>
      </c>
    </row>
    <row r="168" spans="1:16" ht="15" customHeight="1" x14ac:dyDescent="0.3">
      <c r="A168">
        <v>2014</v>
      </c>
      <c r="B168" s="2">
        <v>41835</v>
      </c>
      <c r="C168" t="s">
        <v>262</v>
      </c>
      <c r="D168" t="s">
        <v>232</v>
      </c>
      <c r="E168" t="s">
        <v>274</v>
      </c>
      <c r="F168" t="s">
        <v>20</v>
      </c>
      <c r="G168" t="s">
        <v>21</v>
      </c>
      <c r="H168" t="s">
        <v>22</v>
      </c>
      <c r="I168" t="s">
        <v>23</v>
      </c>
      <c r="J168" t="s">
        <v>27</v>
      </c>
      <c r="K168" s="3">
        <v>912.55</v>
      </c>
      <c r="O168" s="4">
        <v>0</v>
      </c>
      <c r="P168" s="3">
        <v>0</v>
      </c>
    </row>
    <row r="169" spans="1:16" ht="15" customHeight="1" x14ac:dyDescent="0.3">
      <c r="A169">
        <v>2014</v>
      </c>
      <c r="B169" s="2">
        <v>41835</v>
      </c>
      <c r="C169" t="s">
        <v>262</v>
      </c>
      <c r="D169" t="s">
        <v>45</v>
      </c>
      <c r="E169" t="s">
        <v>275</v>
      </c>
      <c r="F169" t="s">
        <v>20</v>
      </c>
      <c r="G169" t="s">
        <v>38</v>
      </c>
      <c r="H169" t="s">
        <v>39</v>
      </c>
      <c r="I169" t="s">
        <v>136</v>
      </c>
      <c r="J169" t="s">
        <v>50</v>
      </c>
      <c r="K169" s="3">
        <v>12400</v>
      </c>
      <c r="O169" s="4">
        <v>0</v>
      </c>
      <c r="P169" s="3">
        <v>0</v>
      </c>
    </row>
    <row r="170" spans="1:16" ht="15" customHeight="1" x14ac:dyDescent="0.3">
      <c r="A170">
        <v>2014</v>
      </c>
      <c r="B170" s="2">
        <v>41835</v>
      </c>
      <c r="C170" t="s">
        <v>262</v>
      </c>
      <c r="D170" t="s">
        <v>69</v>
      </c>
      <c r="E170" t="s">
        <v>276</v>
      </c>
      <c r="F170" t="s">
        <v>20</v>
      </c>
      <c r="G170" t="s">
        <v>21</v>
      </c>
      <c r="H170" t="s">
        <v>22</v>
      </c>
      <c r="I170" t="s">
        <v>136</v>
      </c>
      <c r="J170" t="s">
        <v>50</v>
      </c>
      <c r="K170" s="3">
        <v>12400</v>
      </c>
      <c r="O170" s="4">
        <v>0</v>
      </c>
      <c r="P170" s="3">
        <v>0</v>
      </c>
    </row>
    <row r="171" spans="1:16" ht="15" customHeight="1" x14ac:dyDescent="0.3">
      <c r="A171">
        <v>2014</v>
      </c>
      <c r="B171" s="2">
        <v>41838</v>
      </c>
      <c r="C171" t="s">
        <v>262</v>
      </c>
      <c r="D171" t="s">
        <v>145</v>
      </c>
      <c r="E171" t="s">
        <v>277</v>
      </c>
      <c r="F171" t="s">
        <v>20</v>
      </c>
      <c r="G171" t="s">
        <v>38</v>
      </c>
      <c r="H171" t="s">
        <v>147</v>
      </c>
      <c r="I171" t="s">
        <v>23</v>
      </c>
      <c r="J171" t="s">
        <v>27</v>
      </c>
      <c r="K171" s="3">
        <v>2750</v>
      </c>
      <c r="O171" s="4">
        <v>0</v>
      </c>
      <c r="P171" s="3">
        <v>0</v>
      </c>
    </row>
    <row r="172" spans="1:16" ht="15" customHeight="1" x14ac:dyDescent="0.3">
      <c r="A172">
        <v>2014</v>
      </c>
      <c r="B172" s="2">
        <v>41838</v>
      </c>
      <c r="C172" t="s">
        <v>262</v>
      </c>
      <c r="D172" t="s">
        <v>145</v>
      </c>
      <c r="E172" t="s">
        <v>278</v>
      </c>
      <c r="F172" t="s">
        <v>20</v>
      </c>
      <c r="G172" t="s">
        <v>38</v>
      </c>
      <c r="H172" t="s">
        <v>147</v>
      </c>
      <c r="I172" t="s">
        <v>23</v>
      </c>
      <c r="J172" t="s">
        <v>27</v>
      </c>
      <c r="K172" s="3">
        <v>650</v>
      </c>
      <c r="O172" s="4">
        <v>0</v>
      </c>
      <c r="P172" s="3">
        <v>0</v>
      </c>
    </row>
    <row r="173" spans="1:16" ht="15" customHeight="1" x14ac:dyDescent="0.3">
      <c r="A173">
        <v>2014</v>
      </c>
      <c r="B173" s="2">
        <v>41838</v>
      </c>
      <c r="C173" t="s">
        <v>262</v>
      </c>
      <c r="D173" t="s">
        <v>279</v>
      </c>
      <c r="E173" t="s">
        <v>280</v>
      </c>
      <c r="F173" t="s">
        <v>20</v>
      </c>
      <c r="G173" t="s">
        <v>21</v>
      </c>
      <c r="H173" t="s">
        <v>22</v>
      </c>
      <c r="I173" t="s">
        <v>141</v>
      </c>
      <c r="J173" t="s">
        <v>123</v>
      </c>
      <c r="K173" s="3">
        <v>298380.09999999998</v>
      </c>
      <c r="O173" s="4">
        <v>0</v>
      </c>
      <c r="P173" s="3">
        <v>0</v>
      </c>
    </row>
    <row r="174" spans="1:16" ht="15" customHeight="1" x14ac:dyDescent="0.3">
      <c r="A174">
        <v>2014</v>
      </c>
      <c r="B174" s="2">
        <v>41838</v>
      </c>
      <c r="C174" t="s">
        <v>262</v>
      </c>
      <c r="D174" t="s">
        <v>279</v>
      </c>
      <c r="E174" t="s">
        <v>281</v>
      </c>
      <c r="F174" t="s">
        <v>20</v>
      </c>
      <c r="G174" t="s">
        <v>21</v>
      </c>
      <c r="H174" t="s">
        <v>22</v>
      </c>
      <c r="I174" t="s">
        <v>136</v>
      </c>
      <c r="J174" t="s">
        <v>110</v>
      </c>
      <c r="K174" s="3">
        <v>59619.79</v>
      </c>
      <c r="O174" s="4">
        <v>0</v>
      </c>
      <c r="P174" s="3">
        <v>0</v>
      </c>
    </row>
    <row r="175" spans="1:16" ht="15" customHeight="1" x14ac:dyDescent="0.3">
      <c r="A175">
        <v>2014</v>
      </c>
      <c r="B175" s="2">
        <v>41839</v>
      </c>
      <c r="C175" t="s">
        <v>262</v>
      </c>
      <c r="D175" t="s">
        <v>69</v>
      </c>
      <c r="E175" t="s">
        <v>282</v>
      </c>
      <c r="F175" t="s">
        <v>20</v>
      </c>
      <c r="G175" t="s">
        <v>21</v>
      </c>
      <c r="H175" t="s">
        <v>22</v>
      </c>
      <c r="I175" t="s">
        <v>23</v>
      </c>
      <c r="J175" t="s">
        <v>27</v>
      </c>
      <c r="K175" s="3">
        <v>570</v>
      </c>
      <c r="O175" s="4">
        <v>0</v>
      </c>
      <c r="P175" s="3">
        <v>0</v>
      </c>
    </row>
    <row r="176" spans="1:16" ht="15" customHeight="1" x14ac:dyDescent="0.3">
      <c r="A176">
        <v>2014</v>
      </c>
      <c r="B176" s="2">
        <v>41841</v>
      </c>
      <c r="C176" t="s">
        <v>262</v>
      </c>
      <c r="D176" t="s">
        <v>283</v>
      </c>
      <c r="E176" t="s">
        <v>284</v>
      </c>
      <c r="F176" t="s">
        <v>20</v>
      </c>
      <c r="G176" t="s">
        <v>21</v>
      </c>
      <c r="H176" t="s">
        <v>22</v>
      </c>
      <c r="I176" t="s">
        <v>23</v>
      </c>
      <c r="J176" t="s">
        <v>27</v>
      </c>
      <c r="K176" s="3">
        <v>250</v>
      </c>
      <c r="O176" s="4">
        <v>0</v>
      </c>
      <c r="P176" s="3">
        <v>0</v>
      </c>
    </row>
    <row r="177" spans="1:16" ht="15" customHeight="1" x14ac:dyDescent="0.3">
      <c r="A177">
        <v>2014</v>
      </c>
      <c r="B177" s="2">
        <v>41842</v>
      </c>
      <c r="C177" t="s">
        <v>262</v>
      </c>
      <c r="D177" t="s">
        <v>271</v>
      </c>
      <c r="E177" t="s">
        <v>285</v>
      </c>
      <c r="F177" t="s">
        <v>20</v>
      </c>
      <c r="G177" t="s">
        <v>38</v>
      </c>
      <c r="H177" t="s">
        <v>89</v>
      </c>
      <c r="I177" t="s">
        <v>141</v>
      </c>
      <c r="J177" t="s">
        <v>110</v>
      </c>
      <c r="K177" s="3">
        <v>130680</v>
      </c>
      <c r="O177" s="4">
        <v>0</v>
      </c>
      <c r="P177" s="3">
        <v>0</v>
      </c>
    </row>
    <row r="178" spans="1:16" ht="15" customHeight="1" x14ac:dyDescent="0.3">
      <c r="A178">
        <v>2014</v>
      </c>
      <c r="B178" s="2">
        <v>41843</v>
      </c>
      <c r="C178" t="s">
        <v>262</v>
      </c>
      <c r="D178" t="s">
        <v>286</v>
      </c>
      <c r="E178" t="s">
        <v>287</v>
      </c>
      <c r="F178" t="s">
        <v>20</v>
      </c>
      <c r="G178" t="s">
        <v>21</v>
      </c>
      <c r="H178" t="s">
        <v>22</v>
      </c>
      <c r="I178" t="s">
        <v>23</v>
      </c>
      <c r="J178" t="s">
        <v>27</v>
      </c>
      <c r="K178" s="3">
        <v>250</v>
      </c>
      <c r="O178" s="4">
        <v>0</v>
      </c>
      <c r="P178" s="3">
        <v>0</v>
      </c>
    </row>
    <row r="179" spans="1:16" ht="15" customHeight="1" x14ac:dyDescent="0.3">
      <c r="A179">
        <v>2014</v>
      </c>
      <c r="B179" s="2">
        <v>41843</v>
      </c>
      <c r="C179" t="s">
        <v>262</v>
      </c>
      <c r="D179" t="s">
        <v>286</v>
      </c>
      <c r="E179" t="s">
        <v>288</v>
      </c>
      <c r="F179" t="s">
        <v>20</v>
      </c>
      <c r="G179" t="s">
        <v>21</v>
      </c>
      <c r="H179" t="s">
        <v>22</v>
      </c>
      <c r="I179" t="s">
        <v>23</v>
      </c>
      <c r="J179" t="s">
        <v>27</v>
      </c>
      <c r="K179" s="3">
        <v>180</v>
      </c>
      <c r="O179" s="4">
        <v>0</v>
      </c>
      <c r="P179" s="3">
        <v>0</v>
      </c>
    </row>
    <row r="180" spans="1:16" ht="15" customHeight="1" x14ac:dyDescent="0.3">
      <c r="A180">
        <v>2014</v>
      </c>
      <c r="B180" s="2">
        <v>41850</v>
      </c>
      <c r="C180" t="s">
        <v>262</v>
      </c>
      <c r="D180" t="s">
        <v>67</v>
      </c>
      <c r="E180" t="s">
        <v>289</v>
      </c>
      <c r="F180" t="s">
        <v>20</v>
      </c>
      <c r="G180" t="s">
        <v>21</v>
      </c>
      <c r="H180" t="s">
        <v>22</v>
      </c>
      <c r="I180" t="s">
        <v>23</v>
      </c>
      <c r="J180" t="s">
        <v>27</v>
      </c>
      <c r="K180" s="3">
        <v>320</v>
      </c>
      <c r="O180" s="4">
        <v>0</v>
      </c>
      <c r="P180" s="3">
        <v>0</v>
      </c>
    </row>
    <row r="181" spans="1:16" ht="15" customHeight="1" x14ac:dyDescent="0.3">
      <c r="A181">
        <v>2014</v>
      </c>
      <c r="B181" s="2">
        <v>41851</v>
      </c>
      <c r="C181" t="s">
        <v>262</v>
      </c>
      <c r="D181" t="s">
        <v>45</v>
      </c>
      <c r="E181" t="s">
        <v>290</v>
      </c>
      <c r="F181" t="s">
        <v>20</v>
      </c>
      <c r="G181" t="s">
        <v>38</v>
      </c>
      <c r="H181" t="s">
        <v>39</v>
      </c>
      <c r="I181" t="s">
        <v>23</v>
      </c>
      <c r="J181" t="s">
        <v>27</v>
      </c>
      <c r="K181" s="3">
        <v>4250</v>
      </c>
      <c r="O181" s="4">
        <v>0</v>
      </c>
      <c r="P181" s="3">
        <v>0</v>
      </c>
    </row>
    <row r="182" spans="1:16" ht="15" customHeight="1" x14ac:dyDescent="0.3">
      <c r="A182">
        <v>2014</v>
      </c>
      <c r="B182" s="2">
        <v>41852</v>
      </c>
      <c r="C182" t="s">
        <v>291</v>
      </c>
      <c r="D182" t="s">
        <v>45</v>
      </c>
      <c r="E182" t="s">
        <v>290</v>
      </c>
      <c r="F182" t="s">
        <v>20</v>
      </c>
      <c r="G182" t="s">
        <v>38</v>
      </c>
      <c r="H182" t="s">
        <v>39</v>
      </c>
      <c r="I182" t="s">
        <v>23</v>
      </c>
      <c r="J182" t="s">
        <v>27</v>
      </c>
      <c r="K182" s="3">
        <v>4830</v>
      </c>
      <c r="O182" s="4">
        <v>0</v>
      </c>
      <c r="P182" s="3">
        <v>0</v>
      </c>
    </row>
    <row r="183" spans="1:16" ht="15" customHeight="1" x14ac:dyDescent="0.3">
      <c r="A183">
        <v>2014</v>
      </c>
      <c r="B183" s="2">
        <v>41853</v>
      </c>
      <c r="C183" t="s">
        <v>291</v>
      </c>
      <c r="D183" t="s">
        <v>292</v>
      </c>
      <c r="E183" t="s">
        <v>293</v>
      </c>
      <c r="F183" t="s">
        <v>20</v>
      </c>
      <c r="G183" t="s">
        <v>21</v>
      </c>
      <c r="H183" t="s">
        <v>22</v>
      </c>
      <c r="I183" t="s">
        <v>136</v>
      </c>
      <c r="J183" t="s">
        <v>123</v>
      </c>
      <c r="K183" s="3">
        <v>346790.5</v>
      </c>
      <c r="O183" s="4">
        <v>0</v>
      </c>
      <c r="P183" s="3">
        <v>0</v>
      </c>
    </row>
    <row r="184" spans="1:16" ht="15" customHeight="1" x14ac:dyDescent="0.3">
      <c r="A184">
        <v>2014</v>
      </c>
      <c r="B184" s="2">
        <v>41855</v>
      </c>
      <c r="C184" t="s">
        <v>291</v>
      </c>
      <c r="D184" t="s">
        <v>47</v>
      </c>
      <c r="E184" t="s">
        <v>294</v>
      </c>
      <c r="F184" t="s">
        <v>20</v>
      </c>
      <c r="G184" t="s">
        <v>38</v>
      </c>
      <c r="H184" t="s">
        <v>39</v>
      </c>
      <c r="I184" t="s">
        <v>23</v>
      </c>
      <c r="J184" t="s">
        <v>27</v>
      </c>
      <c r="K184" s="3">
        <v>286.02</v>
      </c>
      <c r="O184" s="4">
        <v>0</v>
      </c>
      <c r="P184" s="3">
        <v>0</v>
      </c>
    </row>
    <row r="185" spans="1:16" ht="15" customHeight="1" x14ac:dyDescent="0.3">
      <c r="A185">
        <v>2014</v>
      </c>
      <c r="B185" s="2">
        <v>41856</v>
      </c>
      <c r="C185" t="s">
        <v>291</v>
      </c>
      <c r="D185" t="s">
        <v>40</v>
      </c>
      <c r="E185" t="s">
        <v>295</v>
      </c>
      <c r="F185" t="s">
        <v>20</v>
      </c>
      <c r="G185" t="s">
        <v>21</v>
      </c>
      <c r="H185" t="s">
        <v>22</v>
      </c>
      <c r="I185" t="s">
        <v>23</v>
      </c>
      <c r="J185" t="s">
        <v>110</v>
      </c>
      <c r="K185" s="3">
        <v>12500</v>
      </c>
      <c r="O185" s="4">
        <v>0</v>
      </c>
      <c r="P185" s="3">
        <v>0</v>
      </c>
    </row>
    <row r="186" spans="1:16" ht="15" customHeight="1" x14ac:dyDescent="0.3">
      <c r="A186">
        <v>2014</v>
      </c>
      <c r="B186" s="2">
        <v>41857</v>
      </c>
      <c r="C186" t="s">
        <v>291</v>
      </c>
      <c r="D186" t="s">
        <v>105</v>
      </c>
      <c r="E186" t="s">
        <v>296</v>
      </c>
      <c r="F186" t="s">
        <v>20</v>
      </c>
      <c r="G186" t="s">
        <v>107</v>
      </c>
      <c r="H186" t="s">
        <v>108</v>
      </c>
      <c r="I186" t="s">
        <v>23</v>
      </c>
      <c r="J186" t="s">
        <v>27</v>
      </c>
      <c r="K186" s="3">
        <v>1850</v>
      </c>
      <c r="O186" s="4">
        <v>0</v>
      </c>
      <c r="P186" s="3">
        <v>0</v>
      </c>
    </row>
    <row r="187" spans="1:16" ht="15" customHeight="1" x14ac:dyDescent="0.3">
      <c r="A187">
        <v>2014</v>
      </c>
      <c r="B187" s="2">
        <v>41858</v>
      </c>
      <c r="C187" t="s">
        <v>291</v>
      </c>
      <c r="D187" t="s">
        <v>45</v>
      </c>
      <c r="E187" t="s">
        <v>297</v>
      </c>
      <c r="F187" t="s">
        <v>20</v>
      </c>
      <c r="G187" t="s">
        <v>38</v>
      </c>
      <c r="H187" t="s">
        <v>39</v>
      </c>
      <c r="I187" t="s">
        <v>136</v>
      </c>
      <c r="J187" t="s">
        <v>123</v>
      </c>
      <c r="K187" s="3">
        <v>21000</v>
      </c>
      <c r="O187" s="4">
        <v>0</v>
      </c>
      <c r="P187" s="3">
        <v>0</v>
      </c>
    </row>
    <row r="188" spans="1:16" ht="15" customHeight="1" x14ac:dyDescent="0.3">
      <c r="A188">
        <v>2014</v>
      </c>
      <c r="B188" s="2">
        <v>41859</v>
      </c>
      <c r="C188" t="s">
        <v>291</v>
      </c>
      <c r="D188" t="s">
        <v>61</v>
      </c>
      <c r="E188" t="s">
        <v>298</v>
      </c>
      <c r="F188" t="s">
        <v>20</v>
      </c>
      <c r="G188" t="s">
        <v>21</v>
      </c>
      <c r="H188" t="s">
        <v>22</v>
      </c>
      <c r="I188" t="s">
        <v>23</v>
      </c>
      <c r="J188" t="s">
        <v>27</v>
      </c>
      <c r="K188" s="3">
        <v>3800</v>
      </c>
      <c r="O188" s="4">
        <v>0</v>
      </c>
      <c r="P188" s="3">
        <v>0</v>
      </c>
    </row>
    <row r="189" spans="1:16" ht="15" customHeight="1" x14ac:dyDescent="0.3">
      <c r="A189">
        <v>2014</v>
      </c>
      <c r="B189" s="2">
        <v>41860</v>
      </c>
      <c r="C189" t="s">
        <v>291</v>
      </c>
      <c r="D189" t="s">
        <v>265</v>
      </c>
      <c r="E189" t="s">
        <v>299</v>
      </c>
      <c r="F189" t="s">
        <v>20</v>
      </c>
      <c r="G189" t="s">
        <v>38</v>
      </c>
      <c r="H189" t="s">
        <v>89</v>
      </c>
      <c r="I189" t="s">
        <v>141</v>
      </c>
      <c r="J189" t="s">
        <v>123</v>
      </c>
      <c r="K189" s="3">
        <v>98215.85</v>
      </c>
      <c r="O189" s="4">
        <v>0</v>
      </c>
      <c r="P189" s="3">
        <v>0</v>
      </c>
    </row>
    <row r="190" spans="1:16" ht="15" customHeight="1" x14ac:dyDescent="0.3">
      <c r="A190">
        <v>2014</v>
      </c>
      <c r="B190" s="2">
        <v>41862</v>
      </c>
      <c r="C190" t="s">
        <v>291</v>
      </c>
      <c r="D190" t="s">
        <v>18</v>
      </c>
      <c r="E190" t="s">
        <v>300</v>
      </c>
      <c r="F190" t="s">
        <v>20</v>
      </c>
      <c r="G190" t="s">
        <v>21</v>
      </c>
      <c r="H190" t="s">
        <v>22</v>
      </c>
      <c r="I190" t="s">
        <v>23</v>
      </c>
      <c r="J190" t="s">
        <v>27</v>
      </c>
      <c r="K190" s="3">
        <v>890.1</v>
      </c>
      <c r="O190" s="4">
        <v>0</v>
      </c>
      <c r="P190" s="3">
        <v>0</v>
      </c>
    </row>
    <row r="191" spans="1:16" ht="15" customHeight="1" x14ac:dyDescent="0.3">
      <c r="A191">
        <v>2014</v>
      </c>
      <c r="B191" s="2">
        <v>41863</v>
      </c>
      <c r="C191" t="s">
        <v>291</v>
      </c>
      <c r="D191" t="s">
        <v>301</v>
      </c>
      <c r="E191" t="s">
        <v>302</v>
      </c>
      <c r="F191" t="s">
        <v>20</v>
      </c>
      <c r="G191" t="s">
        <v>21</v>
      </c>
      <c r="H191" t="s">
        <v>22</v>
      </c>
      <c r="I191" t="s">
        <v>122</v>
      </c>
      <c r="J191" t="s">
        <v>123</v>
      </c>
      <c r="K191" s="3">
        <v>483534.32</v>
      </c>
      <c r="O191" s="4">
        <v>0</v>
      </c>
      <c r="P191" s="3">
        <v>0</v>
      </c>
    </row>
    <row r="192" spans="1:16" ht="15" customHeight="1" x14ac:dyDescent="0.3">
      <c r="A192">
        <v>2014</v>
      </c>
      <c r="B192" s="2">
        <v>41863</v>
      </c>
      <c r="C192" t="s">
        <v>291</v>
      </c>
      <c r="D192" t="s">
        <v>301</v>
      </c>
      <c r="E192" t="s">
        <v>303</v>
      </c>
      <c r="F192" t="s">
        <v>20</v>
      </c>
      <c r="G192" t="s">
        <v>21</v>
      </c>
      <c r="H192" t="s">
        <v>22</v>
      </c>
      <c r="I192" t="s">
        <v>122</v>
      </c>
      <c r="J192" t="s">
        <v>123</v>
      </c>
      <c r="K192" s="3">
        <v>205265.76</v>
      </c>
      <c r="O192" s="4">
        <v>0</v>
      </c>
      <c r="P192" s="3">
        <v>0</v>
      </c>
    </row>
    <row r="193" spans="1:16" ht="15" customHeight="1" x14ac:dyDescent="0.3">
      <c r="A193">
        <v>2014</v>
      </c>
      <c r="B193" s="2">
        <v>41863</v>
      </c>
      <c r="C193" t="s">
        <v>291</v>
      </c>
      <c r="D193" t="s">
        <v>301</v>
      </c>
      <c r="E193" t="s">
        <v>304</v>
      </c>
      <c r="F193" t="s">
        <v>20</v>
      </c>
      <c r="G193" t="s">
        <v>21</v>
      </c>
      <c r="H193" t="s">
        <v>22</v>
      </c>
      <c r="I193" t="s">
        <v>122</v>
      </c>
      <c r="J193" t="s">
        <v>50</v>
      </c>
      <c r="K193" s="3">
        <v>104595</v>
      </c>
      <c r="O193" s="4">
        <v>0</v>
      </c>
      <c r="P193" s="3">
        <v>0</v>
      </c>
    </row>
    <row r="194" spans="1:16" ht="15" customHeight="1" x14ac:dyDescent="0.3">
      <c r="A194">
        <v>2014</v>
      </c>
      <c r="B194" s="2">
        <v>41867</v>
      </c>
      <c r="C194" t="s">
        <v>291</v>
      </c>
      <c r="D194" t="s">
        <v>36</v>
      </c>
      <c r="E194" t="s">
        <v>305</v>
      </c>
      <c r="F194" t="s">
        <v>20</v>
      </c>
      <c r="G194" t="s">
        <v>38</v>
      </c>
      <c r="H194" t="s">
        <v>39</v>
      </c>
      <c r="I194" t="s">
        <v>306</v>
      </c>
      <c r="J194" t="s">
        <v>110</v>
      </c>
      <c r="K194" s="3">
        <v>22930</v>
      </c>
      <c r="O194" s="4">
        <v>0</v>
      </c>
      <c r="P194" s="3">
        <v>0</v>
      </c>
    </row>
    <row r="195" spans="1:16" ht="15" customHeight="1" x14ac:dyDescent="0.3">
      <c r="A195">
        <v>2014</v>
      </c>
      <c r="B195" s="2">
        <v>41867</v>
      </c>
      <c r="C195" t="s">
        <v>291</v>
      </c>
      <c r="D195" t="s">
        <v>85</v>
      </c>
      <c r="E195" t="s">
        <v>307</v>
      </c>
      <c r="F195" t="s">
        <v>20</v>
      </c>
      <c r="G195" t="s">
        <v>21</v>
      </c>
      <c r="H195" t="s">
        <v>22</v>
      </c>
      <c r="I195" t="s">
        <v>23</v>
      </c>
      <c r="J195" t="s">
        <v>27</v>
      </c>
      <c r="K195" s="3">
        <v>270</v>
      </c>
      <c r="O195" s="4">
        <v>0</v>
      </c>
      <c r="P195" s="3">
        <v>0</v>
      </c>
    </row>
    <row r="196" spans="1:16" ht="15" customHeight="1" x14ac:dyDescent="0.3">
      <c r="A196">
        <v>2014</v>
      </c>
      <c r="B196" s="2">
        <v>41869</v>
      </c>
      <c r="C196" t="s">
        <v>291</v>
      </c>
      <c r="D196" t="s">
        <v>308</v>
      </c>
      <c r="E196" t="s">
        <v>309</v>
      </c>
      <c r="F196" t="s">
        <v>20</v>
      </c>
      <c r="G196" t="s">
        <v>38</v>
      </c>
      <c r="H196" t="s">
        <v>89</v>
      </c>
      <c r="I196" t="s">
        <v>136</v>
      </c>
      <c r="J196" t="s">
        <v>110</v>
      </c>
      <c r="K196" s="3">
        <v>18600</v>
      </c>
      <c r="O196" s="4">
        <v>0</v>
      </c>
      <c r="P196" s="3">
        <v>0</v>
      </c>
    </row>
    <row r="197" spans="1:16" ht="15" customHeight="1" x14ac:dyDescent="0.3">
      <c r="A197">
        <v>2014</v>
      </c>
      <c r="B197" s="2">
        <v>41869</v>
      </c>
      <c r="C197" t="s">
        <v>291</v>
      </c>
      <c r="D197" t="s">
        <v>301</v>
      </c>
      <c r="E197" t="s">
        <v>310</v>
      </c>
      <c r="F197" t="s">
        <v>20</v>
      </c>
      <c r="G197" t="s">
        <v>21</v>
      </c>
      <c r="H197" t="s">
        <v>22</v>
      </c>
      <c r="I197" t="s">
        <v>122</v>
      </c>
      <c r="J197" t="s">
        <v>50</v>
      </c>
      <c r="K197" s="3">
        <v>208444.25</v>
      </c>
      <c r="O197" s="4">
        <v>0</v>
      </c>
      <c r="P197" s="3">
        <v>0</v>
      </c>
    </row>
    <row r="198" spans="1:16" ht="15" customHeight="1" x14ac:dyDescent="0.3">
      <c r="A198">
        <v>2014</v>
      </c>
      <c r="B198" s="2">
        <v>41870</v>
      </c>
      <c r="C198" t="s">
        <v>291</v>
      </c>
      <c r="D198" t="s">
        <v>134</v>
      </c>
      <c r="E198" t="s">
        <v>311</v>
      </c>
      <c r="F198" t="s">
        <v>20</v>
      </c>
      <c r="G198" t="s">
        <v>107</v>
      </c>
      <c r="H198" t="s">
        <v>108</v>
      </c>
      <c r="I198" t="s">
        <v>136</v>
      </c>
      <c r="J198" t="s">
        <v>123</v>
      </c>
      <c r="K198" s="3">
        <v>60456.91</v>
      </c>
      <c r="O198" s="4">
        <v>0</v>
      </c>
      <c r="P198" s="3">
        <v>0</v>
      </c>
    </row>
    <row r="199" spans="1:16" ht="15" customHeight="1" x14ac:dyDescent="0.3">
      <c r="A199">
        <v>2014</v>
      </c>
      <c r="B199" s="2">
        <v>41871</v>
      </c>
      <c r="C199" t="s">
        <v>291</v>
      </c>
      <c r="D199" t="s">
        <v>69</v>
      </c>
      <c r="E199" t="s">
        <v>312</v>
      </c>
      <c r="F199" t="s">
        <v>20</v>
      </c>
      <c r="G199" t="s">
        <v>21</v>
      </c>
      <c r="H199" t="s">
        <v>22</v>
      </c>
      <c r="I199" t="s">
        <v>23</v>
      </c>
      <c r="J199" t="s">
        <v>27</v>
      </c>
      <c r="K199" s="3">
        <v>9395.85</v>
      </c>
      <c r="O199" s="4">
        <v>0</v>
      </c>
      <c r="P199" s="3">
        <v>0</v>
      </c>
    </row>
    <row r="200" spans="1:16" ht="15" customHeight="1" x14ac:dyDescent="0.3">
      <c r="A200">
        <v>2014</v>
      </c>
      <c r="B200" s="2">
        <v>41872</v>
      </c>
      <c r="C200" t="s">
        <v>291</v>
      </c>
      <c r="D200" t="s">
        <v>313</v>
      </c>
      <c r="E200" t="s">
        <v>314</v>
      </c>
      <c r="F200" t="s">
        <v>20</v>
      </c>
      <c r="G200" t="s">
        <v>21</v>
      </c>
      <c r="H200" t="s">
        <v>22</v>
      </c>
      <c r="I200" t="s">
        <v>23</v>
      </c>
      <c r="J200" t="s">
        <v>27</v>
      </c>
      <c r="K200" s="3">
        <v>1700</v>
      </c>
      <c r="O200" s="4">
        <v>0</v>
      </c>
      <c r="P200" s="3">
        <v>0</v>
      </c>
    </row>
    <row r="201" spans="1:16" ht="15" customHeight="1" x14ac:dyDescent="0.3">
      <c r="A201">
        <v>2014</v>
      </c>
      <c r="B201" s="2">
        <v>41872</v>
      </c>
      <c r="C201" t="s">
        <v>291</v>
      </c>
      <c r="D201" t="s">
        <v>59</v>
      </c>
      <c r="E201" t="s">
        <v>315</v>
      </c>
      <c r="F201" t="s">
        <v>20</v>
      </c>
      <c r="G201" t="s">
        <v>21</v>
      </c>
      <c r="H201" t="s">
        <v>22</v>
      </c>
      <c r="I201" t="s">
        <v>23</v>
      </c>
      <c r="J201" t="s">
        <v>27</v>
      </c>
      <c r="K201" s="3">
        <v>500</v>
      </c>
      <c r="O201" s="4">
        <v>0</v>
      </c>
      <c r="P201" s="3">
        <v>0</v>
      </c>
    </row>
    <row r="202" spans="1:16" ht="15" customHeight="1" x14ac:dyDescent="0.3">
      <c r="A202">
        <v>2014</v>
      </c>
      <c r="B202" s="2">
        <v>41872</v>
      </c>
      <c r="C202" t="s">
        <v>291</v>
      </c>
      <c r="D202" t="s">
        <v>56</v>
      </c>
      <c r="E202" t="s">
        <v>316</v>
      </c>
      <c r="F202" t="s">
        <v>20</v>
      </c>
      <c r="G202" t="s">
        <v>21</v>
      </c>
      <c r="H202" t="s">
        <v>22</v>
      </c>
      <c r="I202" t="s">
        <v>23</v>
      </c>
      <c r="J202" t="s">
        <v>27</v>
      </c>
      <c r="K202" s="3">
        <v>180</v>
      </c>
      <c r="O202" s="4">
        <v>0</v>
      </c>
      <c r="P202" s="3">
        <v>0</v>
      </c>
    </row>
    <row r="203" spans="1:16" ht="15" customHeight="1" x14ac:dyDescent="0.3">
      <c r="A203">
        <v>2014</v>
      </c>
      <c r="B203" s="2">
        <v>41873</v>
      </c>
      <c r="C203" t="s">
        <v>291</v>
      </c>
      <c r="D203" t="s">
        <v>18</v>
      </c>
      <c r="E203" t="s">
        <v>317</v>
      </c>
      <c r="F203" t="s">
        <v>20</v>
      </c>
      <c r="G203" t="s">
        <v>21</v>
      </c>
      <c r="H203" t="s">
        <v>22</v>
      </c>
      <c r="I203" t="s">
        <v>23</v>
      </c>
      <c r="J203" t="s">
        <v>27</v>
      </c>
      <c r="K203" s="3">
        <v>509.4</v>
      </c>
      <c r="O203" s="4">
        <v>0</v>
      </c>
      <c r="P203" s="3">
        <v>0</v>
      </c>
    </row>
    <row r="204" spans="1:16" ht="15" customHeight="1" x14ac:dyDescent="0.3">
      <c r="A204">
        <v>2014</v>
      </c>
      <c r="B204" s="2">
        <v>41874</v>
      </c>
      <c r="C204" t="s">
        <v>291</v>
      </c>
      <c r="D204" t="s">
        <v>18</v>
      </c>
      <c r="E204" t="s">
        <v>318</v>
      </c>
      <c r="F204" t="s">
        <v>20</v>
      </c>
      <c r="G204" t="s">
        <v>21</v>
      </c>
      <c r="H204" t="s">
        <v>22</v>
      </c>
      <c r="I204" t="s">
        <v>23</v>
      </c>
      <c r="J204" t="s">
        <v>27</v>
      </c>
      <c r="K204" s="3">
        <v>5508.48</v>
      </c>
      <c r="O204" s="4">
        <v>0</v>
      </c>
      <c r="P204" s="3">
        <v>0</v>
      </c>
    </row>
    <row r="205" spans="1:16" ht="15" customHeight="1" x14ac:dyDescent="0.3">
      <c r="A205">
        <v>2014</v>
      </c>
      <c r="B205" s="2">
        <v>41876</v>
      </c>
      <c r="C205" t="s">
        <v>291</v>
      </c>
      <c r="D205" t="s">
        <v>25</v>
      </c>
      <c r="E205" t="s">
        <v>319</v>
      </c>
      <c r="F205" t="s">
        <v>20</v>
      </c>
      <c r="G205" t="s">
        <v>21</v>
      </c>
      <c r="H205" t="s">
        <v>22</v>
      </c>
      <c r="I205" t="s">
        <v>23</v>
      </c>
      <c r="J205" t="s">
        <v>27</v>
      </c>
      <c r="K205" s="3">
        <v>182.03</v>
      </c>
      <c r="O205" s="4">
        <v>0</v>
      </c>
      <c r="P205" s="3">
        <v>0</v>
      </c>
    </row>
    <row r="206" spans="1:16" ht="15" customHeight="1" x14ac:dyDescent="0.3">
      <c r="A206">
        <v>2014</v>
      </c>
      <c r="B206" s="2">
        <v>41877</v>
      </c>
      <c r="C206" t="s">
        <v>291</v>
      </c>
      <c r="D206" t="s">
        <v>76</v>
      </c>
      <c r="E206" t="s">
        <v>320</v>
      </c>
      <c r="F206" t="s">
        <v>20</v>
      </c>
      <c r="G206" t="s">
        <v>21</v>
      </c>
      <c r="H206" t="s">
        <v>22</v>
      </c>
      <c r="I206" t="s">
        <v>23</v>
      </c>
      <c r="J206" t="s">
        <v>27</v>
      </c>
      <c r="K206" s="3">
        <v>6352.18</v>
      </c>
      <c r="O206" s="4">
        <v>0</v>
      </c>
      <c r="P206" s="3">
        <v>0</v>
      </c>
    </row>
    <row r="207" spans="1:16" ht="15" customHeight="1" x14ac:dyDescent="0.3">
      <c r="A207">
        <v>2014</v>
      </c>
      <c r="B207" s="2">
        <v>41878</v>
      </c>
      <c r="C207" t="s">
        <v>291</v>
      </c>
      <c r="D207" t="s">
        <v>45</v>
      </c>
      <c r="E207" t="s">
        <v>321</v>
      </c>
      <c r="F207" t="s">
        <v>20</v>
      </c>
      <c r="G207" t="s">
        <v>38</v>
      </c>
      <c r="H207" t="s">
        <v>39</v>
      </c>
      <c r="I207" t="s">
        <v>23</v>
      </c>
      <c r="J207" t="s">
        <v>27</v>
      </c>
      <c r="K207" s="3">
        <v>3200</v>
      </c>
      <c r="O207" s="4">
        <v>0</v>
      </c>
      <c r="P207" s="3">
        <v>0</v>
      </c>
    </row>
    <row r="208" spans="1:16" ht="15" customHeight="1" x14ac:dyDescent="0.3">
      <c r="A208">
        <v>2014</v>
      </c>
      <c r="B208" s="2">
        <v>41879</v>
      </c>
      <c r="C208" t="s">
        <v>291</v>
      </c>
      <c r="D208" t="s">
        <v>322</v>
      </c>
      <c r="E208" t="s">
        <v>323</v>
      </c>
      <c r="F208" t="s">
        <v>20</v>
      </c>
      <c r="G208" t="s">
        <v>38</v>
      </c>
      <c r="H208" t="s">
        <v>39</v>
      </c>
      <c r="I208" t="s">
        <v>23</v>
      </c>
      <c r="J208" t="s">
        <v>27</v>
      </c>
      <c r="K208" s="3">
        <v>1900</v>
      </c>
      <c r="O208" s="4">
        <v>0</v>
      </c>
      <c r="P208" s="3">
        <v>0</v>
      </c>
    </row>
    <row r="209" spans="1:16" ht="15" customHeight="1" x14ac:dyDescent="0.3">
      <c r="A209">
        <v>2014</v>
      </c>
      <c r="B209" s="2">
        <v>41879</v>
      </c>
      <c r="C209" t="s">
        <v>291</v>
      </c>
      <c r="D209" t="s">
        <v>67</v>
      </c>
      <c r="E209" t="s">
        <v>324</v>
      </c>
      <c r="F209" t="s">
        <v>20</v>
      </c>
      <c r="G209" t="s">
        <v>21</v>
      </c>
      <c r="H209" t="s">
        <v>22</v>
      </c>
      <c r="I209" t="s">
        <v>23</v>
      </c>
      <c r="J209" t="s">
        <v>27</v>
      </c>
      <c r="K209" s="3">
        <v>8000</v>
      </c>
      <c r="O209" s="4">
        <v>0</v>
      </c>
      <c r="P209" s="3">
        <v>0</v>
      </c>
    </row>
    <row r="210" spans="1:16" ht="15" customHeight="1" x14ac:dyDescent="0.3">
      <c r="A210">
        <v>2014</v>
      </c>
      <c r="B210" s="2">
        <v>41880</v>
      </c>
      <c r="C210" t="s">
        <v>291</v>
      </c>
      <c r="D210" t="s">
        <v>18</v>
      </c>
      <c r="E210" t="s">
        <v>317</v>
      </c>
      <c r="F210" t="s">
        <v>20</v>
      </c>
      <c r="G210" t="s">
        <v>21</v>
      </c>
      <c r="H210" t="s">
        <v>22</v>
      </c>
      <c r="I210" t="s">
        <v>23</v>
      </c>
      <c r="J210" t="s">
        <v>27</v>
      </c>
      <c r="K210" s="3">
        <v>656.27</v>
      </c>
      <c r="O210" s="4">
        <v>0</v>
      </c>
      <c r="P210" s="3">
        <v>0</v>
      </c>
    </row>
    <row r="211" spans="1:16" ht="15" customHeight="1" x14ac:dyDescent="0.3">
      <c r="A211">
        <v>2014</v>
      </c>
      <c r="B211" s="2">
        <v>41883</v>
      </c>
      <c r="C211" t="s">
        <v>325</v>
      </c>
      <c r="D211" t="s">
        <v>32</v>
      </c>
      <c r="E211" t="s">
        <v>326</v>
      </c>
      <c r="F211" t="s">
        <v>20</v>
      </c>
      <c r="G211" t="s">
        <v>21</v>
      </c>
      <c r="H211" t="s">
        <v>22</v>
      </c>
      <c r="I211" t="s">
        <v>23</v>
      </c>
      <c r="J211" t="s">
        <v>27</v>
      </c>
      <c r="K211" s="3">
        <v>350</v>
      </c>
      <c r="O211" s="4">
        <v>0</v>
      </c>
      <c r="P211" s="3">
        <v>0</v>
      </c>
    </row>
    <row r="212" spans="1:16" ht="15" customHeight="1" x14ac:dyDescent="0.3">
      <c r="A212">
        <v>2014</v>
      </c>
      <c r="B212" s="2">
        <v>41883</v>
      </c>
      <c r="C212" t="s">
        <v>325</v>
      </c>
      <c r="D212" t="s">
        <v>194</v>
      </c>
      <c r="E212" t="s">
        <v>327</v>
      </c>
      <c r="F212" t="s">
        <v>20</v>
      </c>
      <c r="G212" t="s">
        <v>21</v>
      </c>
      <c r="H212" t="s">
        <v>22</v>
      </c>
      <c r="I212" t="s">
        <v>23</v>
      </c>
      <c r="J212" t="s">
        <v>27</v>
      </c>
      <c r="K212" s="3">
        <v>2937.76</v>
      </c>
      <c r="O212" s="4">
        <v>0</v>
      </c>
      <c r="P212" s="3">
        <v>0</v>
      </c>
    </row>
    <row r="213" spans="1:16" ht="15" customHeight="1" x14ac:dyDescent="0.3">
      <c r="A213">
        <v>2014</v>
      </c>
      <c r="B213" s="2">
        <v>41884</v>
      </c>
      <c r="C213" t="s">
        <v>325</v>
      </c>
      <c r="D213" t="s">
        <v>328</v>
      </c>
      <c r="E213" t="s">
        <v>329</v>
      </c>
      <c r="F213" t="s">
        <v>20</v>
      </c>
      <c r="G213" t="s">
        <v>21</v>
      </c>
      <c r="H213" t="s">
        <v>22</v>
      </c>
      <c r="I213" t="s">
        <v>23</v>
      </c>
      <c r="J213" t="s">
        <v>27</v>
      </c>
      <c r="K213" s="3">
        <v>1600</v>
      </c>
      <c r="O213" s="4">
        <v>0</v>
      </c>
      <c r="P213" s="3">
        <v>0</v>
      </c>
    </row>
    <row r="214" spans="1:16" ht="15" customHeight="1" x14ac:dyDescent="0.3">
      <c r="A214">
        <v>2014</v>
      </c>
      <c r="B214" s="2">
        <v>41886</v>
      </c>
      <c r="C214" t="s">
        <v>325</v>
      </c>
      <c r="D214" t="s">
        <v>232</v>
      </c>
      <c r="E214" t="s">
        <v>330</v>
      </c>
      <c r="F214" t="s">
        <v>20</v>
      </c>
      <c r="G214" t="s">
        <v>21</v>
      </c>
      <c r="H214" t="s">
        <v>101</v>
      </c>
      <c r="I214" t="s">
        <v>141</v>
      </c>
      <c r="J214" t="s">
        <v>123</v>
      </c>
      <c r="K214" s="3">
        <v>94334.83</v>
      </c>
      <c r="O214" s="4">
        <v>0</v>
      </c>
      <c r="P214" s="3">
        <v>0</v>
      </c>
    </row>
    <row r="215" spans="1:16" ht="15" customHeight="1" x14ac:dyDescent="0.3">
      <c r="A215">
        <v>2014</v>
      </c>
      <c r="B215" s="2">
        <v>41886</v>
      </c>
      <c r="C215" t="s">
        <v>325</v>
      </c>
      <c r="D215" t="s">
        <v>279</v>
      </c>
      <c r="E215" t="s">
        <v>331</v>
      </c>
      <c r="F215" t="s">
        <v>20</v>
      </c>
      <c r="G215" t="s">
        <v>21</v>
      </c>
      <c r="H215" t="s">
        <v>22</v>
      </c>
      <c r="I215" t="s">
        <v>23</v>
      </c>
      <c r="J215" t="s">
        <v>27</v>
      </c>
      <c r="K215" s="3">
        <v>625.5</v>
      </c>
      <c r="O215" s="4">
        <v>0</v>
      </c>
      <c r="P215" s="3">
        <v>0</v>
      </c>
    </row>
    <row r="216" spans="1:16" ht="15" customHeight="1" x14ac:dyDescent="0.3">
      <c r="A216">
        <v>2014</v>
      </c>
      <c r="B216" s="2">
        <v>41890</v>
      </c>
      <c r="C216" t="s">
        <v>325</v>
      </c>
      <c r="D216" t="s">
        <v>18</v>
      </c>
      <c r="E216" t="s">
        <v>317</v>
      </c>
      <c r="F216" t="s">
        <v>20</v>
      </c>
      <c r="G216" t="s">
        <v>21</v>
      </c>
      <c r="H216" t="s">
        <v>22</v>
      </c>
      <c r="I216" t="s">
        <v>23</v>
      </c>
      <c r="J216" t="s">
        <v>27</v>
      </c>
      <c r="K216" s="3">
        <v>793.78</v>
      </c>
      <c r="O216" s="4">
        <v>0</v>
      </c>
      <c r="P216" s="3">
        <v>0</v>
      </c>
    </row>
    <row r="217" spans="1:16" ht="15" customHeight="1" x14ac:dyDescent="0.3">
      <c r="A217">
        <v>2014</v>
      </c>
      <c r="B217" s="2">
        <v>41890</v>
      </c>
      <c r="C217" t="s">
        <v>325</v>
      </c>
      <c r="D217" t="s">
        <v>332</v>
      </c>
      <c r="E217" t="s">
        <v>333</v>
      </c>
      <c r="F217" t="s">
        <v>20</v>
      </c>
      <c r="G217" t="s">
        <v>38</v>
      </c>
      <c r="H217" t="s">
        <v>89</v>
      </c>
      <c r="I217" t="s">
        <v>334</v>
      </c>
      <c r="J217" t="s">
        <v>123</v>
      </c>
      <c r="K217" s="3">
        <v>62943.73</v>
      </c>
      <c r="O217" s="4">
        <v>0</v>
      </c>
      <c r="P217" s="3">
        <v>0</v>
      </c>
    </row>
    <row r="218" spans="1:16" ht="15" customHeight="1" x14ac:dyDescent="0.3">
      <c r="A218">
        <v>2014</v>
      </c>
      <c r="B218" s="2">
        <v>41892</v>
      </c>
      <c r="C218" t="s">
        <v>325</v>
      </c>
      <c r="D218" t="s">
        <v>18</v>
      </c>
      <c r="E218" t="s">
        <v>288</v>
      </c>
      <c r="F218" t="s">
        <v>20</v>
      </c>
      <c r="G218" t="s">
        <v>21</v>
      </c>
      <c r="H218" t="s">
        <v>22</v>
      </c>
      <c r="I218" t="s">
        <v>23</v>
      </c>
      <c r="J218" t="s">
        <v>27</v>
      </c>
      <c r="K218" s="3">
        <v>729.17</v>
      </c>
      <c r="O218" s="4">
        <v>0</v>
      </c>
      <c r="P218" s="3">
        <v>0</v>
      </c>
    </row>
    <row r="219" spans="1:16" ht="15" customHeight="1" x14ac:dyDescent="0.3">
      <c r="A219">
        <v>2014</v>
      </c>
      <c r="B219" s="2">
        <v>41892</v>
      </c>
      <c r="C219" t="s">
        <v>325</v>
      </c>
      <c r="D219" t="s">
        <v>179</v>
      </c>
      <c r="E219" t="s">
        <v>335</v>
      </c>
      <c r="F219" t="s">
        <v>20</v>
      </c>
      <c r="G219" t="s">
        <v>38</v>
      </c>
      <c r="H219" t="s">
        <v>89</v>
      </c>
      <c r="I219" t="s">
        <v>23</v>
      </c>
      <c r="J219" t="s">
        <v>27</v>
      </c>
      <c r="K219" s="3">
        <v>1710</v>
      </c>
      <c r="O219" s="4">
        <v>0</v>
      </c>
      <c r="P219" s="3">
        <v>0</v>
      </c>
    </row>
    <row r="220" spans="1:16" ht="15" customHeight="1" x14ac:dyDescent="0.3">
      <c r="A220">
        <v>2014</v>
      </c>
      <c r="B220" s="2">
        <v>41892</v>
      </c>
      <c r="C220" t="s">
        <v>325</v>
      </c>
      <c r="D220" t="s">
        <v>179</v>
      </c>
      <c r="E220" t="s">
        <v>317</v>
      </c>
      <c r="F220" t="s">
        <v>20</v>
      </c>
      <c r="G220" t="s">
        <v>38</v>
      </c>
      <c r="H220" t="s">
        <v>89</v>
      </c>
      <c r="I220" t="s">
        <v>23</v>
      </c>
      <c r="J220" t="s">
        <v>27</v>
      </c>
      <c r="K220" s="3">
        <v>1080</v>
      </c>
      <c r="O220" s="4">
        <v>0</v>
      </c>
      <c r="P220" s="3">
        <v>0</v>
      </c>
    </row>
    <row r="221" spans="1:16" ht="15" customHeight="1" x14ac:dyDescent="0.3">
      <c r="A221">
        <v>2014</v>
      </c>
      <c r="B221" s="2">
        <v>41892</v>
      </c>
      <c r="C221" t="s">
        <v>325</v>
      </c>
      <c r="D221" t="s">
        <v>161</v>
      </c>
      <c r="E221" t="s">
        <v>297</v>
      </c>
      <c r="F221" t="s">
        <v>20</v>
      </c>
      <c r="G221" t="s">
        <v>38</v>
      </c>
      <c r="H221" t="s">
        <v>147</v>
      </c>
      <c r="I221" t="s">
        <v>136</v>
      </c>
      <c r="J221" t="s">
        <v>123</v>
      </c>
      <c r="K221" s="3">
        <v>24577.61</v>
      </c>
      <c r="O221" s="4">
        <v>0</v>
      </c>
      <c r="P221" s="3">
        <v>0</v>
      </c>
    </row>
    <row r="222" spans="1:16" ht="15" customHeight="1" x14ac:dyDescent="0.3">
      <c r="A222">
        <v>2014</v>
      </c>
      <c r="B222" s="2">
        <v>41894</v>
      </c>
      <c r="C222" t="s">
        <v>325</v>
      </c>
      <c r="D222" t="s">
        <v>292</v>
      </c>
      <c r="E222" t="s">
        <v>336</v>
      </c>
      <c r="F222" t="s">
        <v>20</v>
      </c>
      <c r="G222" t="s">
        <v>21</v>
      </c>
      <c r="H222" t="s">
        <v>22</v>
      </c>
      <c r="I222" t="s">
        <v>141</v>
      </c>
      <c r="J222" t="s">
        <v>123</v>
      </c>
      <c r="K222" s="3">
        <v>133211.16</v>
      </c>
      <c r="O222" s="4">
        <v>0</v>
      </c>
      <c r="P222" s="3">
        <v>0</v>
      </c>
    </row>
    <row r="223" spans="1:16" ht="15" customHeight="1" x14ac:dyDescent="0.3">
      <c r="A223">
        <v>2014</v>
      </c>
      <c r="B223" s="2">
        <v>41897</v>
      </c>
      <c r="C223" t="s">
        <v>325</v>
      </c>
      <c r="D223" t="s">
        <v>337</v>
      </c>
      <c r="E223" t="s">
        <v>338</v>
      </c>
      <c r="F223" t="s">
        <v>20</v>
      </c>
      <c r="G223" t="s">
        <v>107</v>
      </c>
      <c r="H223" t="s">
        <v>108</v>
      </c>
      <c r="I223" t="s">
        <v>136</v>
      </c>
      <c r="J223" t="s">
        <v>123</v>
      </c>
      <c r="K223" s="3">
        <v>92656.92</v>
      </c>
      <c r="O223" s="4">
        <v>0</v>
      </c>
      <c r="P223" s="3">
        <v>0</v>
      </c>
    </row>
    <row r="224" spans="1:16" ht="15" customHeight="1" x14ac:dyDescent="0.3">
      <c r="A224">
        <v>2014</v>
      </c>
      <c r="B224" s="2">
        <v>41898</v>
      </c>
      <c r="C224" t="s">
        <v>325</v>
      </c>
      <c r="D224" t="s">
        <v>53</v>
      </c>
      <c r="E224" t="s">
        <v>339</v>
      </c>
      <c r="F224" t="s">
        <v>20</v>
      </c>
      <c r="G224" t="s">
        <v>21</v>
      </c>
      <c r="H224" t="s">
        <v>22</v>
      </c>
      <c r="I224" t="s">
        <v>23</v>
      </c>
      <c r="J224" t="s">
        <v>27</v>
      </c>
      <c r="K224" s="3">
        <v>400</v>
      </c>
      <c r="O224" s="4">
        <v>0</v>
      </c>
      <c r="P224" s="3">
        <v>0</v>
      </c>
    </row>
    <row r="225" spans="1:16" ht="15" customHeight="1" x14ac:dyDescent="0.3">
      <c r="A225">
        <v>2014</v>
      </c>
      <c r="B225" s="2">
        <v>41899</v>
      </c>
      <c r="C225" t="s">
        <v>325</v>
      </c>
      <c r="D225" t="s">
        <v>265</v>
      </c>
      <c r="E225" t="s">
        <v>340</v>
      </c>
      <c r="F225" t="s">
        <v>20</v>
      </c>
      <c r="G225" t="s">
        <v>38</v>
      </c>
      <c r="H225" t="s">
        <v>89</v>
      </c>
      <c r="I225" t="s">
        <v>141</v>
      </c>
      <c r="J225" t="s">
        <v>123</v>
      </c>
      <c r="K225" s="3">
        <v>36874.79</v>
      </c>
      <c r="O225" s="4">
        <v>0</v>
      </c>
      <c r="P225" s="3">
        <v>0</v>
      </c>
    </row>
    <row r="226" spans="1:16" ht="15" customHeight="1" x14ac:dyDescent="0.3">
      <c r="A226">
        <v>2014</v>
      </c>
      <c r="B226" s="2">
        <v>41899</v>
      </c>
      <c r="C226" t="s">
        <v>325</v>
      </c>
      <c r="D226" t="s">
        <v>199</v>
      </c>
      <c r="E226" t="s">
        <v>341</v>
      </c>
      <c r="F226" t="s">
        <v>20</v>
      </c>
      <c r="G226" t="s">
        <v>21</v>
      </c>
      <c r="H226" t="s">
        <v>22</v>
      </c>
      <c r="I226" t="s">
        <v>136</v>
      </c>
      <c r="J226" t="s">
        <v>123</v>
      </c>
      <c r="K226" s="3">
        <v>121003.13</v>
      </c>
      <c r="O226" s="4">
        <v>0</v>
      </c>
      <c r="P226" s="3">
        <v>0</v>
      </c>
    </row>
    <row r="227" spans="1:16" ht="15" customHeight="1" x14ac:dyDescent="0.3">
      <c r="A227">
        <v>2014</v>
      </c>
      <c r="B227" s="2">
        <v>41900</v>
      </c>
      <c r="C227" t="s">
        <v>325</v>
      </c>
      <c r="D227" t="s">
        <v>53</v>
      </c>
      <c r="E227" t="s">
        <v>342</v>
      </c>
      <c r="F227" t="s">
        <v>20</v>
      </c>
      <c r="G227" t="s">
        <v>21</v>
      </c>
      <c r="H227" t="s">
        <v>22</v>
      </c>
      <c r="I227" t="s">
        <v>23</v>
      </c>
      <c r="J227" t="s">
        <v>27</v>
      </c>
      <c r="K227" s="3">
        <v>7600</v>
      </c>
      <c r="O227" s="4">
        <v>0</v>
      </c>
      <c r="P227" s="3">
        <v>0</v>
      </c>
    </row>
    <row r="228" spans="1:16" ht="15" customHeight="1" x14ac:dyDescent="0.3">
      <c r="A228">
        <v>2014</v>
      </c>
      <c r="B228" s="2">
        <v>41900</v>
      </c>
      <c r="C228" t="s">
        <v>325</v>
      </c>
      <c r="D228" t="s">
        <v>343</v>
      </c>
      <c r="E228" t="s">
        <v>344</v>
      </c>
      <c r="F228" t="s">
        <v>20</v>
      </c>
      <c r="G228" t="s">
        <v>21</v>
      </c>
      <c r="H228" t="s">
        <v>22</v>
      </c>
      <c r="I228" t="s">
        <v>23</v>
      </c>
      <c r="J228" t="s">
        <v>27</v>
      </c>
      <c r="K228" s="3">
        <v>419.6</v>
      </c>
      <c r="O228" s="4">
        <v>0</v>
      </c>
      <c r="P228" s="3">
        <v>0</v>
      </c>
    </row>
    <row r="229" spans="1:16" ht="15" customHeight="1" x14ac:dyDescent="0.3">
      <c r="A229">
        <v>2014</v>
      </c>
      <c r="B229" s="2">
        <v>41900</v>
      </c>
      <c r="C229" t="s">
        <v>325</v>
      </c>
      <c r="D229" t="s">
        <v>163</v>
      </c>
      <c r="E229" t="s">
        <v>345</v>
      </c>
      <c r="F229" t="s">
        <v>20</v>
      </c>
      <c r="G229" t="s">
        <v>38</v>
      </c>
      <c r="H229" t="s">
        <v>89</v>
      </c>
      <c r="I229" t="s">
        <v>23</v>
      </c>
      <c r="J229" t="s">
        <v>27</v>
      </c>
      <c r="K229" s="3">
        <v>8492.16</v>
      </c>
      <c r="O229" s="4">
        <v>0</v>
      </c>
      <c r="P229" s="3">
        <v>0</v>
      </c>
    </row>
    <row r="230" spans="1:16" ht="15" customHeight="1" x14ac:dyDescent="0.3">
      <c r="A230">
        <v>2014</v>
      </c>
      <c r="B230" s="2">
        <v>41901</v>
      </c>
      <c r="C230" t="s">
        <v>325</v>
      </c>
      <c r="D230" t="s">
        <v>18</v>
      </c>
      <c r="E230" t="s">
        <v>346</v>
      </c>
      <c r="F230" t="s">
        <v>20</v>
      </c>
      <c r="G230" t="s">
        <v>21</v>
      </c>
      <c r="H230" t="s">
        <v>22</v>
      </c>
      <c r="I230" t="s">
        <v>23</v>
      </c>
      <c r="J230" t="s">
        <v>27</v>
      </c>
      <c r="K230" s="3">
        <v>335.49</v>
      </c>
      <c r="O230" s="4">
        <v>0</v>
      </c>
      <c r="P230" s="3">
        <v>0</v>
      </c>
    </row>
    <row r="231" spans="1:16" ht="15" customHeight="1" x14ac:dyDescent="0.3">
      <c r="A231">
        <v>2014</v>
      </c>
      <c r="B231" s="2">
        <v>41904</v>
      </c>
      <c r="C231" t="s">
        <v>325</v>
      </c>
      <c r="D231" t="s">
        <v>313</v>
      </c>
      <c r="E231" t="s">
        <v>347</v>
      </c>
      <c r="F231" t="s">
        <v>20</v>
      </c>
      <c r="G231" t="s">
        <v>21</v>
      </c>
      <c r="H231" t="s">
        <v>22</v>
      </c>
      <c r="I231" t="s">
        <v>23</v>
      </c>
      <c r="J231" t="s">
        <v>27</v>
      </c>
      <c r="K231" s="3">
        <v>1500</v>
      </c>
      <c r="O231" s="4">
        <v>0</v>
      </c>
      <c r="P231" s="3">
        <v>0</v>
      </c>
    </row>
    <row r="232" spans="1:16" ht="15" customHeight="1" x14ac:dyDescent="0.3">
      <c r="A232">
        <v>2014</v>
      </c>
      <c r="B232" s="2">
        <v>41907</v>
      </c>
      <c r="C232" t="s">
        <v>325</v>
      </c>
      <c r="D232" t="s">
        <v>76</v>
      </c>
      <c r="E232" t="s">
        <v>348</v>
      </c>
      <c r="F232" t="s">
        <v>20</v>
      </c>
      <c r="G232" t="s">
        <v>21</v>
      </c>
      <c r="H232" t="s">
        <v>22</v>
      </c>
      <c r="I232" t="s">
        <v>23</v>
      </c>
      <c r="J232" t="s">
        <v>27</v>
      </c>
      <c r="K232" s="3">
        <v>6761.29</v>
      </c>
      <c r="O232" s="4">
        <v>0</v>
      </c>
      <c r="P232" s="3">
        <v>0</v>
      </c>
    </row>
    <row r="233" spans="1:16" ht="15" customHeight="1" x14ac:dyDescent="0.3">
      <c r="A233">
        <v>2014</v>
      </c>
      <c r="B233" s="2">
        <v>41907</v>
      </c>
      <c r="C233" t="s">
        <v>325</v>
      </c>
      <c r="D233" t="s">
        <v>349</v>
      </c>
      <c r="E233" t="s">
        <v>350</v>
      </c>
      <c r="F233" t="s">
        <v>20</v>
      </c>
      <c r="G233" t="s">
        <v>21</v>
      </c>
      <c r="H233" t="s">
        <v>22</v>
      </c>
      <c r="I233" t="s">
        <v>23</v>
      </c>
      <c r="J233" t="s">
        <v>110</v>
      </c>
      <c r="K233" s="3">
        <v>25074.73</v>
      </c>
      <c r="O233" s="4">
        <v>0</v>
      </c>
      <c r="P233" s="3">
        <v>0</v>
      </c>
    </row>
    <row r="234" spans="1:16" ht="15" customHeight="1" x14ac:dyDescent="0.3">
      <c r="A234">
        <v>2014</v>
      </c>
      <c r="B234" s="2">
        <v>41907</v>
      </c>
      <c r="C234" t="s">
        <v>325</v>
      </c>
      <c r="D234" t="s">
        <v>292</v>
      </c>
      <c r="E234" t="s">
        <v>351</v>
      </c>
      <c r="F234" t="s">
        <v>20</v>
      </c>
      <c r="G234" t="s">
        <v>21</v>
      </c>
      <c r="H234" t="s">
        <v>22</v>
      </c>
      <c r="I234" t="s">
        <v>136</v>
      </c>
      <c r="J234" t="s">
        <v>123</v>
      </c>
      <c r="K234" s="3">
        <v>25200</v>
      </c>
      <c r="O234" s="4">
        <v>0</v>
      </c>
      <c r="P234" s="3">
        <v>0</v>
      </c>
    </row>
    <row r="235" spans="1:16" ht="15" customHeight="1" x14ac:dyDescent="0.3">
      <c r="A235">
        <v>2014</v>
      </c>
      <c r="B235" s="2">
        <v>41908</v>
      </c>
      <c r="C235" t="s">
        <v>325</v>
      </c>
      <c r="D235" t="s">
        <v>142</v>
      </c>
      <c r="E235" t="s">
        <v>352</v>
      </c>
      <c r="F235" t="s">
        <v>20</v>
      </c>
      <c r="G235" t="s">
        <v>38</v>
      </c>
      <c r="H235" t="s">
        <v>89</v>
      </c>
      <c r="I235" t="s">
        <v>23</v>
      </c>
      <c r="J235" t="s">
        <v>27</v>
      </c>
      <c r="K235" s="3">
        <v>2660.1</v>
      </c>
      <c r="O235" s="4">
        <v>0</v>
      </c>
      <c r="P235" s="3">
        <v>0</v>
      </c>
    </row>
    <row r="236" spans="1:16" ht="15" customHeight="1" x14ac:dyDescent="0.3">
      <c r="A236">
        <v>2014</v>
      </c>
      <c r="B236" s="2">
        <v>41908</v>
      </c>
      <c r="C236" t="s">
        <v>325</v>
      </c>
      <c r="D236" t="s">
        <v>353</v>
      </c>
      <c r="E236" t="s">
        <v>354</v>
      </c>
      <c r="F236" t="s">
        <v>20</v>
      </c>
      <c r="G236" t="s">
        <v>21</v>
      </c>
      <c r="H236" t="s">
        <v>22</v>
      </c>
      <c r="I236" t="s">
        <v>23</v>
      </c>
      <c r="J236" t="s">
        <v>27</v>
      </c>
      <c r="K236" s="3">
        <v>1350</v>
      </c>
      <c r="O236" s="4">
        <v>0</v>
      </c>
      <c r="P236" s="3">
        <v>0</v>
      </c>
    </row>
    <row r="237" spans="1:16" ht="15" customHeight="1" x14ac:dyDescent="0.3">
      <c r="A237">
        <v>2014</v>
      </c>
      <c r="B237" s="2">
        <v>41908</v>
      </c>
      <c r="C237" t="s">
        <v>325</v>
      </c>
      <c r="D237" t="s">
        <v>279</v>
      </c>
      <c r="E237" t="s">
        <v>355</v>
      </c>
      <c r="F237" t="s">
        <v>20</v>
      </c>
      <c r="G237" t="s">
        <v>21</v>
      </c>
      <c r="H237" t="s">
        <v>22</v>
      </c>
      <c r="I237" t="s">
        <v>136</v>
      </c>
      <c r="J237" t="s">
        <v>50</v>
      </c>
      <c r="K237" s="3">
        <v>23737</v>
      </c>
      <c r="O237" s="4">
        <v>0</v>
      </c>
      <c r="P237" s="3">
        <v>0</v>
      </c>
    </row>
    <row r="238" spans="1:16" ht="15" customHeight="1" x14ac:dyDescent="0.3">
      <c r="A238">
        <v>2014</v>
      </c>
      <c r="B238" s="2">
        <v>41912</v>
      </c>
      <c r="C238" t="s">
        <v>325</v>
      </c>
      <c r="D238" t="s">
        <v>18</v>
      </c>
      <c r="E238" t="s">
        <v>356</v>
      </c>
      <c r="F238" t="s">
        <v>20</v>
      </c>
      <c r="G238" t="s">
        <v>21</v>
      </c>
      <c r="H238" t="s">
        <v>22</v>
      </c>
      <c r="I238" t="s">
        <v>23</v>
      </c>
      <c r="J238" t="s">
        <v>27</v>
      </c>
      <c r="K238" s="3">
        <v>1077.82</v>
      </c>
      <c r="O238" s="4">
        <v>0</v>
      </c>
      <c r="P238" s="3">
        <v>0</v>
      </c>
    </row>
    <row r="239" spans="1:16" ht="15" customHeight="1" x14ac:dyDescent="0.3">
      <c r="A239">
        <v>2014</v>
      </c>
      <c r="B239" s="2">
        <v>41913</v>
      </c>
      <c r="C239" t="s">
        <v>357</v>
      </c>
      <c r="D239" t="s">
        <v>25</v>
      </c>
      <c r="E239" t="s">
        <v>319</v>
      </c>
      <c r="F239" t="s">
        <v>20</v>
      </c>
      <c r="G239" t="s">
        <v>21</v>
      </c>
      <c r="H239" t="s">
        <v>22</v>
      </c>
      <c r="I239" t="s">
        <v>23</v>
      </c>
      <c r="J239" t="s">
        <v>27</v>
      </c>
      <c r="K239" s="3">
        <v>344</v>
      </c>
      <c r="O239" s="4">
        <v>0</v>
      </c>
      <c r="P239" s="3">
        <v>0</v>
      </c>
    </row>
    <row r="240" spans="1:16" ht="15" customHeight="1" x14ac:dyDescent="0.3">
      <c r="A240">
        <v>2014</v>
      </c>
      <c r="B240" s="2">
        <v>41915</v>
      </c>
      <c r="C240" t="s">
        <v>357</v>
      </c>
      <c r="D240" t="s">
        <v>18</v>
      </c>
      <c r="E240" t="s">
        <v>288</v>
      </c>
      <c r="F240" t="s">
        <v>20</v>
      </c>
      <c r="G240" t="s">
        <v>21</v>
      </c>
      <c r="H240" t="s">
        <v>22</v>
      </c>
      <c r="I240" t="s">
        <v>23</v>
      </c>
      <c r="J240" t="s">
        <v>27</v>
      </c>
      <c r="K240" s="3">
        <v>360</v>
      </c>
      <c r="O240" s="4">
        <v>0</v>
      </c>
      <c r="P240" s="3">
        <v>0</v>
      </c>
    </row>
    <row r="241" spans="1:16" ht="15" customHeight="1" x14ac:dyDescent="0.3">
      <c r="A241">
        <v>2014</v>
      </c>
      <c r="B241" s="2">
        <v>41919</v>
      </c>
      <c r="C241" t="s">
        <v>357</v>
      </c>
      <c r="D241" t="s">
        <v>358</v>
      </c>
      <c r="E241" t="s">
        <v>359</v>
      </c>
      <c r="F241" t="s">
        <v>20</v>
      </c>
      <c r="G241" t="s">
        <v>38</v>
      </c>
      <c r="H241" t="s">
        <v>89</v>
      </c>
      <c r="I241" t="s">
        <v>136</v>
      </c>
      <c r="J241" t="s">
        <v>123</v>
      </c>
      <c r="K241" s="3">
        <v>240753.18</v>
      </c>
      <c r="O241" s="4">
        <v>0</v>
      </c>
      <c r="P241" s="3">
        <v>0</v>
      </c>
    </row>
    <row r="242" spans="1:16" ht="15" customHeight="1" x14ac:dyDescent="0.3">
      <c r="A242">
        <v>2014</v>
      </c>
      <c r="B242" s="2">
        <v>41921</v>
      </c>
      <c r="C242" t="s">
        <v>357</v>
      </c>
      <c r="D242" t="s">
        <v>360</v>
      </c>
      <c r="E242" t="s">
        <v>361</v>
      </c>
      <c r="F242" t="s">
        <v>20</v>
      </c>
      <c r="G242" t="s">
        <v>38</v>
      </c>
      <c r="H242" t="s">
        <v>39</v>
      </c>
      <c r="I242" t="s">
        <v>23</v>
      </c>
      <c r="J242" t="s">
        <v>27</v>
      </c>
      <c r="K242" s="3">
        <v>100</v>
      </c>
      <c r="O242" s="4">
        <v>0</v>
      </c>
      <c r="P242" s="3">
        <v>0</v>
      </c>
    </row>
    <row r="243" spans="1:16" ht="15" customHeight="1" x14ac:dyDescent="0.3">
      <c r="A243">
        <v>2014</v>
      </c>
      <c r="B243" s="2">
        <v>41921</v>
      </c>
      <c r="C243" t="s">
        <v>357</v>
      </c>
      <c r="D243" t="s">
        <v>362</v>
      </c>
      <c r="E243" t="s">
        <v>363</v>
      </c>
      <c r="F243" t="s">
        <v>20</v>
      </c>
      <c r="G243" t="s">
        <v>21</v>
      </c>
      <c r="H243" t="s">
        <v>22</v>
      </c>
      <c r="I243" t="s">
        <v>136</v>
      </c>
      <c r="J243" t="s">
        <v>50</v>
      </c>
      <c r="K243" s="3">
        <v>16500</v>
      </c>
      <c r="O243" s="4">
        <v>0</v>
      </c>
      <c r="P243" s="3">
        <v>0</v>
      </c>
    </row>
    <row r="244" spans="1:16" ht="15" customHeight="1" x14ac:dyDescent="0.3">
      <c r="A244">
        <v>2014</v>
      </c>
      <c r="B244" s="2">
        <v>41921</v>
      </c>
      <c r="C244" t="s">
        <v>357</v>
      </c>
      <c r="D244" t="s">
        <v>364</v>
      </c>
      <c r="E244" t="s">
        <v>365</v>
      </c>
      <c r="F244" t="s">
        <v>20</v>
      </c>
      <c r="G244" t="s">
        <v>21</v>
      </c>
      <c r="H244" t="s">
        <v>101</v>
      </c>
      <c r="I244" t="s">
        <v>136</v>
      </c>
      <c r="J244" t="s">
        <v>50</v>
      </c>
      <c r="K244" s="3">
        <v>38908</v>
      </c>
      <c r="O244" s="4">
        <v>0</v>
      </c>
      <c r="P244" s="3">
        <v>0</v>
      </c>
    </row>
    <row r="245" spans="1:16" ht="15" customHeight="1" x14ac:dyDescent="0.3">
      <c r="A245">
        <v>2014</v>
      </c>
      <c r="B245" s="2">
        <v>41923</v>
      </c>
      <c r="C245" t="s">
        <v>357</v>
      </c>
      <c r="D245" t="s">
        <v>18</v>
      </c>
      <c r="E245" t="s">
        <v>317</v>
      </c>
      <c r="F245" t="s">
        <v>20</v>
      </c>
      <c r="G245" t="s">
        <v>21</v>
      </c>
      <c r="H245" t="s">
        <v>22</v>
      </c>
      <c r="I245" t="s">
        <v>23</v>
      </c>
      <c r="J245" t="s">
        <v>27</v>
      </c>
      <c r="K245" s="3">
        <v>354.29</v>
      </c>
      <c r="O245" s="4">
        <v>0</v>
      </c>
      <c r="P245" s="3">
        <v>0</v>
      </c>
    </row>
    <row r="246" spans="1:16" ht="15" customHeight="1" x14ac:dyDescent="0.3">
      <c r="A246">
        <v>2014</v>
      </c>
      <c r="B246" s="2">
        <v>41923</v>
      </c>
      <c r="C246" t="s">
        <v>357</v>
      </c>
      <c r="D246" t="s">
        <v>76</v>
      </c>
      <c r="E246" t="s">
        <v>366</v>
      </c>
      <c r="F246" t="s">
        <v>20</v>
      </c>
      <c r="G246" t="s">
        <v>21</v>
      </c>
      <c r="H246" t="s">
        <v>22</v>
      </c>
      <c r="I246" t="s">
        <v>23</v>
      </c>
      <c r="J246" t="s">
        <v>27</v>
      </c>
      <c r="K246" s="3">
        <v>360</v>
      </c>
      <c r="O246" s="4">
        <v>0</v>
      </c>
      <c r="P246" s="3">
        <v>0</v>
      </c>
    </row>
    <row r="247" spans="1:16" ht="15" customHeight="1" x14ac:dyDescent="0.3">
      <c r="A247">
        <v>2014</v>
      </c>
      <c r="B247" s="2">
        <v>41925</v>
      </c>
      <c r="C247" t="s">
        <v>357</v>
      </c>
      <c r="D247" t="s">
        <v>358</v>
      </c>
      <c r="E247" t="s">
        <v>367</v>
      </c>
      <c r="F247" t="s">
        <v>20</v>
      </c>
      <c r="G247" t="s">
        <v>38</v>
      </c>
      <c r="H247" t="s">
        <v>89</v>
      </c>
      <c r="I247" t="s">
        <v>136</v>
      </c>
      <c r="J247" t="s">
        <v>123</v>
      </c>
      <c r="K247" s="3">
        <v>248619.48</v>
      </c>
      <c r="O247" s="4">
        <v>0</v>
      </c>
      <c r="P247" s="3">
        <v>0</v>
      </c>
    </row>
    <row r="248" spans="1:16" ht="15" customHeight="1" x14ac:dyDescent="0.3">
      <c r="A248">
        <v>2014</v>
      </c>
      <c r="B248" s="2">
        <v>41925</v>
      </c>
      <c r="C248" t="s">
        <v>357</v>
      </c>
      <c r="D248" t="s">
        <v>53</v>
      </c>
      <c r="E248" t="s">
        <v>368</v>
      </c>
      <c r="F248" t="s">
        <v>20</v>
      </c>
      <c r="G248" t="s">
        <v>21</v>
      </c>
      <c r="H248" t="s">
        <v>22</v>
      </c>
      <c r="I248" t="s">
        <v>23</v>
      </c>
      <c r="J248" t="s">
        <v>27</v>
      </c>
      <c r="K248" s="3">
        <v>4700</v>
      </c>
      <c r="O248" s="4">
        <v>0</v>
      </c>
      <c r="P248" s="3">
        <v>0</v>
      </c>
    </row>
    <row r="249" spans="1:16" ht="15" customHeight="1" x14ac:dyDescent="0.3">
      <c r="A249">
        <v>2014</v>
      </c>
      <c r="B249" s="2">
        <v>41925</v>
      </c>
      <c r="C249" t="s">
        <v>357</v>
      </c>
      <c r="D249" t="s">
        <v>369</v>
      </c>
      <c r="E249" t="s">
        <v>370</v>
      </c>
      <c r="F249" t="s">
        <v>20</v>
      </c>
      <c r="G249" t="s">
        <v>38</v>
      </c>
      <c r="H249" t="s">
        <v>147</v>
      </c>
      <c r="I249" t="s">
        <v>23</v>
      </c>
      <c r="J249" t="s">
        <v>110</v>
      </c>
      <c r="K249" s="3">
        <v>12500</v>
      </c>
      <c r="O249" s="4">
        <v>0</v>
      </c>
      <c r="P249" s="3">
        <v>0</v>
      </c>
    </row>
    <row r="250" spans="1:16" ht="15" customHeight="1" x14ac:dyDescent="0.3">
      <c r="A250">
        <v>2014</v>
      </c>
      <c r="B250" s="2">
        <v>41926</v>
      </c>
      <c r="C250" t="s">
        <v>357</v>
      </c>
      <c r="D250" t="s">
        <v>53</v>
      </c>
      <c r="E250" t="s">
        <v>371</v>
      </c>
      <c r="F250" t="s">
        <v>20</v>
      </c>
      <c r="G250" t="s">
        <v>21</v>
      </c>
      <c r="H250" t="s">
        <v>22</v>
      </c>
      <c r="I250" t="s">
        <v>23</v>
      </c>
      <c r="J250" t="s">
        <v>27</v>
      </c>
      <c r="K250" s="3">
        <v>2280</v>
      </c>
      <c r="O250" s="4">
        <v>0</v>
      </c>
      <c r="P250" s="3">
        <v>0</v>
      </c>
    </row>
    <row r="251" spans="1:16" ht="15" customHeight="1" x14ac:dyDescent="0.3">
      <c r="A251">
        <v>2014</v>
      </c>
      <c r="B251" s="2">
        <v>41926</v>
      </c>
      <c r="C251" t="s">
        <v>357</v>
      </c>
      <c r="D251" t="s">
        <v>205</v>
      </c>
      <c r="E251" t="s">
        <v>372</v>
      </c>
      <c r="F251" t="s">
        <v>20</v>
      </c>
      <c r="G251" t="s">
        <v>21</v>
      </c>
      <c r="H251" t="s">
        <v>22</v>
      </c>
      <c r="I251" t="s">
        <v>136</v>
      </c>
      <c r="J251" t="s">
        <v>110</v>
      </c>
      <c r="K251" s="3">
        <v>31000</v>
      </c>
      <c r="O251" s="4">
        <v>0</v>
      </c>
      <c r="P251" s="3">
        <v>0</v>
      </c>
    </row>
    <row r="252" spans="1:16" ht="15" customHeight="1" x14ac:dyDescent="0.3">
      <c r="A252">
        <v>2014</v>
      </c>
      <c r="B252" s="2">
        <v>41926</v>
      </c>
      <c r="C252" t="s">
        <v>357</v>
      </c>
      <c r="D252" t="s">
        <v>174</v>
      </c>
      <c r="E252" t="s">
        <v>373</v>
      </c>
      <c r="F252" t="s">
        <v>20</v>
      </c>
      <c r="G252" t="s">
        <v>21</v>
      </c>
      <c r="H252" t="s">
        <v>176</v>
      </c>
      <c r="I252" t="s">
        <v>122</v>
      </c>
      <c r="J252" t="s">
        <v>110</v>
      </c>
      <c r="K252" s="3">
        <v>22500</v>
      </c>
      <c r="O252" s="4">
        <v>0</v>
      </c>
      <c r="P252" s="3">
        <v>0</v>
      </c>
    </row>
    <row r="253" spans="1:16" ht="15" customHeight="1" x14ac:dyDescent="0.3">
      <c r="A253">
        <v>2014</v>
      </c>
      <c r="B253" s="2">
        <v>41928</v>
      </c>
      <c r="C253" t="s">
        <v>357</v>
      </c>
      <c r="D253" t="s">
        <v>69</v>
      </c>
      <c r="E253" t="s">
        <v>274</v>
      </c>
      <c r="F253" t="s">
        <v>20</v>
      </c>
      <c r="G253" t="s">
        <v>21</v>
      </c>
      <c r="H253" t="s">
        <v>22</v>
      </c>
      <c r="I253" t="s">
        <v>23</v>
      </c>
      <c r="J253" t="s">
        <v>27</v>
      </c>
      <c r="K253" s="3">
        <v>874.29</v>
      </c>
      <c r="O253" s="4">
        <v>0</v>
      </c>
      <c r="P253" s="3">
        <v>0</v>
      </c>
    </row>
    <row r="254" spans="1:16" ht="15" customHeight="1" x14ac:dyDescent="0.3">
      <c r="A254">
        <v>2014</v>
      </c>
      <c r="B254" s="2">
        <v>41928</v>
      </c>
      <c r="C254" t="s">
        <v>357</v>
      </c>
      <c r="D254" t="s">
        <v>69</v>
      </c>
      <c r="E254" t="s">
        <v>274</v>
      </c>
      <c r="F254" t="s">
        <v>20</v>
      </c>
      <c r="G254" t="s">
        <v>21</v>
      </c>
      <c r="H254" t="s">
        <v>22</v>
      </c>
      <c r="I254" t="s">
        <v>23</v>
      </c>
      <c r="J254" t="s">
        <v>27</v>
      </c>
      <c r="K254" s="3">
        <v>874.29</v>
      </c>
      <c r="O254" s="4">
        <v>0</v>
      </c>
      <c r="P254" s="3">
        <v>0</v>
      </c>
    </row>
    <row r="255" spans="1:16" ht="15" customHeight="1" x14ac:dyDescent="0.3">
      <c r="A255">
        <v>2014</v>
      </c>
      <c r="B255" s="2">
        <v>41928</v>
      </c>
      <c r="C255" t="s">
        <v>357</v>
      </c>
      <c r="D255" t="s">
        <v>279</v>
      </c>
      <c r="E255" t="s">
        <v>374</v>
      </c>
      <c r="F255" t="s">
        <v>20</v>
      </c>
      <c r="G255" t="s">
        <v>21</v>
      </c>
      <c r="H255" t="s">
        <v>22</v>
      </c>
      <c r="I255" t="s">
        <v>23</v>
      </c>
      <c r="J255" t="s">
        <v>27</v>
      </c>
      <c r="K255" s="3">
        <v>7130</v>
      </c>
      <c r="O255" s="4">
        <v>0</v>
      </c>
      <c r="P255" s="3">
        <v>0</v>
      </c>
    </row>
    <row r="256" spans="1:16" ht="15" customHeight="1" x14ac:dyDescent="0.3">
      <c r="A256">
        <v>2014</v>
      </c>
      <c r="B256" s="2">
        <v>41929</v>
      </c>
      <c r="C256" t="s">
        <v>357</v>
      </c>
      <c r="D256" t="s">
        <v>362</v>
      </c>
      <c r="E256" t="s">
        <v>375</v>
      </c>
      <c r="F256" t="s">
        <v>20</v>
      </c>
      <c r="G256" t="s">
        <v>21</v>
      </c>
      <c r="H256" t="s">
        <v>22</v>
      </c>
      <c r="I256" t="s">
        <v>23</v>
      </c>
      <c r="J256" t="s">
        <v>27</v>
      </c>
      <c r="K256" s="3">
        <v>2650</v>
      </c>
      <c r="O256" s="4">
        <v>0</v>
      </c>
      <c r="P256" s="3">
        <v>0</v>
      </c>
    </row>
    <row r="257" spans="1:16" ht="15" customHeight="1" x14ac:dyDescent="0.3">
      <c r="A257">
        <v>2014</v>
      </c>
      <c r="B257" s="2">
        <v>41929</v>
      </c>
      <c r="C257" t="s">
        <v>357</v>
      </c>
      <c r="D257" t="s">
        <v>362</v>
      </c>
      <c r="E257" t="s">
        <v>376</v>
      </c>
      <c r="F257" t="s">
        <v>20</v>
      </c>
      <c r="G257" t="s">
        <v>21</v>
      </c>
      <c r="H257" t="s">
        <v>22</v>
      </c>
      <c r="I257" t="s">
        <v>23</v>
      </c>
      <c r="J257" t="s">
        <v>27</v>
      </c>
      <c r="K257" s="3">
        <v>1800</v>
      </c>
      <c r="O257" s="4">
        <v>0</v>
      </c>
      <c r="P257" s="3">
        <v>0</v>
      </c>
    </row>
    <row r="258" spans="1:16" ht="15" customHeight="1" x14ac:dyDescent="0.3">
      <c r="A258">
        <v>2014</v>
      </c>
      <c r="B258" s="2">
        <v>41929</v>
      </c>
      <c r="C258" t="s">
        <v>357</v>
      </c>
      <c r="D258" t="s">
        <v>353</v>
      </c>
      <c r="E258" t="s">
        <v>377</v>
      </c>
      <c r="F258" t="s">
        <v>20</v>
      </c>
      <c r="G258" t="s">
        <v>21</v>
      </c>
      <c r="H258" t="s">
        <v>22</v>
      </c>
      <c r="I258" t="s">
        <v>23</v>
      </c>
      <c r="J258" t="s">
        <v>27</v>
      </c>
      <c r="K258" s="3">
        <v>3910</v>
      </c>
      <c r="O258" s="4">
        <v>0</v>
      </c>
      <c r="P258" s="3">
        <v>0</v>
      </c>
    </row>
    <row r="259" spans="1:16" ht="15" customHeight="1" x14ac:dyDescent="0.3">
      <c r="A259">
        <v>2014</v>
      </c>
      <c r="B259" s="2">
        <v>41932</v>
      </c>
      <c r="C259" t="s">
        <v>357</v>
      </c>
      <c r="D259" t="s">
        <v>45</v>
      </c>
      <c r="E259" t="s">
        <v>378</v>
      </c>
      <c r="F259" t="s">
        <v>20</v>
      </c>
      <c r="G259" t="s">
        <v>38</v>
      </c>
      <c r="H259" t="s">
        <v>39</v>
      </c>
      <c r="I259" t="s">
        <v>122</v>
      </c>
      <c r="J259" t="s">
        <v>123</v>
      </c>
      <c r="K259" s="3">
        <v>154000</v>
      </c>
      <c r="O259" s="4">
        <v>0</v>
      </c>
      <c r="P259" s="3">
        <v>0</v>
      </c>
    </row>
    <row r="260" spans="1:16" ht="15" customHeight="1" x14ac:dyDescent="0.3">
      <c r="A260">
        <v>2014</v>
      </c>
      <c r="B260" s="2">
        <v>41933</v>
      </c>
      <c r="C260" t="s">
        <v>357</v>
      </c>
      <c r="D260" t="s">
        <v>56</v>
      </c>
      <c r="E260" t="s">
        <v>379</v>
      </c>
      <c r="F260" t="s">
        <v>20</v>
      </c>
      <c r="G260" t="s">
        <v>21</v>
      </c>
      <c r="H260" t="s">
        <v>22</v>
      </c>
      <c r="I260" t="s">
        <v>23</v>
      </c>
      <c r="J260" t="s">
        <v>27</v>
      </c>
      <c r="K260" s="3">
        <v>300</v>
      </c>
      <c r="O260" s="4">
        <v>0</v>
      </c>
      <c r="P260" s="3">
        <v>0</v>
      </c>
    </row>
    <row r="261" spans="1:16" ht="15" customHeight="1" x14ac:dyDescent="0.3">
      <c r="A261">
        <v>2014</v>
      </c>
      <c r="B261" s="2">
        <v>41935</v>
      </c>
      <c r="C261" t="s">
        <v>357</v>
      </c>
      <c r="D261" t="s">
        <v>360</v>
      </c>
      <c r="E261" t="s">
        <v>380</v>
      </c>
      <c r="F261" t="s">
        <v>20</v>
      </c>
      <c r="G261" t="s">
        <v>38</v>
      </c>
      <c r="H261" t="s">
        <v>39</v>
      </c>
      <c r="I261" t="s">
        <v>23</v>
      </c>
      <c r="J261" t="s">
        <v>27</v>
      </c>
      <c r="K261" s="3">
        <v>812</v>
      </c>
      <c r="O261" s="4">
        <v>0</v>
      </c>
      <c r="P261" s="3">
        <v>0</v>
      </c>
    </row>
    <row r="262" spans="1:16" ht="15" customHeight="1" x14ac:dyDescent="0.3">
      <c r="A262">
        <v>2014</v>
      </c>
      <c r="B262" s="2">
        <v>41935</v>
      </c>
      <c r="C262" t="s">
        <v>357</v>
      </c>
      <c r="D262" t="s">
        <v>40</v>
      </c>
      <c r="E262" t="s">
        <v>381</v>
      </c>
      <c r="F262" t="s">
        <v>20</v>
      </c>
      <c r="G262" t="s">
        <v>21</v>
      </c>
      <c r="H262" t="s">
        <v>22</v>
      </c>
      <c r="I262" t="s">
        <v>23</v>
      </c>
      <c r="J262" t="s">
        <v>27</v>
      </c>
      <c r="K262" s="3">
        <v>1550</v>
      </c>
      <c r="O262" s="4">
        <v>0</v>
      </c>
      <c r="P262" s="3">
        <v>0</v>
      </c>
    </row>
    <row r="263" spans="1:16" ht="15" customHeight="1" x14ac:dyDescent="0.3">
      <c r="A263">
        <v>2014</v>
      </c>
      <c r="B263" s="2">
        <v>41936</v>
      </c>
      <c r="C263" t="s">
        <v>357</v>
      </c>
      <c r="D263" t="s">
        <v>18</v>
      </c>
      <c r="E263" t="s">
        <v>382</v>
      </c>
      <c r="F263" t="s">
        <v>20</v>
      </c>
      <c r="G263" t="s">
        <v>21</v>
      </c>
      <c r="H263" t="s">
        <v>22</v>
      </c>
      <c r="I263" t="s">
        <v>23</v>
      </c>
      <c r="J263" t="s">
        <v>27</v>
      </c>
      <c r="K263" s="3">
        <v>1588.67</v>
      </c>
      <c r="O263" s="4">
        <v>0</v>
      </c>
      <c r="P263" s="3">
        <v>0</v>
      </c>
    </row>
    <row r="264" spans="1:16" ht="15" customHeight="1" x14ac:dyDescent="0.3">
      <c r="A264">
        <v>2014</v>
      </c>
      <c r="B264" s="2">
        <v>41939</v>
      </c>
      <c r="C264" t="s">
        <v>357</v>
      </c>
      <c r="D264" t="s">
        <v>163</v>
      </c>
      <c r="E264" t="s">
        <v>383</v>
      </c>
      <c r="F264" t="s">
        <v>20</v>
      </c>
      <c r="G264" t="s">
        <v>38</v>
      </c>
      <c r="H264" t="s">
        <v>89</v>
      </c>
      <c r="I264" t="s">
        <v>23</v>
      </c>
      <c r="J264" t="s">
        <v>27</v>
      </c>
      <c r="K264" s="3">
        <v>7660.2</v>
      </c>
      <c r="O264" s="4">
        <v>0</v>
      </c>
      <c r="P264" s="3">
        <v>0</v>
      </c>
    </row>
    <row r="265" spans="1:16" ht="15" customHeight="1" x14ac:dyDescent="0.3">
      <c r="A265">
        <v>2014</v>
      </c>
      <c r="B265" s="2">
        <v>41940</v>
      </c>
      <c r="C265" t="s">
        <v>357</v>
      </c>
      <c r="D265" t="s">
        <v>76</v>
      </c>
      <c r="E265" t="s">
        <v>384</v>
      </c>
      <c r="F265" t="s">
        <v>20</v>
      </c>
      <c r="G265" t="s">
        <v>21</v>
      </c>
      <c r="H265" t="s">
        <v>22</v>
      </c>
      <c r="I265" t="s">
        <v>23</v>
      </c>
      <c r="J265" t="s">
        <v>27</v>
      </c>
      <c r="K265" s="3">
        <v>360</v>
      </c>
      <c r="O265" s="4">
        <v>0</v>
      </c>
      <c r="P265" s="3">
        <v>0</v>
      </c>
    </row>
    <row r="266" spans="1:16" ht="15" customHeight="1" x14ac:dyDescent="0.3">
      <c r="A266">
        <v>2014</v>
      </c>
      <c r="B266" s="2">
        <v>41940</v>
      </c>
      <c r="C266" t="s">
        <v>357</v>
      </c>
      <c r="D266" t="s">
        <v>69</v>
      </c>
      <c r="E266" t="s">
        <v>385</v>
      </c>
      <c r="F266" t="s">
        <v>20</v>
      </c>
      <c r="G266" t="s">
        <v>21</v>
      </c>
      <c r="H266" t="s">
        <v>22</v>
      </c>
      <c r="I266" t="s">
        <v>23</v>
      </c>
      <c r="J266" t="s">
        <v>27</v>
      </c>
      <c r="K266" s="3">
        <v>9606.32</v>
      </c>
      <c r="O266" s="4">
        <v>0</v>
      </c>
      <c r="P266" s="3">
        <v>0</v>
      </c>
    </row>
    <row r="267" spans="1:16" ht="15" customHeight="1" x14ac:dyDescent="0.3">
      <c r="A267">
        <v>2014</v>
      </c>
      <c r="B267" s="2">
        <v>41941</v>
      </c>
      <c r="C267" t="s">
        <v>357</v>
      </c>
      <c r="D267" t="s">
        <v>56</v>
      </c>
      <c r="E267" t="s">
        <v>386</v>
      </c>
      <c r="F267" t="s">
        <v>20</v>
      </c>
      <c r="G267" t="s">
        <v>21</v>
      </c>
      <c r="H267" t="s">
        <v>22</v>
      </c>
      <c r="I267" t="s">
        <v>23</v>
      </c>
      <c r="J267" t="s">
        <v>27</v>
      </c>
      <c r="K267" s="3">
        <v>2740</v>
      </c>
      <c r="O267" s="4">
        <v>0</v>
      </c>
      <c r="P267" s="3">
        <v>0</v>
      </c>
    </row>
    <row r="268" spans="1:16" ht="15" customHeight="1" x14ac:dyDescent="0.3">
      <c r="A268">
        <v>2014</v>
      </c>
      <c r="B268" s="2">
        <v>41942</v>
      </c>
      <c r="C268" t="s">
        <v>357</v>
      </c>
      <c r="D268" t="s">
        <v>232</v>
      </c>
      <c r="E268" t="s">
        <v>295</v>
      </c>
      <c r="F268" t="s">
        <v>20</v>
      </c>
      <c r="G268" t="s">
        <v>21</v>
      </c>
      <c r="H268" t="s">
        <v>101</v>
      </c>
      <c r="I268" t="s">
        <v>23</v>
      </c>
      <c r="J268" t="s">
        <v>27</v>
      </c>
      <c r="K268" s="3">
        <v>2800</v>
      </c>
      <c r="O268" s="4">
        <v>0</v>
      </c>
      <c r="P268" s="3">
        <v>0</v>
      </c>
    </row>
    <row r="269" spans="1:16" ht="15" customHeight="1" x14ac:dyDescent="0.3">
      <c r="A269">
        <v>2014</v>
      </c>
      <c r="B269" s="2">
        <v>41942</v>
      </c>
      <c r="C269" t="s">
        <v>357</v>
      </c>
      <c r="D269" t="s">
        <v>279</v>
      </c>
      <c r="E269" t="s">
        <v>387</v>
      </c>
      <c r="F269" t="s">
        <v>20</v>
      </c>
      <c r="G269" t="s">
        <v>21</v>
      </c>
      <c r="H269" t="s">
        <v>22</v>
      </c>
      <c r="I269" t="s">
        <v>136</v>
      </c>
      <c r="J269" t="s">
        <v>110</v>
      </c>
      <c r="K269" s="3">
        <v>20709.59</v>
      </c>
      <c r="O269" s="4">
        <v>0</v>
      </c>
      <c r="P269" s="3">
        <v>0</v>
      </c>
    </row>
    <row r="270" spans="1:16" ht="15" customHeight="1" x14ac:dyDescent="0.3">
      <c r="A270">
        <v>2014</v>
      </c>
      <c r="B270" s="2">
        <v>41943</v>
      </c>
      <c r="C270" t="s">
        <v>357</v>
      </c>
      <c r="D270" t="s">
        <v>30</v>
      </c>
      <c r="E270" t="s">
        <v>388</v>
      </c>
      <c r="F270" t="s">
        <v>20</v>
      </c>
      <c r="G270" t="s">
        <v>21</v>
      </c>
      <c r="H270" t="s">
        <v>22</v>
      </c>
      <c r="I270" t="s">
        <v>23</v>
      </c>
      <c r="J270" t="s">
        <v>27</v>
      </c>
      <c r="K270" s="3">
        <v>200</v>
      </c>
      <c r="O270" s="4">
        <v>0</v>
      </c>
      <c r="P270" s="3">
        <v>0</v>
      </c>
    </row>
    <row r="271" spans="1:16" ht="15" customHeight="1" x14ac:dyDescent="0.3">
      <c r="A271">
        <v>2014</v>
      </c>
      <c r="B271" s="2">
        <v>41946</v>
      </c>
      <c r="C271" t="s">
        <v>389</v>
      </c>
      <c r="D271" t="s">
        <v>30</v>
      </c>
      <c r="E271" t="s">
        <v>390</v>
      </c>
      <c r="F271" t="s">
        <v>20</v>
      </c>
      <c r="G271" t="s">
        <v>21</v>
      </c>
      <c r="H271" t="s">
        <v>22</v>
      </c>
      <c r="I271" t="s">
        <v>136</v>
      </c>
      <c r="J271" t="s">
        <v>110</v>
      </c>
      <c r="K271" s="3">
        <v>31380.57</v>
      </c>
      <c r="O271" s="4">
        <v>0</v>
      </c>
      <c r="P271" s="3">
        <v>0</v>
      </c>
    </row>
    <row r="272" spans="1:16" ht="15" customHeight="1" x14ac:dyDescent="0.3">
      <c r="A272">
        <v>2014</v>
      </c>
      <c r="B272" s="2">
        <v>41946</v>
      </c>
      <c r="C272" t="s">
        <v>389</v>
      </c>
      <c r="D272" t="s">
        <v>76</v>
      </c>
      <c r="E272" t="s">
        <v>391</v>
      </c>
      <c r="F272" t="s">
        <v>20</v>
      </c>
      <c r="G272" t="s">
        <v>21</v>
      </c>
      <c r="H272" t="s">
        <v>22</v>
      </c>
      <c r="I272" t="s">
        <v>23</v>
      </c>
      <c r="J272" t="s">
        <v>27</v>
      </c>
      <c r="K272" s="3">
        <v>7900</v>
      </c>
      <c r="O272" s="4">
        <v>0</v>
      </c>
      <c r="P272" s="3">
        <v>0</v>
      </c>
    </row>
    <row r="273" spans="1:16" ht="15" customHeight="1" x14ac:dyDescent="0.3">
      <c r="A273">
        <v>2014</v>
      </c>
      <c r="B273" s="2">
        <v>41946</v>
      </c>
      <c r="C273" t="s">
        <v>389</v>
      </c>
      <c r="D273" t="s">
        <v>392</v>
      </c>
      <c r="E273" t="s">
        <v>288</v>
      </c>
      <c r="F273" t="s">
        <v>20</v>
      </c>
      <c r="G273" t="s">
        <v>21</v>
      </c>
      <c r="H273" t="s">
        <v>22</v>
      </c>
      <c r="I273" t="s">
        <v>23</v>
      </c>
      <c r="J273" t="s">
        <v>27</v>
      </c>
      <c r="K273" s="3">
        <v>68.400000000000006</v>
      </c>
      <c r="O273" s="4">
        <v>0</v>
      </c>
      <c r="P273" s="3">
        <v>0</v>
      </c>
    </row>
    <row r="274" spans="1:16" ht="15" customHeight="1" x14ac:dyDescent="0.3">
      <c r="A274">
        <v>2014</v>
      </c>
      <c r="B274" s="2">
        <v>41947</v>
      </c>
      <c r="C274" t="s">
        <v>389</v>
      </c>
      <c r="D274" t="s">
        <v>18</v>
      </c>
      <c r="E274" t="s">
        <v>393</v>
      </c>
      <c r="F274" t="s">
        <v>20</v>
      </c>
      <c r="G274" t="s">
        <v>21</v>
      </c>
      <c r="H274" t="s">
        <v>22</v>
      </c>
      <c r="I274" t="s">
        <v>23</v>
      </c>
      <c r="J274" t="s">
        <v>27</v>
      </c>
      <c r="K274" s="3">
        <v>1426.67</v>
      </c>
      <c r="O274" s="4">
        <v>0</v>
      </c>
      <c r="P274" s="3">
        <v>0</v>
      </c>
    </row>
    <row r="275" spans="1:16" ht="15" customHeight="1" x14ac:dyDescent="0.3">
      <c r="A275">
        <v>2014</v>
      </c>
      <c r="B275" s="2">
        <v>41947</v>
      </c>
      <c r="C275" t="s">
        <v>389</v>
      </c>
      <c r="D275" t="s">
        <v>103</v>
      </c>
      <c r="E275" t="s">
        <v>394</v>
      </c>
      <c r="F275" t="s">
        <v>20</v>
      </c>
      <c r="G275" t="s">
        <v>21</v>
      </c>
      <c r="H275" t="s">
        <v>22</v>
      </c>
      <c r="I275" t="s">
        <v>23</v>
      </c>
      <c r="J275" t="s">
        <v>123</v>
      </c>
      <c r="K275" s="3">
        <v>24709.759999999998</v>
      </c>
      <c r="O275" s="4">
        <v>0</v>
      </c>
      <c r="P275" s="3">
        <v>0</v>
      </c>
    </row>
    <row r="276" spans="1:16" ht="15" customHeight="1" x14ac:dyDescent="0.3">
      <c r="A276">
        <v>2014</v>
      </c>
      <c r="B276" s="2">
        <v>41948</v>
      </c>
      <c r="C276" t="s">
        <v>389</v>
      </c>
      <c r="D276" t="s">
        <v>395</v>
      </c>
      <c r="E276" t="s">
        <v>344</v>
      </c>
      <c r="F276" t="s">
        <v>20</v>
      </c>
      <c r="G276" t="s">
        <v>38</v>
      </c>
      <c r="H276" t="s">
        <v>89</v>
      </c>
      <c r="I276" t="s">
        <v>23</v>
      </c>
      <c r="J276" t="s">
        <v>27</v>
      </c>
      <c r="K276" s="3">
        <v>1344.58</v>
      </c>
      <c r="O276" s="4">
        <v>0</v>
      </c>
      <c r="P276" s="3">
        <v>0</v>
      </c>
    </row>
    <row r="277" spans="1:16" ht="15" customHeight="1" x14ac:dyDescent="0.3">
      <c r="A277">
        <v>2014</v>
      </c>
      <c r="B277" s="2">
        <v>41948</v>
      </c>
      <c r="C277" t="s">
        <v>389</v>
      </c>
      <c r="D277" t="s">
        <v>76</v>
      </c>
      <c r="E277" t="s">
        <v>366</v>
      </c>
      <c r="F277" t="s">
        <v>20</v>
      </c>
      <c r="G277" t="s">
        <v>21</v>
      </c>
      <c r="H277" t="s">
        <v>22</v>
      </c>
      <c r="I277" t="s">
        <v>23</v>
      </c>
      <c r="J277" t="s">
        <v>27</v>
      </c>
      <c r="K277" s="3">
        <v>360</v>
      </c>
      <c r="O277" s="4">
        <v>0</v>
      </c>
      <c r="P277" s="3">
        <v>0</v>
      </c>
    </row>
    <row r="278" spans="1:16" ht="15" customHeight="1" x14ac:dyDescent="0.3">
      <c r="A278">
        <v>2014</v>
      </c>
      <c r="B278" s="2">
        <v>41948</v>
      </c>
      <c r="C278" t="s">
        <v>389</v>
      </c>
      <c r="D278" t="s">
        <v>199</v>
      </c>
      <c r="E278" t="s">
        <v>396</v>
      </c>
      <c r="F278" t="s">
        <v>20</v>
      </c>
      <c r="G278" t="s">
        <v>21</v>
      </c>
      <c r="H278" t="s">
        <v>22</v>
      </c>
      <c r="I278" t="s">
        <v>23</v>
      </c>
      <c r="J278" t="s">
        <v>27</v>
      </c>
      <c r="K278" s="3">
        <v>2950</v>
      </c>
      <c r="O278" s="4">
        <v>0</v>
      </c>
      <c r="P278" s="3">
        <v>0</v>
      </c>
    </row>
    <row r="279" spans="1:16" ht="15" customHeight="1" x14ac:dyDescent="0.3">
      <c r="A279">
        <v>2014</v>
      </c>
      <c r="B279" s="2">
        <v>41949</v>
      </c>
      <c r="C279" t="s">
        <v>389</v>
      </c>
      <c r="D279" t="s">
        <v>69</v>
      </c>
      <c r="E279" t="s">
        <v>274</v>
      </c>
      <c r="F279" t="s">
        <v>20</v>
      </c>
      <c r="G279" t="s">
        <v>21</v>
      </c>
      <c r="H279" t="s">
        <v>22</v>
      </c>
      <c r="I279" t="s">
        <v>23</v>
      </c>
      <c r="J279" t="s">
        <v>27</v>
      </c>
      <c r="K279" s="3">
        <v>867.69</v>
      </c>
      <c r="O279" s="4">
        <v>0</v>
      </c>
      <c r="P279" s="3">
        <v>0</v>
      </c>
    </row>
    <row r="280" spans="1:16" ht="15" customHeight="1" x14ac:dyDescent="0.3">
      <c r="A280">
        <v>2014</v>
      </c>
      <c r="B280" s="2">
        <v>41951</v>
      </c>
      <c r="C280" t="s">
        <v>389</v>
      </c>
      <c r="D280" t="s">
        <v>64</v>
      </c>
      <c r="E280" t="s">
        <v>397</v>
      </c>
      <c r="F280" t="s">
        <v>20</v>
      </c>
      <c r="G280" t="s">
        <v>38</v>
      </c>
      <c r="H280" t="s">
        <v>147</v>
      </c>
      <c r="I280" t="s">
        <v>23</v>
      </c>
      <c r="J280" t="s">
        <v>27</v>
      </c>
      <c r="K280" s="3">
        <v>1430</v>
      </c>
      <c r="O280" s="4">
        <v>0</v>
      </c>
      <c r="P280" s="3">
        <v>0</v>
      </c>
    </row>
    <row r="281" spans="1:16" ht="15" customHeight="1" x14ac:dyDescent="0.3">
      <c r="A281">
        <v>2014</v>
      </c>
      <c r="B281" s="2">
        <v>41953</v>
      </c>
      <c r="C281" t="s">
        <v>389</v>
      </c>
      <c r="D281" t="s">
        <v>292</v>
      </c>
      <c r="E281" t="s">
        <v>398</v>
      </c>
      <c r="F281" t="s">
        <v>20</v>
      </c>
      <c r="G281" t="s">
        <v>21</v>
      </c>
      <c r="H281" t="s">
        <v>22</v>
      </c>
      <c r="I281" t="s">
        <v>136</v>
      </c>
      <c r="J281" t="s">
        <v>110</v>
      </c>
      <c r="K281" s="3">
        <v>14362.73</v>
      </c>
      <c r="O281" s="4">
        <v>0</v>
      </c>
      <c r="P281" s="3">
        <v>0</v>
      </c>
    </row>
    <row r="282" spans="1:16" ht="15" customHeight="1" x14ac:dyDescent="0.3">
      <c r="A282">
        <v>2014</v>
      </c>
      <c r="B282" s="2">
        <v>41953</v>
      </c>
      <c r="C282" t="s">
        <v>389</v>
      </c>
      <c r="D282" t="s">
        <v>292</v>
      </c>
      <c r="E282" t="s">
        <v>399</v>
      </c>
      <c r="F282" t="s">
        <v>20</v>
      </c>
      <c r="G282" t="s">
        <v>21</v>
      </c>
      <c r="H282" t="s">
        <v>22</v>
      </c>
      <c r="I282" t="s">
        <v>23</v>
      </c>
      <c r="J282" t="s">
        <v>27</v>
      </c>
      <c r="K282" s="3">
        <v>3985.94</v>
      </c>
      <c r="O282" s="4">
        <v>0</v>
      </c>
      <c r="P282" s="3">
        <v>0</v>
      </c>
    </row>
    <row r="283" spans="1:16" ht="15" customHeight="1" x14ac:dyDescent="0.3">
      <c r="A283">
        <v>2014</v>
      </c>
      <c r="B283" s="2">
        <v>41955</v>
      </c>
      <c r="C283" t="s">
        <v>389</v>
      </c>
      <c r="D283" t="s">
        <v>45</v>
      </c>
      <c r="E283" t="s">
        <v>400</v>
      </c>
      <c r="F283" t="s">
        <v>20</v>
      </c>
      <c r="G283" t="s">
        <v>38</v>
      </c>
      <c r="H283" t="s">
        <v>39</v>
      </c>
      <c r="I283" t="s">
        <v>23</v>
      </c>
      <c r="J283" t="s">
        <v>27</v>
      </c>
      <c r="K283" s="3">
        <v>1345.5</v>
      </c>
      <c r="O283" s="4">
        <v>0</v>
      </c>
      <c r="P283" s="3">
        <v>0</v>
      </c>
    </row>
    <row r="284" spans="1:16" ht="15" customHeight="1" x14ac:dyDescent="0.3">
      <c r="A284">
        <v>2014</v>
      </c>
      <c r="B284" s="2">
        <v>41956</v>
      </c>
      <c r="C284" t="s">
        <v>389</v>
      </c>
      <c r="D284" t="s">
        <v>219</v>
      </c>
      <c r="E284" t="s">
        <v>401</v>
      </c>
      <c r="F284" t="s">
        <v>20</v>
      </c>
      <c r="G284" t="s">
        <v>38</v>
      </c>
      <c r="H284" t="s">
        <v>89</v>
      </c>
      <c r="I284" t="s">
        <v>23</v>
      </c>
      <c r="J284" t="s">
        <v>27</v>
      </c>
      <c r="K284" s="3">
        <v>1196.4000000000001</v>
      </c>
      <c r="O284" s="4">
        <v>0</v>
      </c>
      <c r="P284" s="3">
        <v>0</v>
      </c>
    </row>
    <row r="285" spans="1:16" ht="15" customHeight="1" x14ac:dyDescent="0.3">
      <c r="A285">
        <v>2014</v>
      </c>
      <c r="B285" s="2">
        <v>41957</v>
      </c>
      <c r="C285" t="s">
        <v>389</v>
      </c>
      <c r="D285" t="s">
        <v>402</v>
      </c>
      <c r="E285" t="s">
        <v>403</v>
      </c>
      <c r="F285" t="s">
        <v>20</v>
      </c>
      <c r="G285" t="s">
        <v>21</v>
      </c>
      <c r="H285" t="s">
        <v>101</v>
      </c>
      <c r="I285" t="s">
        <v>23</v>
      </c>
      <c r="J285" t="s">
        <v>27</v>
      </c>
      <c r="K285" s="3">
        <v>6895.12</v>
      </c>
      <c r="O285" s="4">
        <v>0</v>
      </c>
      <c r="P285" s="3">
        <v>0</v>
      </c>
    </row>
    <row r="286" spans="1:16" ht="15" customHeight="1" x14ac:dyDescent="0.3">
      <c r="A286">
        <v>2014</v>
      </c>
      <c r="B286" s="2">
        <v>41957</v>
      </c>
      <c r="C286" t="s">
        <v>389</v>
      </c>
      <c r="D286" t="s">
        <v>61</v>
      </c>
      <c r="E286" t="s">
        <v>404</v>
      </c>
      <c r="F286" t="s">
        <v>20</v>
      </c>
      <c r="G286" t="s">
        <v>21</v>
      </c>
      <c r="H286" t="s">
        <v>22</v>
      </c>
      <c r="I286" t="s">
        <v>23</v>
      </c>
      <c r="J286" t="s">
        <v>27</v>
      </c>
      <c r="K286" s="3">
        <v>350</v>
      </c>
      <c r="O286" s="4">
        <v>0</v>
      </c>
      <c r="P286" s="3">
        <v>0</v>
      </c>
    </row>
    <row r="287" spans="1:16" ht="15" customHeight="1" x14ac:dyDescent="0.3">
      <c r="A287">
        <v>2014</v>
      </c>
      <c r="B287" s="2">
        <v>41957</v>
      </c>
      <c r="C287" t="s">
        <v>389</v>
      </c>
      <c r="D287" t="s">
        <v>279</v>
      </c>
      <c r="E287" t="s">
        <v>405</v>
      </c>
      <c r="F287" t="s">
        <v>20</v>
      </c>
      <c r="G287" t="s">
        <v>21</v>
      </c>
      <c r="H287" t="s">
        <v>22</v>
      </c>
      <c r="I287" t="s">
        <v>23</v>
      </c>
      <c r="J287" t="s">
        <v>27</v>
      </c>
      <c r="K287" s="3">
        <v>2729.24</v>
      </c>
      <c r="O287" s="4">
        <v>0</v>
      </c>
      <c r="P287" s="3">
        <v>0</v>
      </c>
    </row>
    <row r="288" spans="1:16" ht="15" customHeight="1" x14ac:dyDescent="0.3">
      <c r="A288">
        <v>2014</v>
      </c>
      <c r="B288" s="2">
        <v>41960</v>
      </c>
      <c r="C288" t="s">
        <v>389</v>
      </c>
      <c r="D288" t="s">
        <v>197</v>
      </c>
      <c r="E288" t="s">
        <v>406</v>
      </c>
      <c r="F288" t="s">
        <v>20</v>
      </c>
      <c r="G288" t="s">
        <v>21</v>
      </c>
      <c r="H288" t="s">
        <v>22</v>
      </c>
      <c r="I288" t="s">
        <v>23</v>
      </c>
      <c r="J288" t="s">
        <v>27</v>
      </c>
      <c r="K288" s="3">
        <v>200</v>
      </c>
      <c r="O288" s="4">
        <v>0</v>
      </c>
      <c r="P288" s="3">
        <v>0</v>
      </c>
    </row>
    <row r="289" spans="1:16" ht="15" customHeight="1" x14ac:dyDescent="0.3">
      <c r="A289">
        <v>2014</v>
      </c>
      <c r="B289" s="2">
        <v>41961</v>
      </c>
      <c r="C289" t="s">
        <v>389</v>
      </c>
      <c r="D289" t="s">
        <v>145</v>
      </c>
      <c r="E289" t="s">
        <v>407</v>
      </c>
      <c r="F289" t="s">
        <v>20</v>
      </c>
      <c r="G289" t="s">
        <v>38</v>
      </c>
      <c r="H289" t="s">
        <v>147</v>
      </c>
      <c r="I289" t="s">
        <v>23</v>
      </c>
      <c r="J289" t="s">
        <v>27</v>
      </c>
      <c r="K289" s="3">
        <v>4960</v>
      </c>
      <c r="O289" s="4">
        <v>0</v>
      </c>
      <c r="P289" s="3">
        <v>0</v>
      </c>
    </row>
    <row r="290" spans="1:16" ht="15" customHeight="1" x14ac:dyDescent="0.3">
      <c r="A290">
        <v>2014</v>
      </c>
      <c r="B290" s="2">
        <v>41961</v>
      </c>
      <c r="C290" t="s">
        <v>389</v>
      </c>
      <c r="D290" t="s">
        <v>308</v>
      </c>
      <c r="E290" t="s">
        <v>408</v>
      </c>
      <c r="F290" t="s">
        <v>20</v>
      </c>
      <c r="G290" t="s">
        <v>38</v>
      </c>
      <c r="H290" t="s">
        <v>89</v>
      </c>
      <c r="I290" t="s">
        <v>23</v>
      </c>
      <c r="J290" t="s">
        <v>27</v>
      </c>
      <c r="K290" s="3">
        <v>1800</v>
      </c>
      <c r="O290" s="4">
        <v>0</v>
      </c>
      <c r="P290" s="3">
        <v>0</v>
      </c>
    </row>
    <row r="291" spans="1:16" ht="15" customHeight="1" x14ac:dyDescent="0.3">
      <c r="A291">
        <v>2014</v>
      </c>
      <c r="B291" s="2">
        <v>41962</v>
      </c>
      <c r="C291" t="s">
        <v>389</v>
      </c>
      <c r="D291" t="s">
        <v>409</v>
      </c>
      <c r="E291" t="s">
        <v>410</v>
      </c>
      <c r="F291" t="s">
        <v>20</v>
      </c>
      <c r="G291" t="s">
        <v>38</v>
      </c>
      <c r="H291" t="s">
        <v>89</v>
      </c>
      <c r="I291" t="s">
        <v>23</v>
      </c>
      <c r="J291" t="s">
        <v>27</v>
      </c>
      <c r="K291" s="3">
        <v>578.46</v>
      </c>
      <c r="O291" s="4">
        <v>0</v>
      </c>
      <c r="P291" s="3">
        <v>0</v>
      </c>
    </row>
    <row r="292" spans="1:16" ht="15" customHeight="1" x14ac:dyDescent="0.3">
      <c r="A292">
        <v>2014</v>
      </c>
      <c r="B292" s="2">
        <v>41962</v>
      </c>
      <c r="C292" t="s">
        <v>389</v>
      </c>
      <c r="D292" t="s">
        <v>69</v>
      </c>
      <c r="E292" t="s">
        <v>410</v>
      </c>
      <c r="F292" t="s">
        <v>20</v>
      </c>
      <c r="G292" t="s">
        <v>21</v>
      </c>
      <c r="H292" t="s">
        <v>22</v>
      </c>
      <c r="I292" t="s">
        <v>23</v>
      </c>
      <c r="J292" t="s">
        <v>27</v>
      </c>
      <c r="K292" s="3">
        <v>136.52000000000001</v>
      </c>
      <c r="O292" s="4">
        <v>0</v>
      </c>
      <c r="P292" s="3">
        <v>0</v>
      </c>
    </row>
    <row r="293" spans="1:16" ht="15" customHeight="1" x14ac:dyDescent="0.3">
      <c r="A293">
        <v>2014</v>
      </c>
      <c r="B293" s="2">
        <v>41964</v>
      </c>
      <c r="C293" t="s">
        <v>389</v>
      </c>
      <c r="D293" t="s">
        <v>362</v>
      </c>
      <c r="E293" t="s">
        <v>410</v>
      </c>
      <c r="F293" t="s">
        <v>20</v>
      </c>
      <c r="G293" t="s">
        <v>21</v>
      </c>
      <c r="H293" t="s">
        <v>22</v>
      </c>
      <c r="I293" t="s">
        <v>23</v>
      </c>
      <c r="J293" t="s">
        <v>27</v>
      </c>
      <c r="K293" s="3">
        <v>5216</v>
      </c>
      <c r="O293" s="4">
        <v>0</v>
      </c>
      <c r="P293" s="3">
        <v>0</v>
      </c>
    </row>
    <row r="294" spans="1:16" ht="15" customHeight="1" x14ac:dyDescent="0.3">
      <c r="A294">
        <v>2014</v>
      </c>
      <c r="B294" s="2">
        <v>41964</v>
      </c>
      <c r="C294" t="s">
        <v>389</v>
      </c>
      <c r="D294" t="s">
        <v>279</v>
      </c>
      <c r="E294" t="s">
        <v>411</v>
      </c>
      <c r="F294" t="s">
        <v>20</v>
      </c>
      <c r="G294" t="s">
        <v>21</v>
      </c>
      <c r="H294" t="s">
        <v>22</v>
      </c>
      <c r="I294" t="s">
        <v>23</v>
      </c>
      <c r="J294" t="s">
        <v>27</v>
      </c>
      <c r="K294" s="3">
        <v>400</v>
      </c>
      <c r="O294" s="4">
        <v>0</v>
      </c>
      <c r="P294" s="3">
        <v>0</v>
      </c>
    </row>
    <row r="295" spans="1:16" ht="15" customHeight="1" x14ac:dyDescent="0.3">
      <c r="A295">
        <v>2014</v>
      </c>
      <c r="B295" s="2">
        <v>41967</v>
      </c>
      <c r="C295" t="s">
        <v>389</v>
      </c>
      <c r="D295" t="s">
        <v>47</v>
      </c>
      <c r="E295" t="s">
        <v>412</v>
      </c>
      <c r="F295" t="s">
        <v>20</v>
      </c>
      <c r="G295" t="s">
        <v>38</v>
      </c>
      <c r="H295" t="s">
        <v>39</v>
      </c>
      <c r="I295" t="s">
        <v>23</v>
      </c>
      <c r="J295" t="s">
        <v>27</v>
      </c>
      <c r="K295" s="3">
        <v>1600</v>
      </c>
      <c r="O295" s="4">
        <v>0</v>
      </c>
      <c r="P295" s="3">
        <v>0</v>
      </c>
    </row>
    <row r="296" spans="1:16" ht="15" customHeight="1" x14ac:dyDescent="0.3">
      <c r="A296">
        <v>2014</v>
      </c>
      <c r="B296" s="2">
        <v>41967</v>
      </c>
      <c r="C296" t="s">
        <v>389</v>
      </c>
      <c r="D296" t="s">
        <v>76</v>
      </c>
      <c r="E296" t="s">
        <v>411</v>
      </c>
      <c r="F296" t="s">
        <v>20</v>
      </c>
      <c r="G296" t="s">
        <v>21</v>
      </c>
      <c r="H296" t="s">
        <v>22</v>
      </c>
      <c r="I296" t="s">
        <v>23</v>
      </c>
      <c r="J296" t="s">
        <v>27</v>
      </c>
      <c r="K296" s="3">
        <v>1040</v>
      </c>
      <c r="O296" s="4">
        <v>0</v>
      </c>
      <c r="P296" s="3">
        <v>0</v>
      </c>
    </row>
    <row r="297" spans="1:16" ht="15" customHeight="1" x14ac:dyDescent="0.3">
      <c r="A297">
        <v>2014</v>
      </c>
      <c r="B297" s="2">
        <v>41967</v>
      </c>
      <c r="C297" t="s">
        <v>389</v>
      </c>
      <c r="D297" t="s">
        <v>308</v>
      </c>
      <c r="E297" t="s">
        <v>410</v>
      </c>
      <c r="F297" t="s">
        <v>20</v>
      </c>
      <c r="G297" t="s">
        <v>38</v>
      </c>
      <c r="H297" t="s">
        <v>89</v>
      </c>
      <c r="I297" t="s">
        <v>23</v>
      </c>
      <c r="J297" t="s">
        <v>27</v>
      </c>
      <c r="K297" s="3">
        <v>2640</v>
      </c>
      <c r="O297" s="4">
        <v>0</v>
      </c>
      <c r="P297" s="3">
        <v>0</v>
      </c>
    </row>
    <row r="298" spans="1:16" ht="15" customHeight="1" x14ac:dyDescent="0.3">
      <c r="A298">
        <v>2014</v>
      </c>
      <c r="B298" s="2">
        <v>41967</v>
      </c>
      <c r="C298" t="s">
        <v>389</v>
      </c>
      <c r="D298" t="s">
        <v>69</v>
      </c>
      <c r="E298" t="s">
        <v>410</v>
      </c>
      <c r="F298" t="s">
        <v>20</v>
      </c>
      <c r="G298" t="s">
        <v>21</v>
      </c>
      <c r="H298" t="s">
        <v>22</v>
      </c>
      <c r="I298" t="s">
        <v>23</v>
      </c>
      <c r="J298" t="s">
        <v>27</v>
      </c>
      <c r="K298" s="3">
        <v>1100</v>
      </c>
      <c r="O298" s="4">
        <v>0</v>
      </c>
      <c r="P298" s="3">
        <v>0</v>
      </c>
    </row>
    <row r="299" spans="1:16" ht="15" customHeight="1" x14ac:dyDescent="0.3">
      <c r="A299">
        <v>2014</v>
      </c>
      <c r="B299" s="2">
        <v>41967</v>
      </c>
      <c r="C299" t="s">
        <v>389</v>
      </c>
      <c r="D299" t="s">
        <v>353</v>
      </c>
      <c r="E299" t="s">
        <v>413</v>
      </c>
      <c r="F299" t="s">
        <v>20</v>
      </c>
      <c r="G299" t="s">
        <v>21</v>
      </c>
      <c r="H299" t="s">
        <v>22</v>
      </c>
      <c r="I299" t="s">
        <v>23</v>
      </c>
      <c r="J299" t="s">
        <v>27</v>
      </c>
      <c r="K299" s="3">
        <v>100</v>
      </c>
      <c r="O299" s="4">
        <v>0</v>
      </c>
      <c r="P299" s="3">
        <v>0</v>
      </c>
    </row>
    <row r="300" spans="1:16" ht="15" customHeight="1" x14ac:dyDescent="0.3">
      <c r="A300">
        <v>2014</v>
      </c>
      <c r="B300" s="2">
        <v>41969</v>
      </c>
      <c r="C300" t="s">
        <v>389</v>
      </c>
      <c r="D300" t="s">
        <v>30</v>
      </c>
      <c r="E300" t="s">
        <v>410</v>
      </c>
      <c r="F300" t="s">
        <v>20</v>
      </c>
      <c r="G300" t="s">
        <v>21</v>
      </c>
      <c r="H300" t="s">
        <v>22</v>
      </c>
      <c r="I300" t="s">
        <v>23</v>
      </c>
      <c r="J300" t="s">
        <v>27</v>
      </c>
      <c r="K300" s="3">
        <v>1000</v>
      </c>
      <c r="O300" s="4">
        <v>0</v>
      </c>
      <c r="P300" s="3">
        <v>0</v>
      </c>
    </row>
    <row r="301" spans="1:16" ht="15" customHeight="1" x14ac:dyDescent="0.3">
      <c r="A301">
        <v>2014</v>
      </c>
      <c r="B301" s="2">
        <v>41969</v>
      </c>
      <c r="C301" t="s">
        <v>389</v>
      </c>
      <c r="D301" t="s">
        <v>30</v>
      </c>
      <c r="E301" t="s">
        <v>410</v>
      </c>
      <c r="F301" t="s">
        <v>20</v>
      </c>
      <c r="G301" t="s">
        <v>21</v>
      </c>
      <c r="H301" t="s">
        <v>22</v>
      </c>
      <c r="I301" t="s">
        <v>23</v>
      </c>
      <c r="J301" t="s">
        <v>27</v>
      </c>
      <c r="K301" s="3">
        <v>800</v>
      </c>
      <c r="O301" s="4">
        <v>0</v>
      </c>
      <c r="P301" s="3">
        <v>0</v>
      </c>
    </row>
    <row r="302" spans="1:16" ht="15" customHeight="1" x14ac:dyDescent="0.3">
      <c r="A302">
        <v>2014</v>
      </c>
      <c r="B302" s="2">
        <v>41969</v>
      </c>
      <c r="C302" t="s">
        <v>389</v>
      </c>
      <c r="D302" t="s">
        <v>188</v>
      </c>
      <c r="E302" t="s">
        <v>414</v>
      </c>
      <c r="F302" t="s">
        <v>20</v>
      </c>
      <c r="G302" t="s">
        <v>107</v>
      </c>
      <c r="H302" t="s">
        <v>108</v>
      </c>
      <c r="I302" t="s">
        <v>23</v>
      </c>
      <c r="J302" t="s">
        <v>27</v>
      </c>
      <c r="K302" s="3">
        <v>300</v>
      </c>
      <c r="O302" s="4">
        <v>0</v>
      </c>
      <c r="P302" s="3">
        <v>0</v>
      </c>
    </row>
    <row r="303" spans="1:16" ht="15" customHeight="1" x14ac:dyDescent="0.3">
      <c r="A303">
        <v>2014</v>
      </c>
      <c r="B303" s="2">
        <v>41971</v>
      </c>
      <c r="C303" t="s">
        <v>389</v>
      </c>
      <c r="D303" t="s">
        <v>279</v>
      </c>
      <c r="E303" t="s">
        <v>415</v>
      </c>
      <c r="F303" t="s">
        <v>20</v>
      </c>
      <c r="G303" t="s">
        <v>21</v>
      </c>
      <c r="H303" t="s">
        <v>22</v>
      </c>
      <c r="I303" t="s">
        <v>23</v>
      </c>
      <c r="J303" t="s">
        <v>27</v>
      </c>
      <c r="K303" s="3">
        <v>1715</v>
      </c>
      <c r="O303" s="4">
        <v>0</v>
      </c>
      <c r="P303" s="3">
        <v>0</v>
      </c>
    </row>
    <row r="304" spans="1:16" ht="15" customHeight="1" x14ac:dyDescent="0.3">
      <c r="A304">
        <v>2014</v>
      </c>
      <c r="B304" s="2">
        <v>41974</v>
      </c>
      <c r="C304" t="s">
        <v>416</v>
      </c>
      <c r="D304" t="s">
        <v>45</v>
      </c>
      <c r="E304" t="s">
        <v>417</v>
      </c>
      <c r="F304" t="s">
        <v>20</v>
      </c>
      <c r="G304" t="s">
        <v>38</v>
      </c>
      <c r="H304" t="s">
        <v>39</v>
      </c>
      <c r="I304" t="s">
        <v>23</v>
      </c>
      <c r="J304" t="s">
        <v>27</v>
      </c>
      <c r="K304" s="3">
        <v>1600</v>
      </c>
      <c r="O304" s="4">
        <v>0</v>
      </c>
      <c r="P304" s="3">
        <v>0</v>
      </c>
    </row>
    <row r="305" spans="1:16" ht="15" customHeight="1" x14ac:dyDescent="0.3">
      <c r="A305">
        <v>2014</v>
      </c>
      <c r="B305" s="2">
        <v>41976</v>
      </c>
      <c r="C305" t="s">
        <v>416</v>
      </c>
      <c r="D305" t="s">
        <v>56</v>
      </c>
      <c r="E305" t="s">
        <v>418</v>
      </c>
      <c r="F305" t="s">
        <v>20</v>
      </c>
      <c r="G305" t="s">
        <v>21</v>
      </c>
      <c r="H305" t="s">
        <v>22</v>
      </c>
      <c r="I305" t="s">
        <v>23</v>
      </c>
      <c r="J305" t="s">
        <v>27</v>
      </c>
      <c r="K305" s="3">
        <v>3150</v>
      </c>
      <c r="O305" s="4">
        <v>0</v>
      </c>
      <c r="P305" s="3">
        <v>0</v>
      </c>
    </row>
    <row r="306" spans="1:16" ht="15" customHeight="1" x14ac:dyDescent="0.3">
      <c r="A306">
        <v>2014</v>
      </c>
      <c r="B306" s="2">
        <v>41977</v>
      </c>
      <c r="C306" t="s">
        <v>416</v>
      </c>
      <c r="D306" t="s">
        <v>61</v>
      </c>
      <c r="E306" t="s">
        <v>410</v>
      </c>
      <c r="F306" t="s">
        <v>20</v>
      </c>
      <c r="G306" t="s">
        <v>21</v>
      </c>
      <c r="H306" t="s">
        <v>22</v>
      </c>
      <c r="I306" t="s">
        <v>23</v>
      </c>
      <c r="J306" t="s">
        <v>27</v>
      </c>
      <c r="K306" s="3">
        <v>280</v>
      </c>
      <c r="O306" s="4">
        <v>0</v>
      </c>
      <c r="P306" s="3">
        <v>0</v>
      </c>
    </row>
    <row r="307" spans="1:16" ht="15" customHeight="1" x14ac:dyDescent="0.3">
      <c r="A307">
        <v>2014</v>
      </c>
      <c r="B307" s="2">
        <v>41978</v>
      </c>
      <c r="C307" t="s">
        <v>416</v>
      </c>
      <c r="D307" t="s">
        <v>45</v>
      </c>
      <c r="E307" t="s">
        <v>410</v>
      </c>
      <c r="F307" t="s">
        <v>20</v>
      </c>
      <c r="G307" t="s">
        <v>38</v>
      </c>
      <c r="H307" t="s">
        <v>39</v>
      </c>
      <c r="I307" t="s">
        <v>23</v>
      </c>
      <c r="J307" t="s">
        <v>27</v>
      </c>
      <c r="K307" s="3">
        <v>441</v>
      </c>
      <c r="O307" s="4">
        <v>0</v>
      </c>
      <c r="P307" s="3">
        <v>0</v>
      </c>
    </row>
    <row r="308" spans="1:16" ht="15" customHeight="1" x14ac:dyDescent="0.3">
      <c r="A308">
        <v>2014</v>
      </c>
      <c r="B308" s="2">
        <v>41978</v>
      </c>
      <c r="C308" t="s">
        <v>416</v>
      </c>
      <c r="D308" t="s">
        <v>364</v>
      </c>
      <c r="E308" t="s">
        <v>419</v>
      </c>
      <c r="F308" t="s">
        <v>20</v>
      </c>
      <c r="G308" t="s">
        <v>21</v>
      </c>
      <c r="H308" t="s">
        <v>101</v>
      </c>
      <c r="I308" t="s">
        <v>136</v>
      </c>
      <c r="J308" t="s">
        <v>50</v>
      </c>
      <c r="K308" s="3">
        <v>34663.19</v>
      </c>
      <c r="O308" s="4">
        <v>0</v>
      </c>
      <c r="P308" s="3">
        <v>0</v>
      </c>
    </row>
    <row r="309" spans="1:16" ht="15" customHeight="1" x14ac:dyDescent="0.3">
      <c r="A309">
        <v>2014</v>
      </c>
      <c r="B309" s="2">
        <v>41982</v>
      </c>
      <c r="C309" t="s">
        <v>416</v>
      </c>
      <c r="D309" t="s">
        <v>369</v>
      </c>
      <c r="E309" t="s">
        <v>420</v>
      </c>
      <c r="F309" t="s">
        <v>20</v>
      </c>
      <c r="G309" t="s">
        <v>38</v>
      </c>
      <c r="H309" t="s">
        <v>147</v>
      </c>
      <c r="I309" t="s">
        <v>136</v>
      </c>
      <c r="J309" t="s">
        <v>123</v>
      </c>
      <c r="K309" s="3">
        <v>350000</v>
      </c>
      <c r="O309" s="4">
        <v>0</v>
      </c>
      <c r="P309" s="3">
        <v>0</v>
      </c>
    </row>
    <row r="310" spans="1:16" ht="15" customHeight="1" x14ac:dyDescent="0.3">
      <c r="A310">
        <v>2014</v>
      </c>
      <c r="B310" s="2">
        <v>41986</v>
      </c>
      <c r="C310" t="s">
        <v>416</v>
      </c>
      <c r="D310" t="s">
        <v>247</v>
      </c>
      <c r="E310" t="s">
        <v>421</v>
      </c>
      <c r="F310" t="s">
        <v>20</v>
      </c>
      <c r="G310" t="s">
        <v>21</v>
      </c>
      <c r="H310" t="s">
        <v>22</v>
      </c>
      <c r="I310" t="s">
        <v>23</v>
      </c>
      <c r="J310" t="s">
        <v>27</v>
      </c>
      <c r="K310" s="3">
        <v>400</v>
      </c>
      <c r="O310" s="4">
        <v>0</v>
      </c>
      <c r="P310" s="3">
        <v>0</v>
      </c>
    </row>
    <row r="311" spans="1:16" ht="15" customHeight="1" x14ac:dyDescent="0.3">
      <c r="A311">
        <v>2014</v>
      </c>
      <c r="B311" s="2">
        <v>41988</v>
      </c>
      <c r="C311" t="s">
        <v>416</v>
      </c>
      <c r="D311" t="s">
        <v>422</v>
      </c>
      <c r="E311" t="s">
        <v>410</v>
      </c>
      <c r="F311" t="s">
        <v>20</v>
      </c>
      <c r="G311" t="s">
        <v>21</v>
      </c>
      <c r="H311" t="s">
        <v>22</v>
      </c>
      <c r="I311" t="s">
        <v>23</v>
      </c>
      <c r="J311" t="s">
        <v>27</v>
      </c>
      <c r="K311" s="3">
        <v>1100</v>
      </c>
      <c r="O311" s="4">
        <v>0</v>
      </c>
      <c r="P311" s="3">
        <v>0</v>
      </c>
    </row>
    <row r="312" spans="1:16" ht="15" customHeight="1" x14ac:dyDescent="0.3">
      <c r="A312">
        <v>2014</v>
      </c>
      <c r="B312" s="2">
        <v>41988</v>
      </c>
      <c r="C312" t="s">
        <v>416</v>
      </c>
      <c r="D312" t="s">
        <v>67</v>
      </c>
      <c r="E312" t="s">
        <v>410</v>
      </c>
      <c r="F312" t="s">
        <v>20</v>
      </c>
      <c r="G312" t="s">
        <v>21</v>
      </c>
      <c r="H312" t="s">
        <v>22</v>
      </c>
      <c r="I312" t="s">
        <v>23</v>
      </c>
      <c r="J312" t="s">
        <v>27</v>
      </c>
      <c r="K312" s="3">
        <v>600</v>
      </c>
      <c r="O312" s="4">
        <v>0</v>
      </c>
      <c r="P312" s="3">
        <v>0</v>
      </c>
    </row>
    <row r="313" spans="1:16" ht="15" customHeight="1" x14ac:dyDescent="0.3">
      <c r="A313">
        <v>2014</v>
      </c>
      <c r="B313" s="2">
        <v>41990</v>
      </c>
      <c r="C313" t="s">
        <v>416</v>
      </c>
      <c r="D313" t="s">
        <v>76</v>
      </c>
      <c r="E313" t="s">
        <v>423</v>
      </c>
      <c r="F313" t="s">
        <v>20</v>
      </c>
      <c r="G313" t="s">
        <v>21</v>
      </c>
      <c r="H313" t="s">
        <v>22</v>
      </c>
      <c r="I313" t="s">
        <v>23</v>
      </c>
      <c r="J313" t="s">
        <v>27</v>
      </c>
      <c r="K313" s="3">
        <v>1083</v>
      </c>
      <c r="O313" s="4">
        <v>0</v>
      </c>
      <c r="P313" s="3">
        <v>0</v>
      </c>
    </row>
    <row r="314" spans="1:16" ht="15" customHeight="1" x14ac:dyDescent="0.3">
      <c r="A314">
        <v>2014</v>
      </c>
      <c r="B314" s="2">
        <v>41990</v>
      </c>
      <c r="C314" t="s">
        <v>416</v>
      </c>
      <c r="D314" t="s">
        <v>409</v>
      </c>
      <c r="E314" t="s">
        <v>410</v>
      </c>
      <c r="F314" t="s">
        <v>20</v>
      </c>
      <c r="G314" t="s">
        <v>38</v>
      </c>
      <c r="H314" t="s">
        <v>89</v>
      </c>
      <c r="I314" t="s">
        <v>23</v>
      </c>
      <c r="J314" t="s">
        <v>27</v>
      </c>
      <c r="K314" s="3">
        <v>653.41999999999996</v>
      </c>
      <c r="O314" s="4">
        <v>0</v>
      </c>
      <c r="P314" s="3">
        <v>0</v>
      </c>
    </row>
    <row r="315" spans="1:16" ht="15" customHeight="1" x14ac:dyDescent="0.3">
      <c r="A315">
        <v>2014</v>
      </c>
      <c r="B315" s="2">
        <v>41990</v>
      </c>
      <c r="C315" t="s">
        <v>416</v>
      </c>
      <c r="D315" t="s">
        <v>424</v>
      </c>
      <c r="E315" t="s">
        <v>425</v>
      </c>
      <c r="F315" t="s">
        <v>20</v>
      </c>
      <c r="G315" t="s">
        <v>38</v>
      </c>
      <c r="H315" t="s">
        <v>89</v>
      </c>
      <c r="I315" t="s">
        <v>23</v>
      </c>
      <c r="J315" t="s">
        <v>27</v>
      </c>
      <c r="K315" s="3">
        <v>650</v>
      </c>
      <c r="O315" s="4">
        <v>0</v>
      </c>
      <c r="P315" s="3">
        <v>0</v>
      </c>
    </row>
    <row r="316" spans="1:16" ht="15" customHeight="1" x14ac:dyDescent="0.3">
      <c r="A316">
        <v>2014</v>
      </c>
      <c r="B316" s="2">
        <v>41990</v>
      </c>
      <c r="C316" t="s">
        <v>416</v>
      </c>
      <c r="D316" t="s">
        <v>424</v>
      </c>
      <c r="E316" t="s">
        <v>410</v>
      </c>
      <c r="F316" t="s">
        <v>20</v>
      </c>
      <c r="G316" t="s">
        <v>38</v>
      </c>
      <c r="H316" t="s">
        <v>89</v>
      </c>
      <c r="I316" t="s">
        <v>23</v>
      </c>
      <c r="J316" t="s">
        <v>27</v>
      </c>
      <c r="K316" s="3">
        <v>493</v>
      </c>
      <c r="O316" s="4">
        <v>0</v>
      </c>
      <c r="P316" s="3">
        <v>0</v>
      </c>
    </row>
    <row r="317" spans="1:16" ht="15" customHeight="1" x14ac:dyDescent="0.3">
      <c r="A317">
        <v>2014</v>
      </c>
      <c r="B317" s="2">
        <v>41991</v>
      </c>
      <c r="C317" t="s">
        <v>416</v>
      </c>
      <c r="D317" t="s">
        <v>358</v>
      </c>
      <c r="E317" t="s">
        <v>426</v>
      </c>
      <c r="F317" t="s">
        <v>20</v>
      </c>
      <c r="G317" t="s">
        <v>38</v>
      </c>
      <c r="H317" t="s">
        <v>147</v>
      </c>
      <c r="I317" t="s">
        <v>23</v>
      </c>
      <c r="J317" t="s">
        <v>27</v>
      </c>
      <c r="K317" s="3">
        <v>1685</v>
      </c>
      <c r="O317" s="4">
        <v>0</v>
      </c>
      <c r="P317" s="3">
        <v>0</v>
      </c>
    </row>
    <row r="318" spans="1:16" ht="15" customHeight="1" x14ac:dyDescent="0.3">
      <c r="A318">
        <v>2014</v>
      </c>
      <c r="B318" s="2">
        <v>41991</v>
      </c>
      <c r="C318" t="s">
        <v>416</v>
      </c>
      <c r="D318" t="s">
        <v>56</v>
      </c>
      <c r="E318" t="s">
        <v>427</v>
      </c>
      <c r="F318" t="s">
        <v>20</v>
      </c>
      <c r="G318" t="s">
        <v>21</v>
      </c>
      <c r="H318" t="s">
        <v>22</v>
      </c>
      <c r="I318" t="s">
        <v>23</v>
      </c>
      <c r="J318" t="s">
        <v>27</v>
      </c>
      <c r="K318" s="3">
        <v>500</v>
      </c>
      <c r="O318" s="4">
        <v>0</v>
      </c>
      <c r="P318" s="3">
        <v>0</v>
      </c>
    </row>
    <row r="319" spans="1:16" ht="15" customHeight="1" x14ac:dyDescent="0.3">
      <c r="A319">
        <v>2014</v>
      </c>
      <c r="B319" s="2">
        <v>41995</v>
      </c>
      <c r="C319" t="s">
        <v>416</v>
      </c>
      <c r="D319" t="s">
        <v>279</v>
      </c>
      <c r="E319" t="s">
        <v>428</v>
      </c>
      <c r="F319" t="s">
        <v>20</v>
      </c>
      <c r="G319" t="s">
        <v>21</v>
      </c>
      <c r="H319" t="s">
        <v>22</v>
      </c>
      <c r="I319" t="s">
        <v>23</v>
      </c>
      <c r="J319" t="s">
        <v>27</v>
      </c>
      <c r="K319" s="3">
        <v>1625</v>
      </c>
      <c r="O319" s="4">
        <v>0</v>
      </c>
      <c r="P319" s="3">
        <v>0</v>
      </c>
    </row>
    <row r="320" spans="1:16" ht="15" customHeight="1" x14ac:dyDescent="0.3">
      <c r="A320">
        <v>2014</v>
      </c>
      <c r="B320" s="2">
        <v>41996</v>
      </c>
      <c r="C320" t="s">
        <v>416</v>
      </c>
      <c r="D320" t="s">
        <v>18</v>
      </c>
      <c r="E320" t="s">
        <v>429</v>
      </c>
      <c r="F320" t="s">
        <v>20</v>
      </c>
      <c r="G320" t="s">
        <v>21</v>
      </c>
      <c r="H320" t="s">
        <v>22</v>
      </c>
      <c r="I320" t="s">
        <v>23</v>
      </c>
      <c r="J320" t="s">
        <v>27</v>
      </c>
      <c r="K320" s="3">
        <v>180</v>
      </c>
      <c r="O320" s="4">
        <v>0</v>
      </c>
      <c r="P320" s="3">
        <v>0</v>
      </c>
    </row>
    <row r="321" spans="1:16" ht="15" customHeight="1" x14ac:dyDescent="0.3">
      <c r="A321">
        <v>2014</v>
      </c>
      <c r="B321" s="2">
        <v>41999</v>
      </c>
      <c r="C321" t="s">
        <v>416</v>
      </c>
      <c r="D321" t="s">
        <v>56</v>
      </c>
      <c r="E321" t="s">
        <v>410</v>
      </c>
      <c r="F321" t="s">
        <v>20</v>
      </c>
      <c r="G321" t="s">
        <v>21</v>
      </c>
      <c r="H321" t="s">
        <v>22</v>
      </c>
      <c r="I321" t="s">
        <v>23</v>
      </c>
      <c r="J321" t="s">
        <v>27</v>
      </c>
      <c r="K321" s="3">
        <v>120</v>
      </c>
      <c r="O321" s="4">
        <v>0</v>
      </c>
      <c r="P321" s="3">
        <v>0</v>
      </c>
    </row>
    <row r="322" spans="1:16" ht="15" customHeight="1" x14ac:dyDescent="0.3">
      <c r="A322">
        <v>2014</v>
      </c>
      <c r="B322" s="2">
        <v>42000</v>
      </c>
      <c r="C322" t="s">
        <v>416</v>
      </c>
      <c r="D322" t="s">
        <v>76</v>
      </c>
      <c r="E322" t="s">
        <v>430</v>
      </c>
      <c r="F322" t="s">
        <v>20</v>
      </c>
      <c r="G322" t="s">
        <v>21</v>
      </c>
      <c r="H322" t="s">
        <v>22</v>
      </c>
      <c r="I322" t="s">
        <v>23</v>
      </c>
      <c r="J322" t="s">
        <v>27</v>
      </c>
      <c r="K322" s="3">
        <v>5700</v>
      </c>
      <c r="O322" s="4">
        <v>0</v>
      </c>
      <c r="P322" s="3">
        <v>0</v>
      </c>
    </row>
    <row r="323" spans="1:16" ht="15" customHeight="1" x14ac:dyDescent="0.3">
      <c r="A323">
        <v>2015</v>
      </c>
      <c r="B323" s="2">
        <v>42005</v>
      </c>
      <c r="C323" t="s">
        <v>17</v>
      </c>
      <c r="D323" t="s">
        <v>358</v>
      </c>
      <c r="E323" t="s">
        <v>431</v>
      </c>
      <c r="F323" t="s">
        <v>20</v>
      </c>
      <c r="G323" t="s">
        <v>38</v>
      </c>
      <c r="H323" t="s">
        <v>147</v>
      </c>
      <c r="I323" t="s">
        <v>136</v>
      </c>
      <c r="J323" t="s">
        <v>123</v>
      </c>
      <c r="K323" s="3">
        <v>248619.48</v>
      </c>
      <c r="O323" s="4">
        <v>0</v>
      </c>
      <c r="P323" s="3">
        <v>0</v>
      </c>
    </row>
    <row r="324" spans="1:16" ht="15" customHeight="1" x14ac:dyDescent="0.3">
      <c r="A324">
        <v>2015</v>
      </c>
      <c r="B324" s="2">
        <v>42005</v>
      </c>
      <c r="C324" t="s">
        <v>17</v>
      </c>
      <c r="D324" t="s">
        <v>47</v>
      </c>
      <c r="E324" t="s">
        <v>432</v>
      </c>
      <c r="F324" t="s">
        <v>20</v>
      </c>
      <c r="G324" t="s">
        <v>38</v>
      </c>
      <c r="H324" t="s">
        <v>39</v>
      </c>
      <c r="I324" t="s">
        <v>49</v>
      </c>
      <c r="J324" t="s">
        <v>123</v>
      </c>
      <c r="K324" s="3">
        <v>175000</v>
      </c>
      <c r="O324" s="4">
        <v>0</v>
      </c>
      <c r="P324" s="3">
        <v>0</v>
      </c>
    </row>
    <row r="325" spans="1:16" ht="15" customHeight="1" x14ac:dyDescent="0.3">
      <c r="A325">
        <v>2015</v>
      </c>
      <c r="B325" s="2">
        <v>42005</v>
      </c>
      <c r="C325" t="s">
        <v>17</v>
      </c>
      <c r="D325" t="s">
        <v>369</v>
      </c>
      <c r="E325" t="s">
        <v>433</v>
      </c>
      <c r="F325" t="s">
        <v>20</v>
      </c>
      <c r="G325" t="s">
        <v>38</v>
      </c>
      <c r="H325" t="s">
        <v>147</v>
      </c>
      <c r="I325" t="s">
        <v>136</v>
      </c>
      <c r="J325" t="s">
        <v>123</v>
      </c>
      <c r="K325" s="3">
        <v>350576.8</v>
      </c>
      <c r="O325" s="4">
        <v>0</v>
      </c>
      <c r="P325" s="3">
        <v>0</v>
      </c>
    </row>
    <row r="326" spans="1:16" ht="15" customHeight="1" x14ac:dyDescent="0.3">
      <c r="A326">
        <v>2015</v>
      </c>
      <c r="B326" s="2">
        <v>42005</v>
      </c>
      <c r="C326" t="s">
        <v>17</v>
      </c>
      <c r="D326" t="s">
        <v>45</v>
      </c>
      <c r="E326" t="s">
        <v>434</v>
      </c>
      <c r="F326" t="s">
        <v>20</v>
      </c>
      <c r="G326" t="s">
        <v>38</v>
      </c>
      <c r="H326" t="s">
        <v>39</v>
      </c>
      <c r="I326" t="s">
        <v>122</v>
      </c>
      <c r="J326" t="s">
        <v>50</v>
      </c>
      <c r="K326" s="3">
        <v>154000</v>
      </c>
      <c r="O326" s="4">
        <v>0</v>
      </c>
      <c r="P326" s="3">
        <v>0</v>
      </c>
    </row>
    <row r="327" spans="1:16" ht="15" customHeight="1" x14ac:dyDescent="0.3">
      <c r="A327">
        <v>2015</v>
      </c>
      <c r="B327" s="2">
        <v>42006</v>
      </c>
      <c r="C327" t="s">
        <v>17</v>
      </c>
      <c r="D327" t="s">
        <v>76</v>
      </c>
      <c r="E327" t="s">
        <v>435</v>
      </c>
      <c r="F327" t="s">
        <v>20</v>
      </c>
      <c r="G327" t="s">
        <v>21</v>
      </c>
      <c r="H327" t="s">
        <v>22</v>
      </c>
      <c r="I327" t="s">
        <v>23</v>
      </c>
      <c r="J327" t="s">
        <v>27</v>
      </c>
      <c r="K327" s="3">
        <v>5700</v>
      </c>
      <c r="O327" s="4">
        <v>0</v>
      </c>
      <c r="P327" s="3">
        <v>0</v>
      </c>
    </row>
    <row r="328" spans="1:16" ht="15" customHeight="1" x14ac:dyDescent="0.3">
      <c r="A328">
        <v>2015</v>
      </c>
      <c r="B328" s="2">
        <v>42007</v>
      </c>
      <c r="C328" t="s">
        <v>17</v>
      </c>
      <c r="D328" t="s">
        <v>301</v>
      </c>
      <c r="E328" t="s">
        <v>436</v>
      </c>
      <c r="F328" t="s">
        <v>20</v>
      </c>
      <c r="G328" t="s">
        <v>21</v>
      </c>
      <c r="H328" t="s">
        <v>22</v>
      </c>
      <c r="I328" t="s">
        <v>122</v>
      </c>
      <c r="J328" t="s">
        <v>123</v>
      </c>
      <c r="K328" s="3">
        <v>242284.97</v>
      </c>
      <c r="O328" s="4">
        <v>0</v>
      </c>
      <c r="P328" s="3">
        <v>0</v>
      </c>
    </row>
    <row r="329" spans="1:16" ht="15" customHeight="1" x14ac:dyDescent="0.3">
      <c r="A329">
        <v>2015</v>
      </c>
      <c r="B329" s="2">
        <v>42007</v>
      </c>
      <c r="C329" t="s">
        <v>17</v>
      </c>
      <c r="D329" t="s">
        <v>301</v>
      </c>
      <c r="E329" t="s">
        <v>437</v>
      </c>
      <c r="F329" t="s">
        <v>20</v>
      </c>
      <c r="G329" t="s">
        <v>21</v>
      </c>
      <c r="H329" t="s">
        <v>22</v>
      </c>
      <c r="I329" t="s">
        <v>136</v>
      </c>
      <c r="J329" t="s">
        <v>123</v>
      </c>
      <c r="K329" s="3">
        <v>208444.25</v>
      </c>
      <c r="O329" s="4">
        <v>0</v>
      </c>
      <c r="P329" s="3">
        <v>0</v>
      </c>
    </row>
    <row r="330" spans="1:16" ht="15" customHeight="1" x14ac:dyDescent="0.3">
      <c r="A330">
        <v>2015</v>
      </c>
      <c r="B330" s="2">
        <v>42009</v>
      </c>
      <c r="C330" t="s">
        <v>17</v>
      </c>
      <c r="D330" t="s">
        <v>30</v>
      </c>
      <c r="E330" t="s">
        <v>438</v>
      </c>
      <c r="F330" t="s">
        <v>20</v>
      </c>
      <c r="G330" t="s">
        <v>21</v>
      </c>
      <c r="H330" t="s">
        <v>22</v>
      </c>
      <c r="I330" t="s">
        <v>136</v>
      </c>
      <c r="J330" t="s">
        <v>50</v>
      </c>
      <c r="K330" s="3">
        <v>31380.57</v>
      </c>
      <c r="O330" s="4">
        <v>0</v>
      </c>
      <c r="P330" s="3">
        <v>0</v>
      </c>
    </row>
    <row r="331" spans="1:16" ht="15" customHeight="1" x14ac:dyDescent="0.3">
      <c r="A331">
        <v>2015</v>
      </c>
      <c r="B331" s="2">
        <v>42009</v>
      </c>
      <c r="C331" t="s">
        <v>17</v>
      </c>
      <c r="D331" t="s">
        <v>134</v>
      </c>
      <c r="E331" t="s">
        <v>439</v>
      </c>
      <c r="F331" t="s">
        <v>20</v>
      </c>
      <c r="G331" t="s">
        <v>107</v>
      </c>
      <c r="H331" t="s">
        <v>108</v>
      </c>
      <c r="I331" t="s">
        <v>136</v>
      </c>
      <c r="J331" t="s">
        <v>123</v>
      </c>
      <c r="K331" s="3">
        <v>60456.91</v>
      </c>
      <c r="O331" s="4">
        <v>0</v>
      </c>
      <c r="P331" s="3">
        <v>0</v>
      </c>
    </row>
    <row r="332" spans="1:16" ht="15" customHeight="1" x14ac:dyDescent="0.3">
      <c r="A332">
        <v>2015</v>
      </c>
      <c r="B332" s="2">
        <v>42009</v>
      </c>
      <c r="C332" t="s">
        <v>17</v>
      </c>
      <c r="D332" t="s">
        <v>364</v>
      </c>
      <c r="E332" t="s">
        <v>440</v>
      </c>
      <c r="F332" t="s">
        <v>20</v>
      </c>
      <c r="G332" t="s">
        <v>21</v>
      </c>
      <c r="H332" t="s">
        <v>101</v>
      </c>
      <c r="I332" t="s">
        <v>136</v>
      </c>
      <c r="J332" t="s">
        <v>50</v>
      </c>
      <c r="K332" s="3">
        <v>34663</v>
      </c>
      <c r="O332" s="4">
        <v>0</v>
      </c>
      <c r="P332" s="3">
        <v>0</v>
      </c>
    </row>
    <row r="333" spans="1:16" ht="15" customHeight="1" x14ac:dyDescent="0.3">
      <c r="A333">
        <v>2015</v>
      </c>
      <c r="B333" s="2">
        <v>42011</v>
      </c>
      <c r="C333" t="s">
        <v>17</v>
      </c>
      <c r="D333" t="s">
        <v>301</v>
      </c>
      <c r="E333" t="s">
        <v>441</v>
      </c>
      <c r="F333" t="s">
        <v>20</v>
      </c>
      <c r="G333" t="s">
        <v>21</v>
      </c>
      <c r="H333" t="s">
        <v>22</v>
      </c>
      <c r="I333" t="s">
        <v>136</v>
      </c>
      <c r="J333" t="s">
        <v>50</v>
      </c>
      <c r="K333" s="3">
        <v>418419.85</v>
      </c>
      <c r="O333" s="4">
        <v>0</v>
      </c>
      <c r="P333" s="3">
        <v>0</v>
      </c>
    </row>
    <row r="334" spans="1:16" ht="15" customHeight="1" x14ac:dyDescent="0.3">
      <c r="A334">
        <v>2015</v>
      </c>
      <c r="B334" s="2">
        <v>42011</v>
      </c>
      <c r="C334" t="s">
        <v>17</v>
      </c>
      <c r="D334" t="s">
        <v>292</v>
      </c>
      <c r="E334" t="s">
        <v>442</v>
      </c>
      <c r="F334" t="s">
        <v>20</v>
      </c>
      <c r="G334" t="s">
        <v>21</v>
      </c>
      <c r="H334" t="s">
        <v>22</v>
      </c>
      <c r="I334" t="s">
        <v>141</v>
      </c>
      <c r="J334" t="s">
        <v>123</v>
      </c>
      <c r="K334" s="3">
        <v>133711.16</v>
      </c>
      <c r="O334" s="4">
        <v>0</v>
      </c>
      <c r="P334" s="3">
        <v>0</v>
      </c>
    </row>
    <row r="335" spans="1:16" ht="15" customHeight="1" x14ac:dyDescent="0.3">
      <c r="A335">
        <v>2015</v>
      </c>
      <c r="B335" s="2">
        <v>42011</v>
      </c>
      <c r="C335" t="s">
        <v>17</v>
      </c>
      <c r="D335" t="s">
        <v>364</v>
      </c>
      <c r="E335" t="s">
        <v>443</v>
      </c>
      <c r="F335" t="s">
        <v>20</v>
      </c>
      <c r="G335" t="s">
        <v>21</v>
      </c>
      <c r="H335" t="s">
        <v>101</v>
      </c>
      <c r="I335" t="s">
        <v>136</v>
      </c>
      <c r="J335" t="s">
        <v>50</v>
      </c>
      <c r="K335" s="3">
        <v>38907.5</v>
      </c>
      <c r="O335" s="4">
        <v>0</v>
      </c>
      <c r="P335" s="3">
        <v>0</v>
      </c>
    </row>
    <row r="336" spans="1:16" ht="15" customHeight="1" x14ac:dyDescent="0.3">
      <c r="A336">
        <v>2015</v>
      </c>
      <c r="B336" s="2">
        <v>42012</v>
      </c>
      <c r="C336" t="s">
        <v>17</v>
      </c>
      <c r="D336" t="s">
        <v>301</v>
      </c>
      <c r="E336" t="s">
        <v>444</v>
      </c>
      <c r="F336" t="s">
        <v>20</v>
      </c>
      <c r="G336" t="s">
        <v>21</v>
      </c>
      <c r="H336" t="s">
        <v>22</v>
      </c>
      <c r="I336" t="s">
        <v>136</v>
      </c>
      <c r="J336" t="s">
        <v>123</v>
      </c>
      <c r="K336" s="3">
        <v>104595</v>
      </c>
      <c r="O336" s="4">
        <v>0</v>
      </c>
      <c r="P336" s="3">
        <v>0</v>
      </c>
    </row>
    <row r="337" spans="1:16" ht="15" customHeight="1" x14ac:dyDescent="0.3">
      <c r="A337">
        <v>2015</v>
      </c>
      <c r="B337" s="2">
        <v>42012</v>
      </c>
      <c r="C337" t="s">
        <v>17</v>
      </c>
      <c r="D337" t="s">
        <v>332</v>
      </c>
      <c r="E337" t="s">
        <v>445</v>
      </c>
      <c r="F337" t="s">
        <v>20</v>
      </c>
      <c r="G337" t="s">
        <v>38</v>
      </c>
      <c r="H337" t="s">
        <v>89</v>
      </c>
      <c r="I337" t="s">
        <v>334</v>
      </c>
      <c r="J337" t="s">
        <v>123</v>
      </c>
      <c r="K337" s="3">
        <v>62943.73</v>
      </c>
      <c r="O337" s="4">
        <v>0</v>
      </c>
      <c r="P337" s="3">
        <v>0</v>
      </c>
    </row>
    <row r="338" spans="1:16" ht="15" customHeight="1" x14ac:dyDescent="0.3">
      <c r="A338">
        <v>2015</v>
      </c>
      <c r="B338" s="2">
        <v>42014</v>
      </c>
      <c r="C338" t="s">
        <v>17</v>
      </c>
      <c r="D338" t="s">
        <v>205</v>
      </c>
      <c r="E338" t="s">
        <v>446</v>
      </c>
      <c r="F338" t="s">
        <v>20</v>
      </c>
      <c r="G338" t="s">
        <v>21</v>
      </c>
      <c r="H338" t="s">
        <v>22</v>
      </c>
      <c r="I338" t="s">
        <v>136</v>
      </c>
      <c r="J338" t="s">
        <v>123</v>
      </c>
      <c r="K338" s="3">
        <v>66600.55</v>
      </c>
      <c r="O338" s="4">
        <v>0</v>
      </c>
      <c r="P338" s="3">
        <v>0</v>
      </c>
    </row>
    <row r="339" spans="1:16" ht="15" customHeight="1" x14ac:dyDescent="0.3">
      <c r="A339">
        <v>2015</v>
      </c>
      <c r="B339" s="2">
        <v>42016</v>
      </c>
      <c r="C339" t="s">
        <v>17</v>
      </c>
      <c r="D339" t="s">
        <v>174</v>
      </c>
      <c r="E339" t="s">
        <v>447</v>
      </c>
      <c r="F339" t="s">
        <v>20</v>
      </c>
      <c r="G339" t="s">
        <v>21</v>
      </c>
      <c r="H339" t="s">
        <v>176</v>
      </c>
      <c r="I339" t="s">
        <v>122</v>
      </c>
      <c r="J339" t="s">
        <v>123</v>
      </c>
      <c r="K339" s="3">
        <v>989864.27</v>
      </c>
      <c r="O339" s="4">
        <v>0</v>
      </c>
      <c r="P339" s="3">
        <v>0</v>
      </c>
    </row>
    <row r="340" spans="1:16" ht="15" customHeight="1" x14ac:dyDescent="0.3">
      <c r="A340">
        <v>2015</v>
      </c>
      <c r="B340" s="2">
        <v>42017</v>
      </c>
      <c r="C340" t="s">
        <v>17</v>
      </c>
      <c r="D340" t="s">
        <v>358</v>
      </c>
      <c r="E340" t="s">
        <v>448</v>
      </c>
      <c r="F340" t="s">
        <v>20</v>
      </c>
      <c r="G340" t="s">
        <v>38</v>
      </c>
      <c r="H340" t="s">
        <v>147</v>
      </c>
      <c r="I340" t="s">
        <v>136</v>
      </c>
      <c r="J340" t="s">
        <v>123</v>
      </c>
      <c r="K340" s="3">
        <v>479810.71</v>
      </c>
      <c r="O340" s="4">
        <v>0</v>
      </c>
      <c r="P340" s="3">
        <v>0</v>
      </c>
    </row>
    <row r="341" spans="1:16" ht="15" customHeight="1" x14ac:dyDescent="0.3">
      <c r="A341">
        <v>2015</v>
      </c>
      <c r="B341" s="2">
        <v>42018</v>
      </c>
      <c r="C341" t="s">
        <v>17</v>
      </c>
      <c r="D341" t="s">
        <v>253</v>
      </c>
      <c r="E341" t="s">
        <v>449</v>
      </c>
      <c r="F341" t="s">
        <v>20</v>
      </c>
      <c r="G341" t="s">
        <v>21</v>
      </c>
      <c r="H341" t="s">
        <v>22</v>
      </c>
      <c r="I341" t="s">
        <v>23</v>
      </c>
      <c r="J341" t="s">
        <v>123</v>
      </c>
      <c r="K341" s="3">
        <v>157934.57</v>
      </c>
      <c r="O341" s="4">
        <v>0</v>
      </c>
      <c r="P341" s="3">
        <v>0</v>
      </c>
    </row>
    <row r="342" spans="1:16" ht="15" customHeight="1" x14ac:dyDescent="0.3">
      <c r="A342">
        <v>2015</v>
      </c>
      <c r="B342" s="2">
        <v>42019</v>
      </c>
      <c r="C342" t="s">
        <v>17</v>
      </c>
      <c r="D342" t="s">
        <v>56</v>
      </c>
      <c r="E342" t="s">
        <v>450</v>
      </c>
      <c r="F342" t="s">
        <v>20</v>
      </c>
      <c r="G342" t="s">
        <v>21</v>
      </c>
      <c r="H342" t="s">
        <v>22</v>
      </c>
      <c r="I342" t="s">
        <v>23</v>
      </c>
      <c r="J342" t="s">
        <v>27</v>
      </c>
      <c r="K342" s="3">
        <v>500</v>
      </c>
      <c r="O342" s="4">
        <v>0</v>
      </c>
      <c r="P342" s="3">
        <v>0</v>
      </c>
    </row>
    <row r="343" spans="1:16" ht="15" customHeight="1" x14ac:dyDescent="0.3">
      <c r="A343">
        <v>2015</v>
      </c>
      <c r="B343" s="2">
        <v>42020</v>
      </c>
      <c r="C343" t="s">
        <v>17</v>
      </c>
      <c r="D343" t="s">
        <v>451</v>
      </c>
      <c r="E343" t="s">
        <v>452</v>
      </c>
      <c r="F343" t="s">
        <v>20</v>
      </c>
      <c r="G343" t="s">
        <v>21</v>
      </c>
      <c r="H343" t="s">
        <v>22</v>
      </c>
      <c r="I343" t="s">
        <v>178</v>
      </c>
      <c r="J343" t="s">
        <v>123</v>
      </c>
      <c r="K343" s="3">
        <v>94532.51</v>
      </c>
      <c r="O343" s="4">
        <v>0</v>
      </c>
      <c r="P343" s="3">
        <v>0</v>
      </c>
    </row>
    <row r="344" spans="1:16" ht="15" customHeight="1" x14ac:dyDescent="0.3">
      <c r="A344">
        <v>2015</v>
      </c>
      <c r="B344" s="2">
        <v>42024</v>
      </c>
      <c r="C344" t="s">
        <v>17</v>
      </c>
      <c r="D344" t="s">
        <v>103</v>
      </c>
      <c r="E344" t="s">
        <v>453</v>
      </c>
      <c r="F344" t="s">
        <v>20</v>
      </c>
      <c r="G344" t="s">
        <v>21</v>
      </c>
      <c r="H344" t="s">
        <v>22</v>
      </c>
      <c r="I344" t="s">
        <v>178</v>
      </c>
      <c r="J344" t="s">
        <v>123</v>
      </c>
      <c r="K344" s="3">
        <v>24709.26</v>
      </c>
      <c r="O344" s="4">
        <v>0</v>
      </c>
      <c r="P344" s="3">
        <v>0</v>
      </c>
    </row>
    <row r="345" spans="1:16" ht="15" customHeight="1" x14ac:dyDescent="0.3">
      <c r="A345">
        <v>2015</v>
      </c>
      <c r="B345" s="2">
        <v>42054</v>
      </c>
      <c r="C345" t="s">
        <v>71</v>
      </c>
      <c r="D345" t="s">
        <v>47</v>
      </c>
      <c r="E345" t="s">
        <v>454</v>
      </c>
      <c r="F345" t="s">
        <v>20</v>
      </c>
      <c r="G345" t="s">
        <v>38</v>
      </c>
      <c r="H345" t="s">
        <v>39</v>
      </c>
      <c r="I345" t="s">
        <v>49</v>
      </c>
      <c r="J345" t="s">
        <v>123</v>
      </c>
      <c r="K345" s="3">
        <v>120000</v>
      </c>
      <c r="O345" s="4">
        <v>0</v>
      </c>
      <c r="P345" s="3">
        <v>0</v>
      </c>
    </row>
    <row r="346" spans="1:16" ht="15" customHeight="1" x14ac:dyDescent="0.3">
      <c r="A346">
        <v>2015</v>
      </c>
      <c r="B346" s="2">
        <v>42058</v>
      </c>
      <c r="C346" t="s">
        <v>71</v>
      </c>
      <c r="D346" t="s">
        <v>103</v>
      </c>
      <c r="E346" t="s">
        <v>455</v>
      </c>
      <c r="F346" t="s">
        <v>20</v>
      </c>
      <c r="G346" t="s">
        <v>21</v>
      </c>
      <c r="H346" t="s">
        <v>22</v>
      </c>
      <c r="I346" t="s">
        <v>23</v>
      </c>
      <c r="J346" t="s">
        <v>27</v>
      </c>
      <c r="K346" s="3">
        <v>206.42</v>
      </c>
      <c r="O346" s="4">
        <v>0</v>
      </c>
      <c r="P346" s="3">
        <v>0</v>
      </c>
    </row>
    <row r="347" spans="1:16" ht="15" customHeight="1" x14ac:dyDescent="0.3">
      <c r="A347">
        <v>2015</v>
      </c>
      <c r="B347" s="2">
        <v>42060</v>
      </c>
      <c r="C347" t="s">
        <v>71</v>
      </c>
      <c r="D347" t="s">
        <v>456</v>
      </c>
      <c r="E347" t="s">
        <v>457</v>
      </c>
      <c r="F347" t="s">
        <v>20</v>
      </c>
      <c r="G347" t="s">
        <v>107</v>
      </c>
      <c r="H347" t="s">
        <v>108</v>
      </c>
      <c r="I347" t="s">
        <v>23</v>
      </c>
      <c r="J347" t="s">
        <v>27</v>
      </c>
      <c r="K347" s="3">
        <v>7654.29</v>
      </c>
      <c r="O347" s="4">
        <v>0</v>
      </c>
      <c r="P347" s="3">
        <v>0</v>
      </c>
    </row>
    <row r="348" spans="1:16" ht="15" customHeight="1" x14ac:dyDescent="0.3">
      <c r="A348">
        <v>2015</v>
      </c>
      <c r="B348" s="2">
        <v>42066</v>
      </c>
      <c r="C348" t="s">
        <v>137</v>
      </c>
      <c r="D348" t="s">
        <v>458</v>
      </c>
      <c r="E348" t="s">
        <v>459</v>
      </c>
      <c r="F348" t="s">
        <v>20</v>
      </c>
      <c r="G348" t="s">
        <v>21</v>
      </c>
      <c r="H348" t="s">
        <v>22</v>
      </c>
      <c r="I348" t="s">
        <v>23</v>
      </c>
      <c r="J348" t="s">
        <v>27</v>
      </c>
      <c r="K348" s="3">
        <v>9700</v>
      </c>
      <c r="O348" s="4">
        <v>0</v>
      </c>
      <c r="P348" s="3">
        <v>0</v>
      </c>
    </row>
    <row r="349" spans="1:16" ht="15" customHeight="1" x14ac:dyDescent="0.3">
      <c r="A349">
        <v>2015</v>
      </c>
      <c r="B349" s="2">
        <v>42068</v>
      </c>
      <c r="C349" t="s">
        <v>137</v>
      </c>
      <c r="D349" t="s">
        <v>47</v>
      </c>
      <c r="E349" t="s">
        <v>460</v>
      </c>
      <c r="F349" t="s">
        <v>20</v>
      </c>
      <c r="G349" t="s">
        <v>38</v>
      </c>
      <c r="H349" t="s">
        <v>39</v>
      </c>
      <c r="I349" t="s">
        <v>23</v>
      </c>
      <c r="J349" t="s">
        <v>27</v>
      </c>
      <c r="K349" s="3">
        <v>1600</v>
      </c>
      <c r="O349" s="4">
        <v>0</v>
      </c>
      <c r="P349" s="3">
        <v>0</v>
      </c>
    </row>
    <row r="350" spans="1:16" ht="15" customHeight="1" x14ac:dyDescent="0.3">
      <c r="A350">
        <v>2015</v>
      </c>
      <c r="B350" s="2">
        <v>42073</v>
      </c>
      <c r="C350" t="s">
        <v>137</v>
      </c>
      <c r="D350" t="s">
        <v>64</v>
      </c>
      <c r="E350" t="s">
        <v>461</v>
      </c>
      <c r="F350" t="s">
        <v>20</v>
      </c>
      <c r="G350" t="s">
        <v>38</v>
      </c>
      <c r="H350" t="s">
        <v>147</v>
      </c>
      <c r="I350" t="s">
        <v>141</v>
      </c>
      <c r="J350" t="s">
        <v>123</v>
      </c>
      <c r="K350" s="3">
        <v>102481.55</v>
      </c>
      <c r="O350" s="4">
        <v>0</v>
      </c>
      <c r="P350" s="3">
        <v>0</v>
      </c>
    </row>
    <row r="351" spans="1:16" ht="15" customHeight="1" x14ac:dyDescent="0.3">
      <c r="A351">
        <v>2015</v>
      </c>
      <c r="B351" s="2">
        <v>42073</v>
      </c>
      <c r="C351" t="s">
        <v>137</v>
      </c>
      <c r="D351" t="s">
        <v>462</v>
      </c>
      <c r="E351" t="s">
        <v>463</v>
      </c>
      <c r="F351" t="s">
        <v>20</v>
      </c>
      <c r="G351" t="s">
        <v>21</v>
      </c>
      <c r="H351" t="s">
        <v>22</v>
      </c>
      <c r="I351" t="s">
        <v>136</v>
      </c>
      <c r="J351" t="s">
        <v>110</v>
      </c>
      <c r="K351" s="3">
        <v>18150.759999999998</v>
      </c>
      <c r="O351" s="4">
        <v>0</v>
      </c>
      <c r="P351" s="3">
        <v>0</v>
      </c>
    </row>
    <row r="352" spans="1:16" ht="15" customHeight="1" x14ac:dyDescent="0.3">
      <c r="A352">
        <v>2015</v>
      </c>
      <c r="B352" s="2">
        <v>42079</v>
      </c>
      <c r="C352" t="s">
        <v>137</v>
      </c>
      <c r="D352" t="s">
        <v>464</v>
      </c>
      <c r="E352" t="s">
        <v>465</v>
      </c>
      <c r="F352" t="s">
        <v>20</v>
      </c>
      <c r="G352" t="s">
        <v>38</v>
      </c>
      <c r="H352" t="s">
        <v>39</v>
      </c>
      <c r="I352" t="s">
        <v>178</v>
      </c>
      <c r="J352" t="s">
        <v>123</v>
      </c>
      <c r="K352" s="3">
        <v>107783.64</v>
      </c>
      <c r="O352" s="4">
        <v>0</v>
      </c>
      <c r="P352" s="3">
        <v>0</v>
      </c>
    </row>
    <row r="353" spans="1:16" ht="15" customHeight="1" x14ac:dyDescent="0.3">
      <c r="A353">
        <v>2015</v>
      </c>
      <c r="B353" s="2">
        <v>42080</v>
      </c>
      <c r="C353" t="s">
        <v>137</v>
      </c>
      <c r="D353" t="s">
        <v>45</v>
      </c>
      <c r="E353" t="s">
        <v>466</v>
      </c>
      <c r="F353" t="s">
        <v>20</v>
      </c>
      <c r="G353" t="s">
        <v>38</v>
      </c>
      <c r="H353" t="s">
        <v>39</v>
      </c>
      <c r="I353" t="s">
        <v>136</v>
      </c>
      <c r="J353" t="s">
        <v>50</v>
      </c>
      <c r="K353" s="3">
        <v>7300</v>
      </c>
      <c r="O353" s="4">
        <v>0</v>
      </c>
      <c r="P353" s="3">
        <v>0</v>
      </c>
    </row>
    <row r="354" spans="1:16" ht="15" customHeight="1" x14ac:dyDescent="0.3">
      <c r="A354">
        <v>2015</v>
      </c>
      <c r="B354" s="2">
        <v>42081</v>
      </c>
      <c r="C354" t="s">
        <v>137</v>
      </c>
      <c r="D354" t="s">
        <v>402</v>
      </c>
      <c r="E354" t="s">
        <v>467</v>
      </c>
      <c r="F354" t="s">
        <v>20</v>
      </c>
      <c r="G354" t="s">
        <v>21</v>
      </c>
      <c r="H354" t="s">
        <v>101</v>
      </c>
      <c r="I354" t="s">
        <v>23</v>
      </c>
      <c r="J354" t="s">
        <v>123</v>
      </c>
      <c r="K354" s="3">
        <v>25443.11</v>
      </c>
      <c r="O354" s="4">
        <v>0</v>
      </c>
      <c r="P354" s="3">
        <v>0</v>
      </c>
    </row>
    <row r="355" spans="1:16" ht="15" customHeight="1" x14ac:dyDescent="0.3">
      <c r="A355">
        <v>2015</v>
      </c>
      <c r="B355" s="2">
        <v>42083</v>
      </c>
      <c r="C355" t="s">
        <v>137</v>
      </c>
      <c r="D355" t="s">
        <v>402</v>
      </c>
      <c r="E355" t="s">
        <v>468</v>
      </c>
      <c r="F355" t="s">
        <v>20</v>
      </c>
      <c r="G355" t="s">
        <v>21</v>
      </c>
      <c r="H355" t="s">
        <v>101</v>
      </c>
      <c r="I355" t="s">
        <v>23</v>
      </c>
      <c r="J355" t="s">
        <v>27</v>
      </c>
      <c r="K355" s="3">
        <v>6895.12</v>
      </c>
      <c r="O355" s="4">
        <v>0</v>
      </c>
      <c r="P355" s="3">
        <v>0</v>
      </c>
    </row>
    <row r="356" spans="1:16" ht="15" customHeight="1" x14ac:dyDescent="0.3">
      <c r="A356">
        <v>2015</v>
      </c>
      <c r="B356" s="2">
        <v>42086</v>
      </c>
      <c r="C356" t="s">
        <v>137</v>
      </c>
      <c r="D356" t="s">
        <v>56</v>
      </c>
      <c r="E356" t="s">
        <v>469</v>
      </c>
      <c r="F356" t="s">
        <v>20</v>
      </c>
      <c r="G356" t="s">
        <v>21</v>
      </c>
      <c r="H356" t="s">
        <v>22</v>
      </c>
      <c r="I356" t="s">
        <v>23</v>
      </c>
      <c r="J356" t="s">
        <v>27</v>
      </c>
      <c r="K356" s="3">
        <v>500</v>
      </c>
      <c r="O356" s="4">
        <v>0</v>
      </c>
      <c r="P356" s="3">
        <v>0</v>
      </c>
    </row>
    <row r="357" spans="1:16" ht="15" customHeight="1" x14ac:dyDescent="0.3">
      <c r="A357">
        <v>2015</v>
      </c>
      <c r="B357" s="2">
        <v>42090</v>
      </c>
      <c r="C357" t="s">
        <v>137</v>
      </c>
      <c r="D357" t="s">
        <v>470</v>
      </c>
      <c r="E357" t="s">
        <v>471</v>
      </c>
      <c r="F357" t="s">
        <v>20</v>
      </c>
      <c r="G357" t="s">
        <v>38</v>
      </c>
      <c r="H357" t="s">
        <v>147</v>
      </c>
      <c r="I357" t="s">
        <v>136</v>
      </c>
      <c r="J357" t="s">
        <v>50</v>
      </c>
      <c r="K357" s="3">
        <v>597303.05000000005</v>
      </c>
      <c r="O357" s="4">
        <v>0</v>
      </c>
      <c r="P357" s="3">
        <v>0</v>
      </c>
    </row>
    <row r="358" spans="1:16" ht="15" customHeight="1" x14ac:dyDescent="0.3">
      <c r="A358">
        <v>2015</v>
      </c>
      <c r="B358" s="2">
        <v>42094</v>
      </c>
      <c r="C358" t="s">
        <v>137</v>
      </c>
      <c r="D358" t="s">
        <v>53</v>
      </c>
      <c r="E358" t="s">
        <v>472</v>
      </c>
      <c r="F358" t="s">
        <v>20</v>
      </c>
      <c r="G358" t="s">
        <v>21</v>
      </c>
      <c r="H358" t="s">
        <v>22</v>
      </c>
      <c r="I358" t="s">
        <v>141</v>
      </c>
      <c r="J358" t="s">
        <v>123</v>
      </c>
      <c r="K358" s="3">
        <v>10111.1</v>
      </c>
      <c r="O358" s="4">
        <v>0</v>
      </c>
      <c r="P358" s="3">
        <v>0</v>
      </c>
    </row>
    <row r="359" spans="1:16" ht="15" customHeight="1" x14ac:dyDescent="0.3">
      <c r="A359">
        <v>2015</v>
      </c>
      <c r="B359" s="2">
        <v>42100</v>
      </c>
      <c r="C359" t="s">
        <v>169</v>
      </c>
      <c r="D359" t="s">
        <v>45</v>
      </c>
      <c r="E359" t="s">
        <v>473</v>
      </c>
      <c r="F359" t="s">
        <v>20</v>
      </c>
      <c r="G359" t="s">
        <v>38</v>
      </c>
      <c r="H359" t="s">
        <v>39</v>
      </c>
      <c r="I359" t="s">
        <v>23</v>
      </c>
      <c r="J359" t="s">
        <v>27</v>
      </c>
      <c r="K359" s="3">
        <v>850</v>
      </c>
      <c r="O359" s="4">
        <v>0</v>
      </c>
      <c r="P359" s="3">
        <v>0</v>
      </c>
    </row>
    <row r="360" spans="1:16" ht="15" customHeight="1" x14ac:dyDescent="0.3">
      <c r="A360">
        <v>2015</v>
      </c>
      <c r="B360" s="2">
        <v>42101</v>
      </c>
      <c r="C360" t="s">
        <v>169</v>
      </c>
      <c r="D360" t="s">
        <v>47</v>
      </c>
      <c r="E360" t="s">
        <v>450</v>
      </c>
      <c r="F360" t="s">
        <v>20</v>
      </c>
      <c r="G360" t="s">
        <v>38</v>
      </c>
      <c r="H360" t="s">
        <v>39</v>
      </c>
      <c r="I360" t="s">
        <v>23</v>
      </c>
      <c r="J360" t="s">
        <v>27</v>
      </c>
      <c r="K360" s="3">
        <v>3082.32</v>
      </c>
      <c r="O360" s="4">
        <v>0</v>
      </c>
      <c r="P360" s="3">
        <v>0</v>
      </c>
    </row>
    <row r="361" spans="1:16" ht="15" customHeight="1" x14ac:dyDescent="0.3">
      <c r="A361">
        <v>2015</v>
      </c>
      <c r="B361" s="2">
        <v>42103</v>
      </c>
      <c r="C361" t="s">
        <v>169</v>
      </c>
      <c r="D361" t="s">
        <v>47</v>
      </c>
      <c r="E361" t="s">
        <v>474</v>
      </c>
      <c r="F361" t="s">
        <v>20</v>
      </c>
      <c r="G361" t="s">
        <v>38</v>
      </c>
      <c r="H361" t="s">
        <v>39</v>
      </c>
      <c r="I361" t="s">
        <v>306</v>
      </c>
      <c r="J361" t="s">
        <v>123</v>
      </c>
      <c r="K361" s="3">
        <v>634225.67000000004</v>
      </c>
      <c r="O361" s="4">
        <v>0</v>
      </c>
      <c r="P361" s="3">
        <v>0</v>
      </c>
    </row>
    <row r="362" spans="1:16" ht="15" customHeight="1" x14ac:dyDescent="0.3">
      <c r="A362">
        <v>2015</v>
      </c>
      <c r="B362" s="2">
        <v>42111</v>
      </c>
      <c r="C362" t="s">
        <v>169</v>
      </c>
      <c r="D362" t="s">
        <v>124</v>
      </c>
      <c r="E362" t="s">
        <v>475</v>
      </c>
      <c r="F362" t="s">
        <v>20</v>
      </c>
      <c r="G362" t="s">
        <v>21</v>
      </c>
      <c r="H362" t="s">
        <v>101</v>
      </c>
      <c r="I362" t="s">
        <v>23</v>
      </c>
      <c r="J362" t="s">
        <v>27</v>
      </c>
      <c r="K362" s="3">
        <v>290</v>
      </c>
      <c r="O362" s="4">
        <v>0</v>
      </c>
      <c r="P362" s="3">
        <v>0</v>
      </c>
    </row>
    <row r="363" spans="1:16" ht="15" customHeight="1" x14ac:dyDescent="0.3">
      <c r="A363">
        <v>2015</v>
      </c>
      <c r="B363" s="2">
        <v>42114</v>
      </c>
      <c r="C363" t="s">
        <v>169</v>
      </c>
      <c r="D363" t="s">
        <v>184</v>
      </c>
      <c r="E363" t="s">
        <v>476</v>
      </c>
      <c r="F363" t="s">
        <v>20</v>
      </c>
      <c r="G363" t="s">
        <v>107</v>
      </c>
      <c r="H363" t="s">
        <v>108</v>
      </c>
      <c r="I363" t="s">
        <v>23</v>
      </c>
      <c r="J363" t="s">
        <v>27</v>
      </c>
      <c r="K363" s="3">
        <v>2778.24</v>
      </c>
      <c r="O363" s="4">
        <v>0</v>
      </c>
      <c r="P363" s="3">
        <v>0</v>
      </c>
    </row>
    <row r="364" spans="1:16" ht="15" customHeight="1" x14ac:dyDescent="0.3">
      <c r="A364">
        <v>2015</v>
      </c>
      <c r="B364" s="2">
        <v>42129</v>
      </c>
      <c r="C364" t="s">
        <v>190</v>
      </c>
      <c r="D364" t="s">
        <v>56</v>
      </c>
      <c r="E364" t="s">
        <v>477</v>
      </c>
      <c r="F364" t="s">
        <v>20</v>
      </c>
      <c r="G364" t="s">
        <v>21</v>
      </c>
      <c r="H364" t="s">
        <v>22</v>
      </c>
      <c r="I364" t="s">
        <v>141</v>
      </c>
      <c r="J364" t="s">
        <v>50</v>
      </c>
      <c r="K364" s="3">
        <v>11087.44</v>
      </c>
      <c r="O364" s="4">
        <v>0</v>
      </c>
      <c r="P364" s="3">
        <v>0</v>
      </c>
    </row>
    <row r="365" spans="1:16" ht="15" customHeight="1" x14ac:dyDescent="0.3">
      <c r="A365">
        <v>2015</v>
      </c>
      <c r="B365" s="2">
        <v>42130</v>
      </c>
      <c r="C365" t="s">
        <v>190</v>
      </c>
      <c r="D365" t="s">
        <v>56</v>
      </c>
      <c r="E365" t="s">
        <v>443</v>
      </c>
      <c r="F365" t="s">
        <v>20</v>
      </c>
      <c r="G365" t="s">
        <v>21</v>
      </c>
      <c r="H365" t="s">
        <v>22</v>
      </c>
      <c r="I365" t="s">
        <v>141</v>
      </c>
      <c r="J365" t="s">
        <v>50</v>
      </c>
      <c r="K365" s="3">
        <v>349265</v>
      </c>
      <c r="O365" s="4">
        <v>0</v>
      </c>
      <c r="P365" s="3">
        <v>0</v>
      </c>
    </row>
    <row r="366" spans="1:16" ht="15" customHeight="1" x14ac:dyDescent="0.3">
      <c r="A366">
        <v>2015</v>
      </c>
      <c r="B366" s="2">
        <v>42135</v>
      </c>
      <c r="C366" t="s">
        <v>190</v>
      </c>
      <c r="D366" t="s">
        <v>478</v>
      </c>
      <c r="E366" t="s">
        <v>479</v>
      </c>
      <c r="F366" t="s">
        <v>20</v>
      </c>
      <c r="G366" t="s">
        <v>21</v>
      </c>
      <c r="H366" t="s">
        <v>22</v>
      </c>
      <c r="I366" t="s">
        <v>23</v>
      </c>
      <c r="J366" t="s">
        <v>27</v>
      </c>
      <c r="K366" s="3">
        <v>2193.75</v>
      </c>
      <c r="O366" s="4">
        <v>0</v>
      </c>
      <c r="P366" s="3">
        <v>0</v>
      </c>
    </row>
    <row r="367" spans="1:16" ht="15" customHeight="1" x14ac:dyDescent="0.3">
      <c r="A367">
        <v>2015</v>
      </c>
      <c r="B367" s="2">
        <v>42135</v>
      </c>
      <c r="C367" t="s">
        <v>190</v>
      </c>
      <c r="D367" t="s">
        <v>56</v>
      </c>
      <c r="E367" t="s">
        <v>480</v>
      </c>
      <c r="F367" t="s">
        <v>20</v>
      </c>
      <c r="G367" t="s">
        <v>21</v>
      </c>
      <c r="H367" t="s">
        <v>22</v>
      </c>
      <c r="I367" t="s">
        <v>23</v>
      </c>
      <c r="J367" t="s">
        <v>27</v>
      </c>
      <c r="K367" s="3">
        <v>389.83</v>
      </c>
      <c r="O367" s="4">
        <v>0</v>
      </c>
      <c r="P367" s="3">
        <v>0</v>
      </c>
    </row>
    <row r="368" spans="1:16" ht="15" customHeight="1" x14ac:dyDescent="0.3">
      <c r="A368">
        <v>2015</v>
      </c>
      <c r="B368" s="2">
        <v>42137</v>
      </c>
      <c r="C368" t="s">
        <v>190</v>
      </c>
      <c r="D368" t="s">
        <v>56</v>
      </c>
      <c r="E368" t="s">
        <v>481</v>
      </c>
      <c r="F368" t="s">
        <v>20</v>
      </c>
      <c r="G368" t="s">
        <v>21</v>
      </c>
      <c r="H368" t="s">
        <v>22</v>
      </c>
      <c r="I368" t="s">
        <v>141</v>
      </c>
      <c r="J368" t="s">
        <v>50</v>
      </c>
      <c r="K368" s="3">
        <v>3163.85</v>
      </c>
      <c r="O368" s="4">
        <v>0</v>
      </c>
      <c r="P368" s="3">
        <v>0</v>
      </c>
    </row>
    <row r="369" spans="1:16" ht="15" customHeight="1" x14ac:dyDescent="0.3">
      <c r="A369">
        <v>2015</v>
      </c>
      <c r="B369" s="2">
        <v>42150</v>
      </c>
      <c r="C369" t="s">
        <v>190</v>
      </c>
      <c r="D369" t="s">
        <v>482</v>
      </c>
      <c r="E369" t="s">
        <v>431</v>
      </c>
      <c r="F369" t="s">
        <v>20</v>
      </c>
      <c r="G369" t="s">
        <v>107</v>
      </c>
      <c r="H369" t="s">
        <v>108</v>
      </c>
      <c r="I369" t="s">
        <v>122</v>
      </c>
      <c r="J369" t="s">
        <v>123</v>
      </c>
      <c r="K369" s="3">
        <v>161408.82999999999</v>
      </c>
      <c r="O369" s="4">
        <v>0</v>
      </c>
      <c r="P369" s="3">
        <v>0</v>
      </c>
    </row>
    <row r="370" spans="1:16" ht="15" customHeight="1" x14ac:dyDescent="0.3">
      <c r="A370">
        <v>2015</v>
      </c>
      <c r="B370" s="2">
        <v>42153</v>
      </c>
      <c r="C370" t="s">
        <v>190</v>
      </c>
      <c r="D370" t="s">
        <v>483</v>
      </c>
      <c r="E370" t="s">
        <v>440</v>
      </c>
      <c r="F370" t="s">
        <v>20</v>
      </c>
      <c r="G370" t="s">
        <v>38</v>
      </c>
      <c r="H370" t="s">
        <v>89</v>
      </c>
      <c r="I370" t="s">
        <v>334</v>
      </c>
      <c r="J370" t="s">
        <v>123</v>
      </c>
      <c r="K370" s="3">
        <v>233721.13</v>
      </c>
      <c r="O370" s="4">
        <v>0</v>
      </c>
      <c r="P370" s="3">
        <v>0</v>
      </c>
    </row>
    <row r="371" spans="1:16" ht="15" customHeight="1" x14ac:dyDescent="0.3">
      <c r="A371">
        <v>2015</v>
      </c>
      <c r="B371" s="2">
        <v>42156</v>
      </c>
      <c r="C371" t="s">
        <v>218</v>
      </c>
      <c r="D371" t="s">
        <v>47</v>
      </c>
      <c r="E371" t="s">
        <v>484</v>
      </c>
      <c r="F371" t="s">
        <v>20</v>
      </c>
      <c r="G371" t="s">
        <v>38</v>
      </c>
      <c r="H371" t="s">
        <v>39</v>
      </c>
      <c r="I371" t="s">
        <v>306</v>
      </c>
      <c r="J371" t="s">
        <v>123</v>
      </c>
      <c r="K371" s="3">
        <v>38290</v>
      </c>
      <c r="O371" s="4">
        <v>0</v>
      </c>
      <c r="P371" s="3">
        <v>0</v>
      </c>
    </row>
    <row r="372" spans="1:16" ht="15" customHeight="1" x14ac:dyDescent="0.3">
      <c r="A372">
        <v>2015</v>
      </c>
      <c r="B372" s="2">
        <v>42156</v>
      </c>
      <c r="C372" t="s">
        <v>218</v>
      </c>
      <c r="D372" t="s">
        <v>485</v>
      </c>
      <c r="E372" t="s">
        <v>484</v>
      </c>
      <c r="F372" t="s">
        <v>20</v>
      </c>
      <c r="G372" t="s">
        <v>38</v>
      </c>
      <c r="H372" t="s">
        <v>39</v>
      </c>
      <c r="I372" t="s">
        <v>306</v>
      </c>
      <c r="J372" t="s">
        <v>123</v>
      </c>
      <c r="K372" s="3">
        <v>38290</v>
      </c>
      <c r="O372" s="4">
        <v>0</v>
      </c>
      <c r="P372" s="3">
        <v>0</v>
      </c>
    </row>
    <row r="373" spans="1:16" ht="15" customHeight="1" x14ac:dyDescent="0.3">
      <c r="A373">
        <v>2015</v>
      </c>
      <c r="B373" s="2">
        <v>42156</v>
      </c>
      <c r="C373" t="s">
        <v>218</v>
      </c>
      <c r="D373" t="s">
        <v>478</v>
      </c>
      <c r="E373" t="s">
        <v>486</v>
      </c>
      <c r="F373" t="s">
        <v>20</v>
      </c>
      <c r="G373" t="s">
        <v>21</v>
      </c>
      <c r="H373" t="s">
        <v>22</v>
      </c>
      <c r="I373" t="s">
        <v>23</v>
      </c>
      <c r="J373" t="s">
        <v>27</v>
      </c>
      <c r="K373" s="3">
        <v>10918.07</v>
      </c>
      <c r="O373" s="4">
        <v>0</v>
      </c>
      <c r="P373" s="3">
        <v>0</v>
      </c>
    </row>
    <row r="374" spans="1:16" ht="15" customHeight="1" x14ac:dyDescent="0.3">
      <c r="A374">
        <v>2015</v>
      </c>
      <c r="B374" s="2">
        <v>42156</v>
      </c>
      <c r="C374" t="s">
        <v>218</v>
      </c>
      <c r="D374" t="s">
        <v>134</v>
      </c>
      <c r="E374" t="s">
        <v>487</v>
      </c>
      <c r="F374" t="s">
        <v>20</v>
      </c>
      <c r="G374" t="s">
        <v>107</v>
      </c>
      <c r="H374" t="s">
        <v>108</v>
      </c>
      <c r="I374" t="s">
        <v>23</v>
      </c>
      <c r="J374" t="s">
        <v>27</v>
      </c>
      <c r="K374" s="3">
        <v>6453.57</v>
      </c>
      <c r="O374" s="4">
        <v>0</v>
      </c>
      <c r="P374" s="3">
        <v>0</v>
      </c>
    </row>
    <row r="375" spans="1:16" ht="15" customHeight="1" x14ac:dyDescent="0.3">
      <c r="A375">
        <v>2015</v>
      </c>
      <c r="B375" s="2">
        <v>42156</v>
      </c>
      <c r="C375" t="s">
        <v>218</v>
      </c>
      <c r="D375" t="s">
        <v>301</v>
      </c>
      <c r="E375" t="s">
        <v>457</v>
      </c>
      <c r="F375" t="s">
        <v>20</v>
      </c>
      <c r="G375" t="s">
        <v>21</v>
      </c>
      <c r="H375" t="s">
        <v>22</v>
      </c>
      <c r="I375" t="s">
        <v>23</v>
      </c>
      <c r="J375" t="s">
        <v>27</v>
      </c>
      <c r="K375" s="3">
        <v>534</v>
      </c>
      <c r="O375" s="4">
        <v>0</v>
      </c>
      <c r="P375" s="3">
        <v>0</v>
      </c>
    </row>
    <row r="376" spans="1:16" ht="15" customHeight="1" x14ac:dyDescent="0.3">
      <c r="A376">
        <v>2015</v>
      </c>
      <c r="B376" s="2">
        <v>42157</v>
      </c>
      <c r="C376" t="s">
        <v>218</v>
      </c>
      <c r="D376" t="s">
        <v>76</v>
      </c>
      <c r="E376" t="s">
        <v>488</v>
      </c>
      <c r="F376" t="s">
        <v>20</v>
      </c>
      <c r="G376" t="s">
        <v>21</v>
      </c>
      <c r="H376" t="s">
        <v>22</v>
      </c>
      <c r="I376" t="s">
        <v>141</v>
      </c>
      <c r="J376" t="s">
        <v>123</v>
      </c>
      <c r="K376" s="3">
        <v>47341.34</v>
      </c>
      <c r="O376" s="4">
        <v>0</v>
      </c>
      <c r="P376" s="3">
        <v>0</v>
      </c>
    </row>
    <row r="377" spans="1:16" ht="15" customHeight="1" x14ac:dyDescent="0.3">
      <c r="A377">
        <v>2015</v>
      </c>
      <c r="B377" s="2">
        <v>42158</v>
      </c>
      <c r="C377" t="s">
        <v>218</v>
      </c>
      <c r="D377" t="s">
        <v>301</v>
      </c>
      <c r="E377" t="s">
        <v>489</v>
      </c>
      <c r="F377" t="s">
        <v>20</v>
      </c>
      <c r="G377" t="s">
        <v>21</v>
      </c>
      <c r="H377" t="s">
        <v>22</v>
      </c>
      <c r="I377" t="s">
        <v>23</v>
      </c>
      <c r="J377" t="s">
        <v>27</v>
      </c>
      <c r="K377" s="3">
        <v>1735.57</v>
      </c>
      <c r="O377" s="4">
        <v>0</v>
      </c>
      <c r="P377" s="3">
        <v>0</v>
      </c>
    </row>
    <row r="378" spans="1:16" ht="15" customHeight="1" x14ac:dyDescent="0.3">
      <c r="A378">
        <v>2015</v>
      </c>
      <c r="B378" s="2">
        <v>42164</v>
      </c>
      <c r="C378" t="s">
        <v>218</v>
      </c>
      <c r="D378" t="s">
        <v>53</v>
      </c>
      <c r="E378" t="s">
        <v>490</v>
      </c>
      <c r="F378" t="s">
        <v>20</v>
      </c>
      <c r="G378" t="s">
        <v>21</v>
      </c>
      <c r="H378" t="s">
        <v>22</v>
      </c>
      <c r="I378" t="s">
        <v>141</v>
      </c>
      <c r="J378" t="s">
        <v>123</v>
      </c>
      <c r="K378" s="3">
        <v>4482.21</v>
      </c>
      <c r="O378" s="4">
        <v>0</v>
      </c>
      <c r="P378" s="3">
        <v>0</v>
      </c>
    </row>
    <row r="379" spans="1:16" ht="15" customHeight="1" x14ac:dyDescent="0.3">
      <c r="A379">
        <v>2015</v>
      </c>
      <c r="B379" s="2">
        <v>42167</v>
      </c>
      <c r="C379" t="s">
        <v>218</v>
      </c>
      <c r="D379" t="s">
        <v>491</v>
      </c>
      <c r="E379" t="s">
        <v>492</v>
      </c>
      <c r="F379" t="s">
        <v>20</v>
      </c>
      <c r="G379" t="s">
        <v>107</v>
      </c>
      <c r="H379" t="s">
        <v>108</v>
      </c>
      <c r="I379" t="s">
        <v>306</v>
      </c>
      <c r="J379" t="s">
        <v>123</v>
      </c>
      <c r="K379" s="3">
        <v>53983.03</v>
      </c>
      <c r="O379" s="4">
        <v>0</v>
      </c>
      <c r="P379" s="3">
        <v>0</v>
      </c>
    </row>
    <row r="380" spans="1:16" ht="15" customHeight="1" x14ac:dyDescent="0.3">
      <c r="A380">
        <v>2015</v>
      </c>
      <c r="B380" s="2">
        <v>42172</v>
      </c>
      <c r="C380" t="s">
        <v>218</v>
      </c>
      <c r="D380" t="s">
        <v>493</v>
      </c>
      <c r="E380" t="s">
        <v>494</v>
      </c>
      <c r="F380" t="s">
        <v>20</v>
      </c>
      <c r="G380" t="s">
        <v>38</v>
      </c>
      <c r="H380" t="s">
        <v>147</v>
      </c>
      <c r="I380" t="s">
        <v>23</v>
      </c>
      <c r="J380" t="s">
        <v>27</v>
      </c>
      <c r="K380" s="3">
        <v>33105.24</v>
      </c>
      <c r="O380" s="4">
        <v>0</v>
      </c>
      <c r="P380" s="3">
        <v>0</v>
      </c>
    </row>
    <row r="381" spans="1:16" ht="15" customHeight="1" x14ac:dyDescent="0.3">
      <c r="A381">
        <v>2015</v>
      </c>
      <c r="B381" s="2">
        <v>42175</v>
      </c>
      <c r="C381" t="s">
        <v>218</v>
      </c>
      <c r="D381" t="s">
        <v>358</v>
      </c>
      <c r="E381" t="s">
        <v>471</v>
      </c>
      <c r="F381" t="s">
        <v>20</v>
      </c>
      <c r="G381" t="s">
        <v>38</v>
      </c>
      <c r="H381" t="s">
        <v>147</v>
      </c>
      <c r="I381" t="s">
        <v>136</v>
      </c>
      <c r="J381" t="s">
        <v>123</v>
      </c>
      <c r="K381" s="3">
        <v>314198.33</v>
      </c>
      <c r="O381" s="4">
        <v>0</v>
      </c>
      <c r="P381" s="3">
        <v>0</v>
      </c>
    </row>
    <row r="382" spans="1:16" ht="15" customHeight="1" x14ac:dyDescent="0.3">
      <c r="A382">
        <v>2015</v>
      </c>
      <c r="B382" s="2">
        <v>42175</v>
      </c>
      <c r="C382" t="s">
        <v>218</v>
      </c>
      <c r="D382" t="s">
        <v>495</v>
      </c>
      <c r="E382" t="s">
        <v>496</v>
      </c>
      <c r="F382" t="s">
        <v>20</v>
      </c>
      <c r="G382" t="s">
        <v>38</v>
      </c>
      <c r="H382" t="s">
        <v>39</v>
      </c>
      <c r="I382" t="s">
        <v>23</v>
      </c>
      <c r="J382" t="s">
        <v>27</v>
      </c>
      <c r="K382" s="3">
        <v>3450</v>
      </c>
      <c r="O382" s="4">
        <v>0</v>
      </c>
      <c r="P382" s="3">
        <v>0</v>
      </c>
    </row>
    <row r="383" spans="1:16" ht="15" customHeight="1" x14ac:dyDescent="0.3">
      <c r="A383">
        <v>2015</v>
      </c>
      <c r="B383" s="2">
        <v>42178</v>
      </c>
      <c r="C383" t="s">
        <v>218</v>
      </c>
      <c r="D383" t="s">
        <v>32</v>
      </c>
      <c r="E383" t="s">
        <v>497</v>
      </c>
      <c r="F383" t="s">
        <v>20</v>
      </c>
      <c r="G383" t="s">
        <v>21</v>
      </c>
      <c r="H383" t="s">
        <v>22</v>
      </c>
      <c r="I383" t="s">
        <v>141</v>
      </c>
      <c r="J383" t="s">
        <v>123</v>
      </c>
      <c r="K383" s="3">
        <v>485000.17</v>
      </c>
      <c r="O383" s="4">
        <v>0</v>
      </c>
      <c r="P383" s="3">
        <v>0</v>
      </c>
    </row>
    <row r="384" spans="1:16" ht="15" customHeight="1" x14ac:dyDescent="0.3">
      <c r="A384">
        <v>2015</v>
      </c>
      <c r="B384" s="2">
        <v>42179</v>
      </c>
      <c r="C384" t="s">
        <v>218</v>
      </c>
      <c r="D384" t="s">
        <v>45</v>
      </c>
      <c r="E384" t="s">
        <v>498</v>
      </c>
      <c r="F384" t="s">
        <v>20</v>
      </c>
      <c r="G384" t="s">
        <v>38</v>
      </c>
      <c r="H384" t="s">
        <v>39</v>
      </c>
      <c r="I384" t="s">
        <v>136</v>
      </c>
      <c r="J384" t="s">
        <v>50</v>
      </c>
      <c r="K384" s="3">
        <v>14353.85</v>
      </c>
      <c r="O384" s="4">
        <v>0</v>
      </c>
      <c r="P384" s="3">
        <v>0</v>
      </c>
    </row>
    <row r="385" spans="1:16" ht="15" customHeight="1" x14ac:dyDescent="0.3">
      <c r="A385">
        <v>2015</v>
      </c>
      <c r="B385" s="2">
        <v>42179</v>
      </c>
      <c r="C385" t="s">
        <v>218</v>
      </c>
      <c r="D385" t="s">
        <v>499</v>
      </c>
      <c r="E385" t="s">
        <v>440</v>
      </c>
      <c r="F385" t="s">
        <v>20</v>
      </c>
      <c r="G385" t="s">
        <v>38</v>
      </c>
      <c r="H385" t="s">
        <v>89</v>
      </c>
      <c r="I385" t="s">
        <v>141</v>
      </c>
      <c r="J385" t="s">
        <v>123</v>
      </c>
      <c r="K385" s="3">
        <v>422186.27</v>
      </c>
      <c r="O385" s="4">
        <v>0</v>
      </c>
      <c r="P385" s="3">
        <v>0</v>
      </c>
    </row>
    <row r="386" spans="1:16" ht="15" customHeight="1" x14ac:dyDescent="0.3">
      <c r="A386">
        <v>2015</v>
      </c>
      <c r="B386" s="2">
        <v>42181</v>
      </c>
      <c r="C386" t="s">
        <v>218</v>
      </c>
      <c r="D386" t="s">
        <v>451</v>
      </c>
      <c r="E386" t="s">
        <v>500</v>
      </c>
      <c r="F386" t="s">
        <v>20</v>
      </c>
      <c r="G386" t="s">
        <v>21</v>
      </c>
      <c r="H386" t="s">
        <v>22</v>
      </c>
      <c r="I386" t="s">
        <v>23</v>
      </c>
      <c r="J386" t="s">
        <v>27</v>
      </c>
      <c r="K386" s="3">
        <v>5755.76</v>
      </c>
      <c r="O386" s="4">
        <v>0</v>
      </c>
      <c r="P386" s="3">
        <v>0</v>
      </c>
    </row>
    <row r="387" spans="1:16" ht="15" customHeight="1" x14ac:dyDescent="0.3">
      <c r="A387">
        <v>2015</v>
      </c>
      <c r="B387" s="2">
        <v>42181</v>
      </c>
      <c r="C387" t="s">
        <v>218</v>
      </c>
      <c r="D387" t="s">
        <v>364</v>
      </c>
      <c r="E387" t="s">
        <v>501</v>
      </c>
      <c r="F387" t="s">
        <v>20</v>
      </c>
      <c r="G387" t="s">
        <v>21</v>
      </c>
      <c r="H387" t="s">
        <v>101</v>
      </c>
      <c r="I387" t="s">
        <v>23</v>
      </c>
      <c r="J387" t="s">
        <v>27</v>
      </c>
      <c r="K387" s="3">
        <v>453.85</v>
      </c>
      <c r="O387" s="4">
        <v>0</v>
      </c>
      <c r="P387" s="3">
        <v>0</v>
      </c>
    </row>
    <row r="388" spans="1:16" ht="15" customHeight="1" x14ac:dyDescent="0.3">
      <c r="A388">
        <v>2015</v>
      </c>
      <c r="B388" s="2">
        <v>42187</v>
      </c>
      <c r="C388" t="s">
        <v>262</v>
      </c>
      <c r="D388" t="s">
        <v>308</v>
      </c>
      <c r="E388" t="s">
        <v>447</v>
      </c>
      <c r="F388" t="s">
        <v>20</v>
      </c>
      <c r="G388" t="s">
        <v>38</v>
      </c>
      <c r="H388" t="s">
        <v>89</v>
      </c>
      <c r="I388" t="s">
        <v>334</v>
      </c>
      <c r="J388" t="s">
        <v>123</v>
      </c>
      <c r="K388" s="3">
        <v>713650</v>
      </c>
      <c r="O388" s="4">
        <v>0</v>
      </c>
      <c r="P388" s="3">
        <v>0</v>
      </c>
    </row>
    <row r="389" spans="1:16" ht="15" customHeight="1" x14ac:dyDescent="0.3">
      <c r="A389">
        <v>2015</v>
      </c>
      <c r="B389" s="2">
        <v>42188</v>
      </c>
      <c r="C389" t="s">
        <v>262</v>
      </c>
      <c r="D389" t="s">
        <v>53</v>
      </c>
      <c r="E389" t="s">
        <v>443</v>
      </c>
      <c r="F389" t="s">
        <v>20</v>
      </c>
      <c r="G389" t="s">
        <v>21</v>
      </c>
      <c r="H389" t="s">
        <v>22</v>
      </c>
      <c r="I389" t="s">
        <v>141</v>
      </c>
      <c r="J389" t="s">
        <v>123</v>
      </c>
      <c r="K389" s="3">
        <v>168127.97</v>
      </c>
      <c r="O389" s="4">
        <v>0</v>
      </c>
      <c r="P389" s="3">
        <v>0</v>
      </c>
    </row>
    <row r="390" spans="1:16" ht="15" customHeight="1" x14ac:dyDescent="0.3">
      <c r="A390">
        <v>2015</v>
      </c>
      <c r="B390" s="2">
        <v>42205</v>
      </c>
      <c r="C390" t="s">
        <v>262</v>
      </c>
      <c r="D390" t="s">
        <v>53</v>
      </c>
      <c r="E390" t="s">
        <v>502</v>
      </c>
      <c r="F390" t="s">
        <v>20</v>
      </c>
      <c r="G390" t="s">
        <v>21</v>
      </c>
      <c r="H390" t="s">
        <v>22</v>
      </c>
      <c r="I390" t="s">
        <v>23</v>
      </c>
      <c r="J390" t="s">
        <v>27</v>
      </c>
      <c r="K390" s="3">
        <v>2653.37</v>
      </c>
      <c r="O390" s="4">
        <v>0</v>
      </c>
      <c r="P390" s="3">
        <v>0</v>
      </c>
    </row>
    <row r="391" spans="1:16" ht="15" customHeight="1" x14ac:dyDescent="0.3">
      <c r="A391">
        <v>2015</v>
      </c>
      <c r="B391" s="2">
        <v>42205</v>
      </c>
      <c r="C391" t="s">
        <v>262</v>
      </c>
      <c r="D391" t="s">
        <v>69</v>
      </c>
      <c r="E391" t="s">
        <v>503</v>
      </c>
      <c r="F391" t="s">
        <v>20</v>
      </c>
      <c r="G391" t="s">
        <v>38</v>
      </c>
      <c r="H391" t="s">
        <v>147</v>
      </c>
      <c r="I391" t="s">
        <v>136</v>
      </c>
      <c r="J391" t="s">
        <v>50</v>
      </c>
      <c r="K391" s="3">
        <v>104993.88</v>
      </c>
      <c r="O391" s="4">
        <v>0</v>
      </c>
      <c r="P391" s="3">
        <v>0</v>
      </c>
    </row>
    <row r="392" spans="1:16" ht="15" customHeight="1" x14ac:dyDescent="0.3">
      <c r="A392">
        <v>2015</v>
      </c>
      <c r="B392" s="2">
        <v>42206</v>
      </c>
      <c r="C392" t="s">
        <v>262</v>
      </c>
      <c r="D392" t="s">
        <v>69</v>
      </c>
      <c r="E392" t="s">
        <v>504</v>
      </c>
      <c r="F392" t="s">
        <v>20</v>
      </c>
      <c r="G392" t="s">
        <v>38</v>
      </c>
      <c r="H392" t="s">
        <v>147</v>
      </c>
      <c r="I392" t="s">
        <v>136</v>
      </c>
      <c r="J392" t="s">
        <v>50</v>
      </c>
      <c r="K392" s="3">
        <v>88730.6</v>
      </c>
      <c r="O392" s="4">
        <v>0</v>
      </c>
      <c r="P392" s="3">
        <v>0</v>
      </c>
    </row>
    <row r="393" spans="1:16" ht="15" customHeight="1" x14ac:dyDescent="0.3">
      <c r="A393">
        <v>2015</v>
      </c>
      <c r="B393" s="2">
        <v>42207</v>
      </c>
      <c r="C393" t="s">
        <v>262</v>
      </c>
      <c r="D393" t="s">
        <v>53</v>
      </c>
      <c r="E393" t="s">
        <v>505</v>
      </c>
      <c r="F393" t="s">
        <v>20</v>
      </c>
      <c r="G393" t="s">
        <v>21</v>
      </c>
      <c r="H393" t="s">
        <v>22</v>
      </c>
      <c r="I393" t="s">
        <v>136</v>
      </c>
      <c r="J393" t="s">
        <v>123</v>
      </c>
      <c r="K393" s="3">
        <v>16823.98</v>
      </c>
      <c r="O393" s="4">
        <v>0</v>
      </c>
      <c r="P393" s="3">
        <v>0</v>
      </c>
    </row>
    <row r="394" spans="1:16" ht="15" customHeight="1" x14ac:dyDescent="0.3">
      <c r="A394">
        <v>2015</v>
      </c>
      <c r="B394" s="2">
        <v>42208</v>
      </c>
      <c r="C394" t="s">
        <v>262</v>
      </c>
      <c r="D394" t="s">
        <v>138</v>
      </c>
      <c r="E394" t="s">
        <v>506</v>
      </c>
      <c r="F394" t="s">
        <v>20</v>
      </c>
      <c r="G394" t="s">
        <v>21</v>
      </c>
      <c r="H394" t="s">
        <v>22</v>
      </c>
      <c r="I394" t="s">
        <v>507</v>
      </c>
      <c r="J394" t="s">
        <v>123</v>
      </c>
      <c r="K394" s="3">
        <v>91245.5</v>
      </c>
      <c r="O394" s="4">
        <v>0</v>
      </c>
      <c r="P394" s="3">
        <v>0</v>
      </c>
    </row>
    <row r="395" spans="1:16" ht="15" customHeight="1" x14ac:dyDescent="0.3">
      <c r="A395">
        <v>2015</v>
      </c>
      <c r="B395" s="2">
        <v>42212</v>
      </c>
      <c r="C395" t="s">
        <v>262</v>
      </c>
      <c r="D395" t="s">
        <v>69</v>
      </c>
      <c r="E395" t="s">
        <v>508</v>
      </c>
      <c r="F395" t="s">
        <v>20</v>
      </c>
      <c r="G395" t="s">
        <v>38</v>
      </c>
      <c r="H395" t="s">
        <v>147</v>
      </c>
      <c r="I395" t="s">
        <v>136</v>
      </c>
      <c r="J395" t="s">
        <v>50</v>
      </c>
      <c r="K395" s="3">
        <v>128960.85</v>
      </c>
      <c r="O395" s="4">
        <v>0</v>
      </c>
      <c r="P395" s="3">
        <v>0</v>
      </c>
    </row>
    <row r="396" spans="1:16" ht="15" customHeight="1" x14ac:dyDescent="0.3">
      <c r="A396">
        <v>2015</v>
      </c>
      <c r="B396" s="2">
        <v>42219</v>
      </c>
      <c r="C396" t="s">
        <v>291</v>
      </c>
      <c r="D396" t="s">
        <v>53</v>
      </c>
      <c r="E396" t="s">
        <v>509</v>
      </c>
      <c r="F396" t="s">
        <v>20</v>
      </c>
      <c r="G396" t="s">
        <v>21</v>
      </c>
      <c r="H396" t="s">
        <v>22</v>
      </c>
      <c r="I396" t="s">
        <v>23</v>
      </c>
      <c r="J396" t="s">
        <v>27</v>
      </c>
      <c r="K396" s="3">
        <v>7123.43</v>
      </c>
      <c r="O396" s="4">
        <v>0</v>
      </c>
      <c r="P396" s="3">
        <v>0</v>
      </c>
    </row>
    <row r="397" spans="1:16" ht="15" customHeight="1" x14ac:dyDescent="0.3">
      <c r="A397">
        <v>2015</v>
      </c>
      <c r="B397" s="2">
        <v>42219</v>
      </c>
      <c r="C397" t="s">
        <v>291</v>
      </c>
      <c r="D397" t="s">
        <v>53</v>
      </c>
      <c r="E397" t="s">
        <v>510</v>
      </c>
      <c r="F397" t="s">
        <v>20</v>
      </c>
      <c r="G397" t="s">
        <v>21</v>
      </c>
      <c r="H397" t="s">
        <v>22</v>
      </c>
      <c r="I397" t="s">
        <v>23</v>
      </c>
      <c r="J397" t="s">
        <v>27</v>
      </c>
      <c r="K397" s="3">
        <v>1702.52</v>
      </c>
      <c r="O397" s="4">
        <v>0</v>
      </c>
      <c r="P397" s="3">
        <v>0</v>
      </c>
    </row>
    <row r="398" spans="1:16" ht="15" customHeight="1" x14ac:dyDescent="0.3">
      <c r="A398">
        <v>2015</v>
      </c>
      <c r="B398" s="2">
        <v>42227</v>
      </c>
      <c r="C398" t="s">
        <v>291</v>
      </c>
      <c r="D398" t="s">
        <v>61</v>
      </c>
      <c r="E398" t="s">
        <v>511</v>
      </c>
      <c r="F398" t="s">
        <v>20</v>
      </c>
      <c r="G398" t="s">
        <v>21</v>
      </c>
      <c r="H398" t="s">
        <v>22</v>
      </c>
      <c r="I398" t="s">
        <v>136</v>
      </c>
      <c r="J398" t="s">
        <v>123</v>
      </c>
      <c r="K398" s="3">
        <v>45148.57</v>
      </c>
      <c r="O398" s="4">
        <v>0</v>
      </c>
      <c r="P398" s="3">
        <v>0</v>
      </c>
    </row>
    <row r="399" spans="1:16" ht="15" customHeight="1" x14ac:dyDescent="0.3">
      <c r="A399">
        <v>2015</v>
      </c>
      <c r="B399" s="2">
        <v>42227</v>
      </c>
      <c r="C399" t="s">
        <v>291</v>
      </c>
      <c r="D399" t="s">
        <v>61</v>
      </c>
      <c r="E399" t="s">
        <v>512</v>
      </c>
      <c r="F399" t="s">
        <v>20</v>
      </c>
      <c r="G399" t="s">
        <v>21</v>
      </c>
      <c r="H399" t="s">
        <v>22</v>
      </c>
      <c r="I399" t="s">
        <v>136</v>
      </c>
      <c r="J399" t="s">
        <v>123</v>
      </c>
      <c r="K399" s="3">
        <v>21958.45</v>
      </c>
      <c r="O399" s="4">
        <v>0</v>
      </c>
      <c r="P399" s="3">
        <v>0</v>
      </c>
    </row>
    <row r="400" spans="1:16" ht="15" customHeight="1" x14ac:dyDescent="0.3">
      <c r="A400">
        <v>2015</v>
      </c>
      <c r="B400" s="2">
        <v>42229</v>
      </c>
      <c r="C400" t="s">
        <v>291</v>
      </c>
      <c r="D400" t="s">
        <v>45</v>
      </c>
      <c r="E400" t="s">
        <v>513</v>
      </c>
      <c r="F400" t="s">
        <v>20</v>
      </c>
      <c r="G400" t="s">
        <v>38</v>
      </c>
      <c r="H400" t="s">
        <v>39</v>
      </c>
      <c r="I400" t="s">
        <v>23</v>
      </c>
      <c r="J400" t="s">
        <v>27</v>
      </c>
      <c r="K400" s="3">
        <v>2000</v>
      </c>
      <c r="O400" s="4">
        <v>0</v>
      </c>
      <c r="P400" s="3">
        <v>0</v>
      </c>
    </row>
    <row r="401" spans="1:16" ht="15" customHeight="1" x14ac:dyDescent="0.3">
      <c r="A401">
        <v>2015</v>
      </c>
      <c r="B401" s="2">
        <v>42236</v>
      </c>
      <c r="C401" t="s">
        <v>291</v>
      </c>
      <c r="D401" t="s">
        <v>45</v>
      </c>
      <c r="E401" t="s">
        <v>514</v>
      </c>
      <c r="F401" t="s">
        <v>20</v>
      </c>
      <c r="G401" t="s">
        <v>38</v>
      </c>
      <c r="H401" t="s">
        <v>39</v>
      </c>
      <c r="I401" t="s">
        <v>136</v>
      </c>
      <c r="J401" t="s">
        <v>50</v>
      </c>
      <c r="K401" s="3">
        <v>120000.55</v>
      </c>
      <c r="O401" s="4">
        <v>0</v>
      </c>
      <c r="P401" s="3">
        <v>0</v>
      </c>
    </row>
    <row r="402" spans="1:16" ht="15" customHeight="1" x14ac:dyDescent="0.3">
      <c r="A402">
        <v>2015</v>
      </c>
      <c r="B402" s="2">
        <v>42236</v>
      </c>
      <c r="C402" t="s">
        <v>291</v>
      </c>
      <c r="D402" t="s">
        <v>69</v>
      </c>
      <c r="E402" t="s">
        <v>515</v>
      </c>
      <c r="F402" t="s">
        <v>20</v>
      </c>
      <c r="G402" t="s">
        <v>21</v>
      </c>
      <c r="H402" t="s">
        <v>22</v>
      </c>
      <c r="I402" t="s">
        <v>136</v>
      </c>
      <c r="J402" t="s">
        <v>50</v>
      </c>
      <c r="K402" s="3">
        <v>8042.21</v>
      </c>
      <c r="O402" s="4">
        <v>0</v>
      </c>
      <c r="P402" s="3">
        <v>0</v>
      </c>
    </row>
    <row r="403" spans="1:16" ht="15" customHeight="1" x14ac:dyDescent="0.3">
      <c r="A403">
        <v>2015</v>
      </c>
      <c r="B403" s="2">
        <v>42237</v>
      </c>
      <c r="C403" t="s">
        <v>291</v>
      </c>
      <c r="D403" t="s">
        <v>69</v>
      </c>
      <c r="E403" t="s">
        <v>516</v>
      </c>
      <c r="F403" t="s">
        <v>20</v>
      </c>
      <c r="G403" t="s">
        <v>21</v>
      </c>
      <c r="H403" t="s">
        <v>22</v>
      </c>
      <c r="I403" t="s">
        <v>136</v>
      </c>
      <c r="J403" t="s">
        <v>50</v>
      </c>
      <c r="K403" s="3">
        <v>11880.14</v>
      </c>
      <c r="O403" s="4">
        <v>0</v>
      </c>
      <c r="P403" s="3">
        <v>0</v>
      </c>
    </row>
    <row r="404" spans="1:16" ht="15" customHeight="1" x14ac:dyDescent="0.3">
      <c r="A404">
        <v>2015</v>
      </c>
      <c r="B404" s="2">
        <v>42240</v>
      </c>
      <c r="C404" t="s">
        <v>291</v>
      </c>
      <c r="D404" t="s">
        <v>30</v>
      </c>
      <c r="E404" t="s">
        <v>461</v>
      </c>
      <c r="F404" t="s">
        <v>20</v>
      </c>
      <c r="G404" t="s">
        <v>21</v>
      </c>
      <c r="H404" t="s">
        <v>22</v>
      </c>
      <c r="I404" t="s">
        <v>136</v>
      </c>
      <c r="J404" t="s">
        <v>50</v>
      </c>
      <c r="K404" s="3">
        <v>172461.85</v>
      </c>
      <c r="O404" s="4">
        <v>0</v>
      </c>
      <c r="P404" s="3">
        <v>0</v>
      </c>
    </row>
    <row r="405" spans="1:16" ht="15" customHeight="1" x14ac:dyDescent="0.3">
      <c r="A405">
        <v>2015</v>
      </c>
      <c r="B405" s="2">
        <v>42240</v>
      </c>
      <c r="C405" t="s">
        <v>291</v>
      </c>
      <c r="D405" t="s">
        <v>517</v>
      </c>
      <c r="E405" t="s">
        <v>518</v>
      </c>
      <c r="F405" t="s">
        <v>20</v>
      </c>
      <c r="G405" t="s">
        <v>38</v>
      </c>
      <c r="H405" t="s">
        <v>147</v>
      </c>
      <c r="I405" t="s">
        <v>23</v>
      </c>
      <c r="J405" t="s">
        <v>110</v>
      </c>
      <c r="K405" s="3">
        <v>14033.49</v>
      </c>
      <c r="O405" s="4">
        <v>0</v>
      </c>
      <c r="P405" s="3">
        <v>0</v>
      </c>
    </row>
    <row r="406" spans="1:16" ht="15" customHeight="1" x14ac:dyDescent="0.3">
      <c r="A406">
        <v>2015</v>
      </c>
      <c r="B406" s="2">
        <v>42248</v>
      </c>
      <c r="C406" t="s">
        <v>325</v>
      </c>
      <c r="D406" t="s">
        <v>30</v>
      </c>
      <c r="E406" t="s">
        <v>519</v>
      </c>
      <c r="F406" t="s">
        <v>20</v>
      </c>
      <c r="G406" t="s">
        <v>21</v>
      </c>
      <c r="H406" t="s">
        <v>22</v>
      </c>
      <c r="I406" t="s">
        <v>136</v>
      </c>
      <c r="J406" t="s">
        <v>50</v>
      </c>
      <c r="K406" s="3">
        <v>129070.45</v>
      </c>
      <c r="O406" s="4">
        <v>0</v>
      </c>
      <c r="P406" s="3">
        <v>0</v>
      </c>
    </row>
    <row r="407" spans="1:16" ht="15" customHeight="1" x14ac:dyDescent="0.3">
      <c r="A407">
        <v>2015</v>
      </c>
      <c r="B407" s="2">
        <v>42251</v>
      </c>
      <c r="C407" t="s">
        <v>325</v>
      </c>
      <c r="D407" t="s">
        <v>520</v>
      </c>
      <c r="E407" t="s">
        <v>521</v>
      </c>
      <c r="F407" t="s">
        <v>20</v>
      </c>
      <c r="G407" t="s">
        <v>107</v>
      </c>
      <c r="H407" t="s">
        <v>522</v>
      </c>
      <c r="I407" t="s">
        <v>136</v>
      </c>
      <c r="J407" t="s">
        <v>123</v>
      </c>
      <c r="K407" s="3">
        <v>90042</v>
      </c>
      <c r="O407" s="4">
        <v>0</v>
      </c>
      <c r="P407" s="3">
        <v>0</v>
      </c>
    </row>
    <row r="408" spans="1:16" ht="15" customHeight="1" x14ac:dyDescent="0.3">
      <c r="A408">
        <v>2015</v>
      </c>
      <c r="B408" s="2">
        <v>42251</v>
      </c>
      <c r="C408" t="s">
        <v>325</v>
      </c>
      <c r="D408" t="s">
        <v>292</v>
      </c>
      <c r="E408" t="s">
        <v>443</v>
      </c>
      <c r="F408" t="s">
        <v>20</v>
      </c>
      <c r="G408" t="s">
        <v>21</v>
      </c>
      <c r="H408" t="s">
        <v>22</v>
      </c>
      <c r="I408" t="s">
        <v>141</v>
      </c>
      <c r="J408" t="s">
        <v>123</v>
      </c>
      <c r="K408" s="3">
        <v>157627.15</v>
      </c>
      <c r="O408" s="4">
        <v>0</v>
      </c>
      <c r="P408" s="3">
        <v>0</v>
      </c>
    </row>
    <row r="409" spans="1:16" ht="15" customHeight="1" x14ac:dyDescent="0.3">
      <c r="A409">
        <v>2015</v>
      </c>
      <c r="B409" s="2">
        <v>42261</v>
      </c>
      <c r="C409" t="s">
        <v>325</v>
      </c>
      <c r="D409" t="s">
        <v>53</v>
      </c>
      <c r="E409" t="s">
        <v>523</v>
      </c>
      <c r="F409" t="s">
        <v>20</v>
      </c>
      <c r="G409" t="s">
        <v>21</v>
      </c>
      <c r="H409" t="s">
        <v>22</v>
      </c>
      <c r="I409" t="s">
        <v>23</v>
      </c>
      <c r="J409" t="s">
        <v>123</v>
      </c>
      <c r="K409" s="3">
        <v>24740.1</v>
      </c>
      <c r="O409" s="4">
        <v>0</v>
      </c>
      <c r="P409" s="3">
        <v>0</v>
      </c>
    </row>
    <row r="410" spans="1:16" ht="15" customHeight="1" x14ac:dyDescent="0.3">
      <c r="A410">
        <v>2015</v>
      </c>
      <c r="B410" s="2">
        <v>42262</v>
      </c>
      <c r="C410" t="s">
        <v>325</v>
      </c>
      <c r="D410" t="s">
        <v>53</v>
      </c>
      <c r="E410" t="s">
        <v>524</v>
      </c>
      <c r="F410" t="s">
        <v>20</v>
      </c>
      <c r="G410" t="s">
        <v>21</v>
      </c>
      <c r="H410" t="s">
        <v>22</v>
      </c>
      <c r="I410" t="s">
        <v>23</v>
      </c>
      <c r="J410" t="s">
        <v>27</v>
      </c>
      <c r="K410" s="3">
        <v>2523.75</v>
      </c>
      <c r="O410" s="4">
        <v>0</v>
      </c>
      <c r="P410" s="3">
        <v>0</v>
      </c>
    </row>
    <row r="411" spans="1:16" ht="15" customHeight="1" x14ac:dyDescent="0.3">
      <c r="A411">
        <v>2015</v>
      </c>
      <c r="B411" s="2">
        <v>42264</v>
      </c>
      <c r="C411" t="s">
        <v>325</v>
      </c>
      <c r="D411" t="s">
        <v>69</v>
      </c>
      <c r="E411" t="s">
        <v>525</v>
      </c>
      <c r="F411" t="s">
        <v>20</v>
      </c>
      <c r="G411" t="s">
        <v>38</v>
      </c>
      <c r="H411" t="s">
        <v>147</v>
      </c>
      <c r="I411" t="s">
        <v>23</v>
      </c>
      <c r="J411" t="s">
        <v>27</v>
      </c>
      <c r="K411" s="3">
        <v>300</v>
      </c>
      <c r="O411" s="4">
        <v>0</v>
      </c>
      <c r="P411" s="3">
        <v>0</v>
      </c>
    </row>
    <row r="412" spans="1:16" ht="15" customHeight="1" x14ac:dyDescent="0.3">
      <c r="A412">
        <v>2015</v>
      </c>
      <c r="B412" s="2">
        <v>42270</v>
      </c>
      <c r="C412" t="s">
        <v>325</v>
      </c>
      <c r="D412" t="s">
        <v>69</v>
      </c>
      <c r="E412" t="s">
        <v>526</v>
      </c>
      <c r="F412" t="s">
        <v>20</v>
      </c>
      <c r="G412" t="s">
        <v>38</v>
      </c>
      <c r="H412" t="s">
        <v>147</v>
      </c>
      <c r="I412" t="s">
        <v>23</v>
      </c>
      <c r="J412" t="s">
        <v>27</v>
      </c>
      <c r="K412" s="3">
        <v>1600</v>
      </c>
      <c r="O412" s="4">
        <v>0</v>
      </c>
      <c r="P412" s="3">
        <v>0</v>
      </c>
    </row>
    <row r="413" spans="1:16" ht="15" customHeight="1" x14ac:dyDescent="0.3">
      <c r="A413">
        <v>2015</v>
      </c>
      <c r="B413" s="2">
        <v>42277</v>
      </c>
      <c r="C413" t="s">
        <v>325</v>
      </c>
      <c r="D413" t="s">
        <v>47</v>
      </c>
      <c r="E413" t="s">
        <v>527</v>
      </c>
      <c r="F413" t="s">
        <v>20</v>
      </c>
      <c r="G413" t="s">
        <v>38</v>
      </c>
      <c r="H413" t="s">
        <v>39</v>
      </c>
      <c r="I413" t="s">
        <v>23</v>
      </c>
      <c r="J413" t="s">
        <v>27</v>
      </c>
      <c r="K413" s="3">
        <v>7560</v>
      </c>
      <c r="O413" s="4">
        <v>0</v>
      </c>
      <c r="P413" s="3">
        <v>0</v>
      </c>
    </row>
    <row r="414" spans="1:16" ht="15" customHeight="1" x14ac:dyDescent="0.3">
      <c r="A414">
        <v>2015</v>
      </c>
      <c r="B414" s="2">
        <v>42277</v>
      </c>
      <c r="C414" t="s">
        <v>325</v>
      </c>
      <c r="D414" t="s">
        <v>56</v>
      </c>
      <c r="E414" t="s">
        <v>528</v>
      </c>
      <c r="F414" t="s">
        <v>20</v>
      </c>
      <c r="G414" t="s">
        <v>21</v>
      </c>
      <c r="H414" t="s">
        <v>22</v>
      </c>
      <c r="I414" t="s">
        <v>141</v>
      </c>
      <c r="J414" t="s">
        <v>50</v>
      </c>
      <c r="K414" s="3">
        <v>6000.33</v>
      </c>
      <c r="O414" s="4">
        <v>0</v>
      </c>
      <c r="P414" s="3">
        <v>0</v>
      </c>
    </row>
    <row r="415" spans="1:16" ht="15" customHeight="1" x14ac:dyDescent="0.3">
      <c r="A415">
        <v>2015</v>
      </c>
      <c r="B415" s="2">
        <v>42288</v>
      </c>
      <c r="C415" t="s">
        <v>357</v>
      </c>
      <c r="D415" t="s">
        <v>253</v>
      </c>
      <c r="E415" t="s">
        <v>529</v>
      </c>
      <c r="F415" t="s">
        <v>20</v>
      </c>
      <c r="G415" t="s">
        <v>21</v>
      </c>
      <c r="H415" t="s">
        <v>22</v>
      </c>
      <c r="I415" t="s">
        <v>23</v>
      </c>
      <c r="J415" t="s">
        <v>27</v>
      </c>
      <c r="K415" s="3">
        <v>3986</v>
      </c>
      <c r="O415" s="4">
        <v>0</v>
      </c>
      <c r="P415" s="3">
        <v>0</v>
      </c>
    </row>
    <row r="416" spans="1:16" ht="15" customHeight="1" x14ac:dyDescent="0.3">
      <c r="A416">
        <v>2015</v>
      </c>
      <c r="B416" s="2">
        <v>42291</v>
      </c>
      <c r="C416" t="s">
        <v>357</v>
      </c>
      <c r="D416" t="s">
        <v>358</v>
      </c>
      <c r="E416" t="s">
        <v>530</v>
      </c>
      <c r="F416" t="s">
        <v>20</v>
      </c>
      <c r="G416" t="s">
        <v>38</v>
      </c>
      <c r="H416" t="s">
        <v>147</v>
      </c>
      <c r="I416" t="s">
        <v>136</v>
      </c>
      <c r="J416" t="s">
        <v>123</v>
      </c>
      <c r="K416" s="3">
        <v>231231.86</v>
      </c>
      <c r="O416" s="4">
        <v>0</v>
      </c>
      <c r="P416" s="3">
        <v>0</v>
      </c>
    </row>
    <row r="417" spans="1:16" ht="15" customHeight="1" x14ac:dyDescent="0.3">
      <c r="A417">
        <v>2016</v>
      </c>
      <c r="B417" s="2">
        <v>42381</v>
      </c>
      <c r="C417" t="s">
        <v>17</v>
      </c>
      <c r="D417" t="s">
        <v>531</v>
      </c>
      <c r="E417" t="s">
        <v>532</v>
      </c>
      <c r="F417" t="s">
        <v>20</v>
      </c>
      <c r="G417" t="s">
        <v>38</v>
      </c>
      <c r="H417" t="s">
        <v>39</v>
      </c>
      <c r="I417" t="s">
        <v>136</v>
      </c>
      <c r="J417" t="s">
        <v>50</v>
      </c>
      <c r="K417" s="3">
        <v>22968</v>
      </c>
      <c r="O417" s="4">
        <v>0</v>
      </c>
      <c r="P417" s="3">
        <v>0</v>
      </c>
    </row>
    <row r="418" spans="1:16" ht="15" customHeight="1" x14ac:dyDescent="0.3">
      <c r="A418">
        <v>2016</v>
      </c>
      <c r="B418" s="2">
        <v>42382</v>
      </c>
      <c r="C418" t="s">
        <v>17</v>
      </c>
      <c r="D418" t="s">
        <v>205</v>
      </c>
      <c r="E418" t="s">
        <v>533</v>
      </c>
      <c r="F418" t="s">
        <v>20</v>
      </c>
      <c r="G418" t="s">
        <v>21</v>
      </c>
      <c r="H418" t="s">
        <v>22</v>
      </c>
      <c r="I418" t="s">
        <v>23</v>
      </c>
      <c r="J418" t="s">
        <v>27</v>
      </c>
      <c r="K418" s="3">
        <v>266.20999999999998</v>
      </c>
      <c r="O418" s="4">
        <v>0</v>
      </c>
      <c r="P418" s="3">
        <v>0</v>
      </c>
    </row>
    <row r="419" spans="1:16" ht="15" customHeight="1" x14ac:dyDescent="0.3">
      <c r="A419">
        <v>2016</v>
      </c>
      <c r="B419" s="2">
        <v>42387</v>
      </c>
      <c r="C419" t="s">
        <v>17</v>
      </c>
      <c r="D419" t="s">
        <v>534</v>
      </c>
      <c r="E419" t="s">
        <v>535</v>
      </c>
      <c r="F419" t="s">
        <v>20</v>
      </c>
      <c r="G419" t="s">
        <v>21</v>
      </c>
      <c r="H419" t="s">
        <v>22</v>
      </c>
      <c r="I419" t="s">
        <v>23</v>
      </c>
      <c r="J419" t="s">
        <v>27</v>
      </c>
      <c r="K419" s="3">
        <v>471</v>
      </c>
      <c r="O419" s="4">
        <v>0</v>
      </c>
      <c r="P419" s="3">
        <v>0</v>
      </c>
    </row>
    <row r="420" spans="1:16" ht="15" customHeight="1" x14ac:dyDescent="0.3">
      <c r="A420">
        <v>2016</v>
      </c>
      <c r="B420" s="2">
        <v>42390</v>
      </c>
      <c r="C420" t="s">
        <v>17</v>
      </c>
      <c r="D420" t="s">
        <v>536</v>
      </c>
      <c r="E420" t="s">
        <v>537</v>
      </c>
      <c r="F420" t="s">
        <v>20</v>
      </c>
      <c r="G420" t="s">
        <v>107</v>
      </c>
      <c r="H420" t="s">
        <v>108</v>
      </c>
      <c r="I420" t="s">
        <v>538</v>
      </c>
      <c r="J420" t="s">
        <v>123</v>
      </c>
      <c r="K420" s="3">
        <v>45398.076807680802</v>
      </c>
      <c r="O420" s="4">
        <v>0</v>
      </c>
      <c r="P420" s="3">
        <v>0</v>
      </c>
    </row>
    <row r="421" spans="1:16" ht="15" customHeight="1" x14ac:dyDescent="0.3">
      <c r="A421">
        <v>2016</v>
      </c>
      <c r="B421" s="2">
        <v>42391</v>
      </c>
      <c r="C421" t="s">
        <v>17</v>
      </c>
      <c r="D421" t="s">
        <v>30</v>
      </c>
      <c r="E421" t="s">
        <v>539</v>
      </c>
      <c r="F421" t="s">
        <v>20</v>
      </c>
      <c r="G421" t="s">
        <v>21</v>
      </c>
      <c r="H421" t="s">
        <v>22</v>
      </c>
      <c r="I421" t="s">
        <v>23</v>
      </c>
      <c r="J421" t="s">
        <v>27</v>
      </c>
      <c r="K421" s="3">
        <v>1320</v>
      </c>
      <c r="O421" s="4">
        <v>0</v>
      </c>
      <c r="P421" s="3">
        <v>0</v>
      </c>
    </row>
    <row r="422" spans="1:16" ht="15" customHeight="1" x14ac:dyDescent="0.3">
      <c r="A422">
        <v>2016</v>
      </c>
      <c r="B422" s="2">
        <v>42391</v>
      </c>
      <c r="C422" t="s">
        <v>17</v>
      </c>
      <c r="D422" t="s">
        <v>40</v>
      </c>
      <c r="E422" t="s">
        <v>540</v>
      </c>
      <c r="F422" t="s">
        <v>20</v>
      </c>
      <c r="G422" t="s">
        <v>21</v>
      </c>
      <c r="H422" t="s">
        <v>22</v>
      </c>
      <c r="I422" t="s">
        <v>136</v>
      </c>
      <c r="J422" t="s">
        <v>123</v>
      </c>
      <c r="K422" s="3">
        <v>3984.3</v>
      </c>
      <c r="O422" s="4">
        <v>0</v>
      </c>
      <c r="P422" s="3">
        <v>0</v>
      </c>
    </row>
    <row r="423" spans="1:16" ht="15" customHeight="1" x14ac:dyDescent="0.3">
      <c r="A423">
        <v>2016</v>
      </c>
      <c r="B423" s="2">
        <v>42404</v>
      </c>
      <c r="C423" t="s">
        <v>71</v>
      </c>
      <c r="D423" t="s">
        <v>69</v>
      </c>
      <c r="E423" t="s">
        <v>541</v>
      </c>
      <c r="F423" t="s">
        <v>20</v>
      </c>
      <c r="G423" t="s">
        <v>21</v>
      </c>
      <c r="H423" t="s">
        <v>22</v>
      </c>
      <c r="I423" t="s">
        <v>23</v>
      </c>
      <c r="J423" t="s">
        <v>27</v>
      </c>
      <c r="K423" s="3">
        <v>3000</v>
      </c>
      <c r="O423" s="4">
        <v>0</v>
      </c>
      <c r="P423" s="3">
        <v>0</v>
      </c>
    </row>
    <row r="424" spans="1:16" ht="15" customHeight="1" x14ac:dyDescent="0.3">
      <c r="A424">
        <v>2016</v>
      </c>
      <c r="B424" s="2">
        <v>42408</v>
      </c>
      <c r="C424" t="s">
        <v>71</v>
      </c>
      <c r="D424" t="s">
        <v>464</v>
      </c>
      <c r="E424" t="s">
        <v>542</v>
      </c>
      <c r="F424" t="s">
        <v>20</v>
      </c>
      <c r="G424" t="s">
        <v>38</v>
      </c>
      <c r="H424" t="s">
        <v>39</v>
      </c>
      <c r="I424" t="s">
        <v>178</v>
      </c>
      <c r="J424" t="s">
        <v>123</v>
      </c>
      <c r="K424" s="3">
        <v>83522.64</v>
      </c>
      <c r="O424" s="4">
        <v>0</v>
      </c>
      <c r="P424" s="3">
        <v>0</v>
      </c>
    </row>
    <row r="425" spans="1:16" ht="15" customHeight="1" x14ac:dyDescent="0.3">
      <c r="A425">
        <v>2016</v>
      </c>
      <c r="B425" s="2">
        <v>42408</v>
      </c>
      <c r="C425" t="s">
        <v>71</v>
      </c>
      <c r="D425" t="s">
        <v>464</v>
      </c>
      <c r="E425" t="s">
        <v>543</v>
      </c>
      <c r="F425" t="s">
        <v>20</v>
      </c>
      <c r="G425" t="s">
        <v>38</v>
      </c>
      <c r="H425" t="s">
        <v>39</v>
      </c>
      <c r="I425" t="s">
        <v>178</v>
      </c>
      <c r="J425" t="s">
        <v>123</v>
      </c>
      <c r="K425" s="3">
        <v>11770.7</v>
      </c>
      <c r="O425" s="4">
        <v>0</v>
      </c>
      <c r="P425" s="3">
        <v>0</v>
      </c>
    </row>
    <row r="426" spans="1:16" ht="15" customHeight="1" x14ac:dyDescent="0.3">
      <c r="A426">
        <v>2016</v>
      </c>
      <c r="B426" s="2">
        <v>42410</v>
      </c>
      <c r="C426" t="s">
        <v>71</v>
      </c>
      <c r="D426" t="s">
        <v>45</v>
      </c>
      <c r="E426" t="s">
        <v>544</v>
      </c>
      <c r="F426" t="s">
        <v>20</v>
      </c>
      <c r="G426" t="s">
        <v>38</v>
      </c>
      <c r="H426" t="s">
        <v>39</v>
      </c>
      <c r="I426" t="s">
        <v>136</v>
      </c>
      <c r="J426" t="s">
        <v>50</v>
      </c>
      <c r="K426" s="3">
        <v>17905</v>
      </c>
      <c r="O426" s="4">
        <v>0</v>
      </c>
      <c r="P426" s="3">
        <v>0</v>
      </c>
    </row>
    <row r="427" spans="1:16" ht="15" customHeight="1" x14ac:dyDescent="0.3">
      <c r="A427">
        <v>2016</v>
      </c>
      <c r="B427" s="2">
        <v>42417</v>
      </c>
      <c r="C427" t="s">
        <v>71</v>
      </c>
      <c r="D427" t="s">
        <v>103</v>
      </c>
      <c r="E427" t="s">
        <v>545</v>
      </c>
      <c r="F427" t="s">
        <v>20</v>
      </c>
      <c r="G427" t="s">
        <v>21</v>
      </c>
      <c r="H427" t="s">
        <v>22</v>
      </c>
      <c r="I427" t="s">
        <v>23</v>
      </c>
      <c r="J427" t="s">
        <v>27</v>
      </c>
      <c r="K427" s="3">
        <v>322</v>
      </c>
      <c r="O427" s="4">
        <v>0</v>
      </c>
      <c r="P427" s="3">
        <v>0</v>
      </c>
    </row>
    <row r="428" spans="1:16" ht="15" customHeight="1" x14ac:dyDescent="0.3">
      <c r="A428">
        <v>2016</v>
      </c>
      <c r="B428" s="2">
        <v>42419</v>
      </c>
      <c r="C428" t="s">
        <v>71</v>
      </c>
      <c r="D428" t="s">
        <v>43</v>
      </c>
      <c r="E428" t="s">
        <v>546</v>
      </c>
      <c r="F428" t="s">
        <v>20</v>
      </c>
      <c r="G428" t="s">
        <v>21</v>
      </c>
      <c r="H428" t="s">
        <v>22</v>
      </c>
      <c r="I428" t="s">
        <v>23</v>
      </c>
      <c r="J428" t="s">
        <v>27</v>
      </c>
      <c r="K428" s="3">
        <v>3906.67</v>
      </c>
      <c r="O428" s="4">
        <v>0</v>
      </c>
      <c r="P428" s="3">
        <v>0</v>
      </c>
    </row>
    <row r="429" spans="1:16" ht="15" customHeight="1" x14ac:dyDescent="0.3">
      <c r="A429">
        <v>2016</v>
      </c>
      <c r="B429" s="2">
        <v>42423</v>
      </c>
      <c r="C429" t="s">
        <v>71</v>
      </c>
      <c r="D429" t="s">
        <v>358</v>
      </c>
      <c r="E429" t="s">
        <v>547</v>
      </c>
      <c r="F429" t="s">
        <v>20</v>
      </c>
      <c r="G429" t="s">
        <v>38</v>
      </c>
      <c r="H429" t="s">
        <v>147</v>
      </c>
      <c r="I429" t="s">
        <v>23</v>
      </c>
      <c r="J429" t="s">
        <v>27</v>
      </c>
      <c r="K429" s="3">
        <v>3940</v>
      </c>
      <c r="O429" s="4">
        <v>0</v>
      </c>
      <c r="P429" s="3">
        <v>0</v>
      </c>
    </row>
    <row r="430" spans="1:16" ht="15" customHeight="1" x14ac:dyDescent="0.3">
      <c r="A430">
        <v>2016</v>
      </c>
      <c r="B430" s="2">
        <v>42423</v>
      </c>
      <c r="C430" t="s">
        <v>71</v>
      </c>
      <c r="D430" t="s">
        <v>47</v>
      </c>
      <c r="E430" t="s">
        <v>548</v>
      </c>
      <c r="F430" t="s">
        <v>20</v>
      </c>
      <c r="G430" t="s">
        <v>38</v>
      </c>
      <c r="H430" t="s">
        <v>39</v>
      </c>
      <c r="I430" t="s">
        <v>306</v>
      </c>
      <c r="J430" t="s">
        <v>123</v>
      </c>
      <c r="K430" s="3">
        <v>329841.87</v>
      </c>
      <c r="O430" s="4">
        <v>0</v>
      </c>
      <c r="P430" s="3">
        <v>0</v>
      </c>
    </row>
    <row r="431" spans="1:16" ht="15" customHeight="1" x14ac:dyDescent="0.3">
      <c r="A431">
        <v>2016</v>
      </c>
      <c r="B431" s="2">
        <v>42423</v>
      </c>
      <c r="C431" t="s">
        <v>71</v>
      </c>
      <c r="D431" t="s">
        <v>47</v>
      </c>
      <c r="E431" t="s">
        <v>549</v>
      </c>
      <c r="F431" t="s">
        <v>20</v>
      </c>
      <c r="G431" t="s">
        <v>38</v>
      </c>
      <c r="H431" t="s">
        <v>39</v>
      </c>
      <c r="I431" t="s">
        <v>49</v>
      </c>
      <c r="J431" t="s">
        <v>50</v>
      </c>
      <c r="K431" s="3">
        <v>39464.629999999997</v>
      </c>
      <c r="O431" s="4">
        <v>0</v>
      </c>
      <c r="P431" s="3">
        <v>0</v>
      </c>
    </row>
    <row r="432" spans="1:16" ht="15" customHeight="1" x14ac:dyDescent="0.3">
      <c r="A432">
        <v>2016</v>
      </c>
      <c r="B432" s="2">
        <v>42424</v>
      </c>
      <c r="C432" t="s">
        <v>71</v>
      </c>
      <c r="D432" t="s">
        <v>464</v>
      </c>
      <c r="E432" t="s">
        <v>550</v>
      </c>
      <c r="F432" t="s">
        <v>20</v>
      </c>
      <c r="G432" t="s">
        <v>38</v>
      </c>
      <c r="H432" t="s">
        <v>39</v>
      </c>
      <c r="I432" t="s">
        <v>178</v>
      </c>
      <c r="J432" t="s">
        <v>123</v>
      </c>
      <c r="K432" s="3">
        <v>3826.29</v>
      </c>
      <c r="O432" s="4">
        <v>0</v>
      </c>
      <c r="P432" s="3">
        <v>0</v>
      </c>
    </row>
    <row r="433" spans="1:16" ht="15" customHeight="1" x14ac:dyDescent="0.3">
      <c r="A433">
        <v>2016</v>
      </c>
      <c r="B433" s="2">
        <v>42424</v>
      </c>
      <c r="C433" t="s">
        <v>71</v>
      </c>
      <c r="D433" t="s">
        <v>181</v>
      </c>
      <c r="E433" t="s">
        <v>551</v>
      </c>
      <c r="F433" t="s">
        <v>20</v>
      </c>
      <c r="G433" t="s">
        <v>21</v>
      </c>
      <c r="H433" t="s">
        <v>22</v>
      </c>
      <c r="I433" t="s">
        <v>23</v>
      </c>
      <c r="J433" t="s">
        <v>110</v>
      </c>
      <c r="K433" s="3">
        <v>32707.27</v>
      </c>
      <c r="O433" s="4">
        <v>0</v>
      </c>
      <c r="P433" s="3">
        <v>0</v>
      </c>
    </row>
    <row r="434" spans="1:16" ht="15" customHeight="1" x14ac:dyDescent="0.3">
      <c r="A434">
        <v>2016</v>
      </c>
      <c r="B434" s="2">
        <v>42426</v>
      </c>
      <c r="C434" t="s">
        <v>71</v>
      </c>
      <c r="D434" t="s">
        <v>552</v>
      </c>
      <c r="E434" t="s">
        <v>553</v>
      </c>
      <c r="F434" t="s">
        <v>20</v>
      </c>
      <c r="G434" t="s">
        <v>107</v>
      </c>
      <c r="H434" t="s">
        <v>108</v>
      </c>
      <c r="I434" t="s">
        <v>538</v>
      </c>
      <c r="J434" t="s">
        <v>123</v>
      </c>
      <c r="K434" s="3">
        <v>132454.82</v>
      </c>
      <c r="O434" s="4">
        <v>0</v>
      </c>
      <c r="P434" s="3">
        <v>0</v>
      </c>
    </row>
    <row r="435" spans="1:16" ht="15" customHeight="1" x14ac:dyDescent="0.3">
      <c r="A435">
        <v>2016</v>
      </c>
      <c r="B435" s="2">
        <v>42426</v>
      </c>
      <c r="C435" t="s">
        <v>71</v>
      </c>
      <c r="D435" t="s">
        <v>103</v>
      </c>
      <c r="E435" t="s">
        <v>554</v>
      </c>
      <c r="F435" t="s">
        <v>20</v>
      </c>
      <c r="G435" t="s">
        <v>21</v>
      </c>
      <c r="H435" t="s">
        <v>22</v>
      </c>
      <c r="I435" t="s">
        <v>23</v>
      </c>
      <c r="J435" t="s">
        <v>27</v>
      </c>
      <c r="K435" s="3">
        <v>322</v>
      </c>
      <c r="O435" s="4">
        <v>0</v>
      </c>
      <c r="P435" s="3">
        <v>0</v>
      </c>
    </row>
    <row r="436" spans="1:16" ht="15" customHeight="1" x14ac:dyDescent="0.3">
      <c r="A436">
        <v>2016</v>
      </c>
      <c r="B436" s="2">
        <v>42431</v>
      </c>
      <c r="C436" t="s">
        <v>137</v>
      </c>
      <c r="D436" t="s">
        <v>308</v>
      </c>
      <c r="E436" t="s">
        <v>555</v>
      </c>
      <c r="F436" t="s">
        <v>20</v>
      </c>
      <c r="G436" t="s">
        <v>38</v>
      </c>
      <c r="H436" t="s">
        <v>89</v>
      </c>
      <c r="I436" t="s">
        <v>334</v>
      </c>
      <c r="J436" t="s">
        <v>123</v>
      </c>
      <c r="K436" s="3">
        <v>59031.42</v>
      </c>
      <c r="O436" s="4">
        <v>0</v>
      </c>
      <c r="P436" s="3">
        <v>0</v>
      </c>
    </row>
    <row r="437" spans="1:16" ht="15" customHeight="1" x14ac:dyDescent="0.3">
      <c r="A437">
        <v>2016</v>
      </c>
      <c r="B437" s="2">
        <v>42437</v>
      </c>
      <c r="C437" t="s">
        <v>137</v>
      </c>
      <c r="D437" t="s">
        <v>205</v>
      </c>
      <c r="E437" t="s">
        <v>556</v>
      </c>
      <c r="F437" t="s">
        <v>20</v>
      </c>
      <c r="G437" t="s">
        <v>21</v>
      </c>
      <c r="H437" t="s">
        <v>22</v>
      </c>
      <c r="I437" t="s">
        <v>23</v>
      </c>
      <c r="J437" t="s">
        <v>27</v>
      </c>
      <c r="K437" s="3">
        <v>2398</v>
      </c>
      <c r="O437" s="4">
        <v>0</v>
      </c>
      <c r="P437" s="3">
        <v>0</v>
      </c>
    </row>
    <row r="438" spans="1:16" ht="15" customHeight="1" x14ac:dyDescent="0.3">
      <c r="A438">
        <v>2016</v>
      </c>
      <c r="B438" s="2">
        <v>42443</v>
      </c>
      <c r="C438" t="s">
        <v>137</v>
      </c>
      <c r="D438" t="s">
        <v>45</v>
      </c>
      <c r="E438" t="s">
        <v>557</v>
      </c>
      <c r="F438" t="s">
        <v>20</v>
      </c>
      <c r="G438" t="s">
        <v>38</v>
      </c>
      <c r="H438" t="s">
        <v>39</v>
      </c>
      <c r="I438" t="s">
        <v>136</v>
      </c>
      <c r="J438" t="s">
        <v>50</v>
      </c>
      <c r="K438" s="3">
        <v>3600.14</v>
      </c>
      <c r="O438" s="4">
        <v>0</v>
      </c>
      <c r="P438" s="3">
        <v>0</v>
      </c>
    </row>
    <row r="439" spans="1:16" ht="15" customHeight="1" x14ac:dyDescent="0.3">
      <c r="A439">
        <v>2016</v>
      </c>
      <c r="B439" s="2">
        <v>42444</v>
      </c>
      <c r="C439" t="s">
        <v>137</v>
      </c>
      <c r="D439" t="s">
        <v>45</v>
      </c>
      <c r="E439" t="s">
        <v>558</v>
      </c>
      <c r="F439" t="s">
        <v>20</v>
      </c>
      <c r="G439" t="s">
        <v>38</v>
      </c>
      <c r="H439" t="s">
        <v>39</v>
      </c>
      <c r="I439" t="s">
        <v>136</v>
      </c>
      <c r="J439" t="s">
        <v>50</v>
      </c>
      <c r="K439" s="3">
        <v>45908.58</v>
      </c>
      <c r="O439" s="4">
        <v>0</v>
      </c>
      <c r="P439" s="3">
        <v>0</v>
      </c>
    </row>
    <row r="440" spans="1:16" ht="15" customHeight="1" x14ac:dyDescent="0.3">
      <c r="A440">
        <v>2016</v>
      </c>
      <c r="B440" s="2">
        <v>42444</v>
      </c>
      <c r="C440" t="s">
        <v>137</v>
      </c>
      <c r="D440" t="s">
        <v>67</v>
      </c>
      <c r="E440" t="s">
        <v>559</v>
      </c>
      <c r="F440" t="s">
        <v>20</v>
      </c>
      <c r="G440" t="s">
        <v>21</v>
      </c>
      <c r="H440" t="s">
        <v>22</v>
      </c>
      <c r="I440" t="s">
        <v>23</v>
      </c>
      <c r="J440" t="s">
        <v>27</v>
      </c>
      <c r="K440" s="3">
        <v>3942.5</v>
      </c>
      <c r="O440" s="4">
        <v>0</v>
      </c>
      <c r="P440" s="3">
        <v>0</v>
      </c>
    </row>
    <row r="441" spans="1:16" ht="15" customHeight="1" x14ac:dyDescent="0.3">
      <c r="A441">
        <v>2016</v>
      </c>
      <c r="B441" s="2">
        <v>42445</v>
      </c>
      <c r="C441" t="s">
        <v>137</v>
      </c>
      <c r="D441" t="s">
        <v>34</v>
      </c>
      <c r="E441" t="s">
        <v>560</v>
      </c>
      <c r="F441" t="s">
        <v>20</v>
      </c>
      <c r="G441" t="s">
        <v>21</v>
      </c>
      <c r="H441" t="s">
        <v>22</v>
      </c>
      <c r="I441" t="s">
        <v>23</v>
      </c>
      <c r="J441" t="s">
        <v>27</v>
      </c>
      <c r="K441" s="3">
        <v>1310</v>
      </c>
      <c r="O441" s="4">
        <v>0</v>
      </c>
      <c r="P441" s="3">
        <v>0</v>
      </c>
    </row>
    <row r="442" spans="1:16" ht="15" customHeight="1" x14ac:dyDescent="0.3">
      <c r="A442">
        <v>2016</v>
      </c>
      <c r="B442" s="2">
        <v>42450</v>
      </c>
      <c r="C442" t="s">
        <v>137</v>
      </c>
      <c r="D442" t="s">
        <v>45</v>
      </c>
      <c r="E442" t="s">
        <v>561</v>
      </c>
      <c r="F442" t="s">
        <v>20</v>
      </c>
      <c r="G442" t="s">
        <v>38</v>
      </c>
      <c r="H442" t="s">
        <v>39</v>
      </c>
      <c r="I442" t="s">
        <v>136</v>
      </c>
      <c r="J442" t="s">
        <v>50</v>
      </c>
      <c r="K442" s="3">
        <v>6826.55</v>
      </c>
      <c r="O442" s="4">
        <v>0</v>
      </c>
      <c r="P442" s="3">
        <v>0</v>
      </c>
    </row>
    <row r="443" spans="1:16" ht="15" customHeight="1" x14ac:dyDescent="0.3">
      <c r="A443">
        <v>2016</v>
      </c>
      <c r="B443" s="2">
        <v>42457</v>
      </c>
      <c r="C443" t="s">
        <v>137</v>
      </c>
      <c r="D443" t="s">
        <v>47</v>
      </c>
      <c r="E443" t="s">
        <v>562</v>
      </c>
      <c r="F443" t="s">
        <v>20</v>
      </c>
      <c r="G443" t="s">
        <v>38</v>
      </c>
      <c r="H443" t="s">
        <v>39</v>
      </c>
      <c r="I443" t="s">
        <v>49</v>
      </c>
      <c r="J443" t="s">
        <v>110</v>
      </c>
      <c r="K443" s="3">
        <v>15685.96</v>
      </c>
      <c r="O443" s="4">
        <v>0</v>
      </c>
      <c r="P443" s="3">
        <v>0</v>
      </c>
    </row>
    <row r="444" spans="1:16" ht="15" customHeight="1" x14ac:dyDescent="0.3">
      <c r="A444">
        <v>2016</v>
      </c>
      <c r="B444" s="2">
        <v>42457</v>
      </c>
      <c r="C444" t="s">
        <v>137</v>
      </c>
      <c r="D444" t="s">
        <v>520</v>
      </c>
      <c r="E444" t="s">
        <v>542</v>
      </c>
      <c r="F444" t="s">
        <v>20</v>
      </c>
      <c r="G444" t="s">
        <v>107</v>
      </c>
      <c r="H444" t="s">
        <v>522</v>
      </c>
      <c r="I444" t="s">
        <v>136</v>
      </c>
      <c r="J444" t="s">
        <v>123</v>
      </c>
      <c r="K444" s="3">
        <v>50000.01</v>
      </c>
      <c r="O444" s="4">
        <v>0</v>
      </c>
      <c r="P444" s="3">
        <v>0</v>
      </c>
    </row>
    <row r="445" spans="1:16" ht="15" customHeight="1" x14ac:dyDescent="0.3">
      <c r="A445">
        <v>2016</v>
      </c>
      <c r="B445" s="2">
        <v>42460</v>
      </c>
      <c r="C445" t="s">
        <v>137</v>
      </c>
      <c r="D445" t="s">
        <v>34</v>
      </c>
      <c r="E445" t="s">
        <v>563</v>
      </c>
      <c r="F445" t="s">
        <v>20</v>
      </c>
      <c r="G445" t="s">
        <v>21</v>
      </c>
      <c r="H445" t="s">
        <v>22</v>
      </c>
      <c r="I445" t="s">
        <v>23</v>
      </c>
      <c r="J445" t="s">
        <v>27</v>
      </c>
      <c r="K445" s="3">
        <v>7939.09</v>
      </c>
      <c r="O445" s="4">
        <v>0</v>
      </c>
      <c r="P445" s="3">
        <v>0</v>
      </c>
    </row>
    <row r="446" spans="1:16" ht="15" customHeight="1" x14ac:dyDescent="0.3">
      <c r="A446">
        <v>2016</v>
      </c>
      <c r="B446" s="2">
        <v>42460</v>
      </c>
      <c r="C446" t="s">
        <v>137</v>
      </c>
      <c r="D446" t="s">
        <v>34</v>
      </c>
      <c r="E446" t="s">
        <v>559</v>
      </c>
      <c r="F446" t="s">
        <v>20</v>
      </c>
      <c r="G446" t="s">
        <v>21</v>
      </c>
      <c r="H446" t="s">
        <v>22</v>
      </c>
      <c r="I446" t="s">
        <v>23</v>
      </c>
      <c r="J446" t="s">
        <v>27</v>
      </c>
      <c r="K446" s="3">
        <v>3840</v>
      </c>
      <c r="O446" s="4">
        <v>0</v>
      </c>
      <c r="P446" s="3">
        <v>0</v>
      </c>
    </row>
    <row r="447" spans="1:16" ht="15" customHeight="1" x14ac:dyDescent="0.3">
      <c r="A447">
        <v>2016</v>
      </c>
      <c r="B447" s="2">
        <v>42465</v>
      </c>
      <c r="C447" t="s">
        <v>169</v>
      </c>
      <c r="D447" t="s">
        <v>485</v>
      </c>
      <c r="E447" t="s">
        <v>564</v>
      </c>
      <c r="F447" t="s">
        <v>20</v>
      </c>
      <c r="G447" t="s">
        <v>38</v>
      </c>
      <c r="H447" t="s">
        <v>39</v>
      </c>
      <c r="I447" t="s">
        <v>306</v>
      </c>
      <c r="J447" t="s">
        <v>123</v>
      </c>
      <c r="K447" s="3">
        <v>378414.84</v>
      </c>
      <c r="O447" s="4">
        <v>0</v>
      </c>
      <c r="P447" s="3">
        <v>0</v>
      </c>
    </row>
    <row r="448" spans="1:16" ht="15" customHeight="1" x14ac:dyDescent="0.3">
      <c r="A448">
        <v>2016</v>
      </c>
      <c r="B448" s="2">
        <v>42467</v>
      </c>
      <c r="C448" t="s">
        <v>169</v>
      </c>
      <c r="D448" t="s">
        <v>61</v>
      </c>
      <c r="E448" t="s">
        <v>565</v>
      </c>
      <c r="F448" t="s">
        <v>20</v>
      </c>
      <c r="G448" t="s">
        <v>21</v>
      </c>
      <c r="H448" t="s">
        <v>22</v>
      </c>
      <c r="I448" t="s">
        <v>136</v>
      </c>
      <c r="J448" t="s">
        <v>123</v>
      </c>
      <c r="K448" s="3">
        <v>116000</v>
      </c>
      <c r="O448" s="4">
        <v>0</v>
      </c>
      <c r="P448" s="3">
        <v>0</v>
      </c>
    </row>
    <row r="449" spans="1:16" ht="15" customHeight="1" x14ac:dyDescent="0.3">
      <c r="A449">
        <v>2016</v>
      </c>
      <c r="B449" s="2">
        <v>42474</v>
      </c>
      <c r="C449" t="s">
        <v>169</v>
      </c>
      <c r="D449" t="s">
        <v>566</v>
      </c>
      <c r="E449" t="s">
        <v>567</v>
      </c>
      <c r="F449" t="s">
        <v>20</v>
      </c>
      <c r="G449" t="s">
        <v>38</v>
      </c>
      <c r="H449" t="s">
        <v>89</v>
      </c>
      <c r="I449" t="s">
        <v>23</v>
      </c>
      <c r="J449" t="s">
        <v>123</v>
      </c>
      <c r="K449" s="3">
        <v>33091.699999999997</v>
      </c>
      <c r="O449" s="4">
        <v>0</v>
      </c>
      <c r="P449" s="3">
        <v>0</v>
      </c>
    </row>
    <row r="450" spans="1:16" ht="15" customHeight="1" x14ac:dyDescent="0.3">
      <c r="A450">
        <v>2016</v>
      </c>
      <c r="B450" s="2">
        <v>42478</v>
      </c>
      <c r="C450" t="s">
        <v>169</v>
      </c>
      <c r="D450" t="s">
        <v>118</v>
      </c>
      <c r="E450" t="s">
        <v>568</v>
      </c>
      <c r="F450" t="s">
        <v>20</v>
      </c>
      <c r="G450" t="s">
        <v>21</v>
      </c>
      <c r="H450" t="s">
        <v>22</v>
      </c>
      <c r="I450" t="s">
        <v>136</v>
      </c>
      <c r="J450" t="s">
        <v>123</v>
      </c>
      <c r="K450" s="3">
        <v>95682.16</v>
      </c>
      <c r="O450" s="4">
        <v>0</v>
      </c>
      <c r="P450" s="3">
        <v>0</v>
      </c>
    </row>
    <row r="451" spans="1:16" ht="15" customHeight="1" x14ac:dyDescent="0.3">
      <c r="A451">
        <v>2016</v>
      </c>
      <c r="B451" s="2">
        <v>42478</v>
      </c>
      <c r="C451" t="s">
        <v>169</v>
      </c>
      <c r="D451" t="s">
        <v>56</v>
      </c>
      <c r="E451" t="s">
        <v>569</v>
      </c>
      <c r="F451" t="s">
        <v>20</v>
      </c>
      <c r="G451" t="s">
        <v>21</v>
      </c>
      <c r="H451" t="s">
        <v>22</v>
      </c>
      <c r="I451" t="s">
        <v>141</v>
      </c>
      <c r="J451" t="s">
        <v>50</v>
      </c>
      <c r="K451" s="3">
        <v>40810.76</v>
      </c>
      <c r="O451" s="4">
        <v>0</v>
      </c>
      <c r="P451" s="3">
        <v>0</v>
      </c>
    </row>
    <row r="452" spans="1:16" ht="15" customHeight="1" x14ac:dyDescent="0.3">
      <c r="A452">
        <v>2016</v>
      </c>
      <c r="B452" s="2">
        <v>42482</v>
      </c>
      <c r="C452" t="s">
        <v>169</v>
      </c>
      <c r="D452" t="s">
        <v>47</v>
      </c>
      <c r="E452" t="s">
        <v>570</v>
      </c>
      <c r="F452" t="s">
        <v>20</v>
      </c>
      <c r="G452" t="s">
        <v>38</v>
      </c>
      <c r="H452" t="s">
        <v>39</v>
      </c>
      <c r="I452" t="s">
        <v>49</v>
      </c>
      <c r="J452" t="s">
        <v>123</v>
      </c>
      <c r="K452" s="3">
        <v>26550</v>
      </c>
      <c r="O452" s="4">
        <v>0</v>
      </c>
      <c r="P452" s="3">
        <v>0</v>
      </c>
    </row>
    <row r="453" spans="1:16" ht="15" customHeight="1" x14ac:dyDescent="0.3">
      <c r="A453">
        <v>2016</v>
      </c>
      <c r="B453" s="2">
        <v>42488</v>
      </c>
      <c r="C453" t="s">
        <v>169</v>
      </c>
      <c r="D453" t="s">
        <v>571</v>
      </c>
      <c r="E453" t="s">
        <v>471</v>
      </c>
      <c r="F453" t="s">
        <v>20</v>
      </c>
      <c r="G453" t="s">
        <v>107</v>
      </c>
      <c r="H453" t="s">
        <v>108</v>
      </c>
      <c r="I453" t="s">
        <v>23</v>
      </c>
      <c r="J453" t="s">
        <v>123</v>
      </c>
      <c r="K453" s="3">
        <v>142277.51999999999</v>
      </c>
      <c r="O453" s="4">
        <v>0</v>
      </c>
      <c r="P453" s="3">
        <v>0</v>
      </c>
    </row>
    <row r="454" spans="1:16" ht="15" customHeight="1" x14ac:dyDescent="0.3">
      <c r="A454">
        <v>2016</v>
      </c>
      <c r="B454" s="2">
        <v>42489</v>
      </c>
      <c r="C454" t="s">
        <v>169</v>
      </c>
      <c r="D454" t="s">
        <v>485</v>
      </c>
      <c r="E454" t="s">
        <v>572</v>
      </c>
      <c r="F454" t="s">
        <v>20</v>
      </c>
      <c r="G454" t="s">
        <v>38</v>
      </c>
      <c r="H454" t="s">
        <v>39</v>
      </c>
      <c r="I454" t="s">
        <v>23</v>
      </c>
      <c r="J454" t="s">
        <v>27</v>
      </c>
      <c r="K454" s="3">
        <v>1000</v>
      </c>
      <c r="O454" s="4">
        <v>0</v>
      </c>
      <c r="P454" s="3">
        <v>0</v>
      </c>
    </row>
    <row r="455" spans="1:16" ht="15" customHeight="1" x14ac:dyDescent="0.3">
      <c r="A455">
        <v>2016</v>
      </c>
      <c r="B455" s="2">
        <v>42494</v>
      </c>
      <c r="C455" t="s">
        <v>190</v>
      </c>
      <c r="D455" t="s">
        <v>85</v>
      </c>
      <c r="E455" t="s">
        <v>573</v>
      </c>
      <c r="F455" t="s">
        <v>20</v>
      </c>
      <c r="G455" t="s">
        <v>21</v>
      </c>
      <c r="H455" t="s">
        <v>22</v>
      </c>
      <c r="I455" t="s">
        <v>178</v>
      </c>
      <c r="J455" t="s">
        <v>123</v>
      </c>
      <c r="K455" s="3">
        <v>39019.61</v>
      </c>
      <c r="O455" s="4">
        <v>0</v>
      </c>
      <c r="P455" s="3">
        <v>0</v>
      </c>
    </row>
    <row r="456" spans="1:16" ht="15" customHeight="1" x14ac:dyDescent="0.3">
      <c r="A456">
        <v>2016</v>
      </c>
      <c r="B456" s="2">
        <v>42496</v>
      </c>
      <c r="C456" t="s">
        <v>190</v>
      </c>
      <c r="D456" t="s">
        <v>118</v>
      </c>
      <c r="E456" t="s">
        <v>574</v>
      </c>
      <c r="F456" t="s">
        <v>20</v>
      </c>
      <c r="G456" t="s">
        <v>21</v>
      </c>
      <c r="H456" t="s">
        <v>22</v>
      </c>
      <c r="I456" t="s">
        <v>136</v>
      </c>
      <c r="J456" t="s">
        <v>123</v>
      </c>
      <c r="K456" s="3">
        <v>6689.61</v>
      </c>
      <c r="O456" s="4">
        <v>0</v>
      </c>
      <c r="P456" s="3">
        <v>0</v>
      </c>
    </row>
    <row r="457" spans="1:16" ht="15" customHeight="1" x14ac:dyDescent="0.3">
      <c r="A457">
        <v>2016</v>
      </c>
      <c r="B457" s="2">
        <v>42506</v>
      </c>
      <c r="C457" t="s">
        <v>190</v>
      </c>
      <c r="D457" t="s">
        <v>40</v>
      </c>
      <c r="E457" t="s">
        <v>575</v>
      </c>
      <c r="F457" t="s">
        <v>20</v>
      </c>
      <c r="G457" t="s">
        <v>21</v>
      </c>
      <c r="H457" t="s">
        <v>22</v>
      </c>
      <c r="I457" t="s">
        <v>136</v>
      </c>
      <c r="J457" t="s">
        <v>123</v>
      </c>
      <c r="K457" s="3">
        <v>840000.01</v>
      </c>
      <c r="O457" s="4">
        <v>0</v>
      </c>
      <c r="P457" s="3">
        <v>0</v>
      </c>
    </row>
    <row r="458" spans="1:16" ht="15" customHeight="1" x14ac:dyDescent="0.3">
      <c r="A458">
        <v>2016</v>
      </c>
      <c r="B458" s="2">
        <v>42508</v>
      </c>
      <c r="C458" t="s">
        <v>190</v>
      </c>
      <c r="D458" t="s">
        <v>134</v>
      </c>
      <c r="E458" t="s">
        <v>576</v>
      </c>
      <c r="F458" t="s">
        <v>20</v>
      </c>
      <c r="G458" t="s">
        <v>107</v>
      </c>
      <c r="H458" t="s">
        <v>108</v>
      </c>
      <c r="I458" t="s">
        <v>136</v>
      </c>
      <c r="J458" t="s">
        <v>123</v>
      </c>
      <c r="K458" s="3">
        <v>71119.460000000006</v>
      </c>
      <c r="O458" s="4">
        <v>0</v>
      </c>
      <c r="P458" s="3">
        <v>0</v>
      </c>
    </row>
    <row r="459" spans="1:16" ht="15" customHeight="1" x14ac:dyDescent="0.3">
      <c r="A459">
        <v>2016</v>
      </c>
      <c r="B459" s="2">
        <v>42514</v>
      </c>
      <c r="C459" t="s">
        <v>190</v>
      </c>
      <c r="D459" t="s">
        <v>577</v>
      </c>
      <c r="E459" t="s">
        <v>578</v>
      </c>
      <c r="F459" t="s">
        <v>20</v>
      </c>
      <c r="G459" t="s">
        <v>38</v>
      </c>
      <c r="H459" t="s">
        <v>89</v>
      </c>
      <c r="I459" t="s">
        <v>141</v>
      </c>
      <c r="J459" t="s">
        <v>123</v>
      </c>
      <c r="K459" s="3">
        <v>495000</v>
      </c>
      <c r="O459" s="4">
        <v>0</v>
      </c>
      <c r="P459" s="3">
        <v>0</v>
      </c>
    </row>
    <row r="460" spans="1:16" ht="15" customHeight="1" x14ac:dyDescent="0.3">
      <c r="A460">
        <v>2016</v>
      </c>
      <c r="B460" s="2">
        <v>42527</v>
      </c>
      <c r="C460" t="s">
        <v>218</v>
      </c>
      <c r="D460" t="s">
        <v>301</v>
      </c>
      <c r="E460" t="s">
        <v>579</v>
      </c>
      <c r="F460" t="s">
        <v>20</v>
      </c>
      <c r="G460" t="s">
        <v>21</v>
      </c>
      <c r="H460" t="s">
        <v>22</v>
      </c>
      <c r="I460" t="s">
        <v>136</v>
      </c>
      <c r="J460" t="s">
        <v>123</v>
      </c>
      <c r="K460" s="3">
        <v>287299.20000000001</v>
      </c>
      <c r="O460" s="4">
        <v>0</v>
      </c>
      <c r="P460" s="3">
        <v>0</v>
      </c>
    </row>
    <row r="461" spans="1:16" ht="15" customHeight="1" x14ac:dyDescent="0.3">
      <c r="A461">
        <v>2016</v>
      </c>
      <c r="B461" s="2">
        <v>42529</v>
      </c>
      <c r="C461" t="s">
        <v>218</v>
      </c>
      <c r="D461" t="s">
        <v>145</v>
      </c>
      <c r="E461" t="s">
        <v>580</v>
      </c>
      <c r="F461" t="s">
        <v>20</v>
      </c>
      <c r="G461" t="s">
        <v>38</v>
      </c>
      <c r="H461" t="s">
        <v>147</v>
      </c>
      <c r="I461" t="s">
        <v>122</v>
      </c>
      <c r="J461" t="s">
        <v>50</v>
      </c>
      <c r="K461" s="3">
        <v>1776666.2</v>
      </c>
      <c r="O461" s="4">
        <v>0</v>
      </c>
      <c r="P461" s="3">
        <v>0</v>
      </c>
    </row>
    <row r="462" spans="1:16" ht="15" customHeight="1" x14ac:dyDescent="0.3">
      <c r="A462">
        <v>2016</v>
      </c>
      <c r="B462" s="2">
        <v>42532</v>
      </c>
      <c r="C462" t="s">
        <v>218</v>
      </c>
      <c r="D462" t="s">
        <v>47</v>
      </c>
      <c r="E462" t="s">
        <v>581</v>
      </c>
      <c r="F462" t="s">
        <v>20</v>
      </c>
      <c r="G462" t="s">
        <v>38</v>
      </c>
      <c r="H462" t="s">
        <v>39</v>
      </c>
      <c r="I462" t="s">
        <v>49</v>
      </c>
      <c r="J462" t="s">
        <v>50</v>
      </c>
      <c r="K462" s="3">
        <v>2694421.77</v>
      </c>
      <c r="O462" s="4">
        <v>0</v>
      </c>
      <c r="P462" s="3">
        <v>0</v>
      </c>
    </row>
    <row r="463" spans="1:16" ht="15" customHeight="1" x14ac:dyDescent="0.3">
      <c r="A463">
        <v>2016</v>
      </c>
      <c r="B463" s="2">
        <v>42535</v>
      </c>
      <c r="C463" t="s">
        <v>218</v>
      </c>
      <c r="D463" t="s">
        <v>30</v>
      </c>
      <c r="E463" t="s">
        <v>582</v>
      </c>
      <c r="F463" t="s">
        <v>20</v>
      </c>
      <c r="G463" t="s">
        <v>21</v>
      </c>
      <c r="H463" t="s">
        <v>22</v>
      </c>
      <c r="I463" t="s">
        <v>136</v>
      </c>
      <c r="J463" t="s">
        <v>50</v>
      </c>
      <c r="K463" s="3">
        <v>84970.48</v>
      </c>
      <c r="O463" s="4">
        <v>0</v>
      </c>
      <c r="P463" s="3">
        <v>0</v>
      </c>
    </row>
    <row r="464" spans="1:16" ht="15" customHeight="1" x14ac:dyDescent="0.3">
      <c r="A464">
        <v>2016</v>
      </c>
      <c r="B464" s="2">
        <v>42537</v>
      </c>
      <c r="C464" t="s">
        <v>218</v>
      </c>
      <c r="D464" t="s">
        <v>32</v>
      </c>
      <c r="E464" t="s">
        <v>583</v>
      </c>
      <c r="F464" t="s">
        <v>20</v>
      </c>
      <c r="G464" t="s">
        <v>21</v>
      </c>
      <c r="H464" t="s">
        <v>22</v>
      </c>
      <c r="I464" t="s">
        <v>141</v>
      </c>
      <c r="J464" t="s">
        <v>123</v>
      </c>
      <c r="K464" s="3">
        <v>66970.5</v>
      </c>
      <c r="O464" s="4">
        <v>0</v>
      </c>
      <c r="P464" s="3">
        <v>0</v>
      </c>
    </row>
    <row r="465" spans="1:16" ht="15" customHeight="1" x14ac:dyDescent="0.3">
      <c r="A465">
        <v>2016</v>
      </c>
      <c r="B465" s="2">
        <v>42537</v>
      </c>
      <c r="C465" t="s">
        <v>218</v>
      </c>
      <c r="D465" t="s">
        <v>301</v>
      </c>
      <c r="E465" t="s">
        <v>584</v>
      </c>
      <c r="F465" t="s">
        <v>20</v>
      </c>
      <c r="G465" t="s">
        <v>21</v>
      </c>
      <c r="H465" t="s">
        <v>22</v>
      </c>
      <c r="I465" t="s">
        <v>136</v>
      </c>
      <c r="J465" t="s">
        <v>123</v>
      </c>
      <c r="K465" s="3">
        <v>70317.38</v>
      </c>
      <c r="O465" s="4">
        <v>0</v>
      </c>
      <c r="P465" s="3">
        <v>0</v>
      </c>
    </row>
    <row r="466" spans="1:16" ht="15" customHeight="1" x14ac:dyDescent="0.3">
      <c r="A466">
        <v>2016</v>
      </c>
      <c r="B466" s="2">
        <v>42537</v>
      </c>
      <c r="C466" t="s">
        <v>218</v>
      </c>
      <c r="D466" t="s">
        <v>301</v>
      </c>
      <c r="E466" t="s">
        <v>585</v>
      </c>
      <c r="F466" t="s">
        <v>20</v>
      </c>
      <c r="G466" t="s">
        <v>38</v>
      </c>
      <c r="H466" t="s">
        <v>89</v>
      </c>
      <c r="I466" t="s">
        <v>136</v>
      </c>
      <c r="J466" t="s">
        <v>123</v>
      </c>
      <c r="K466" s="3">
        <v>17404.82</v>
      </c>
      <c r="O466" s="4">
        <v>0</v>
      </c>
      <c r="P466" s="3">
        <v>0</v>
      </c>
    </row>
    <row r="467" spans="1:16" ht="15" customHeight="1" x14ac:dyDescent="0.3">
      <c r="A467">
        <v>2016</v>
      </c>
      <c r="B467" s="2">
        <v>42539</v>
      </c>
      <c r="C467" t="s">
        <v>218</v>
      </c>
      <c r="D467" t="s">
        <v>485</v>
      </c>
      <c r="E467" t="s">
        <v>586</v>
      </c>
      <c r="F467" t="s">
        <v>20</v>
      </c>
      <c r="G467" t="s">
        <v>38</v>
      </c>
      <c r="H467" t="s">
        <v>39</v>
      </c>
      <c r="I467" t="s">
        <v>23</v>
      </c>
      <c r="J467" t="s">
        <v>27</v>
      </c>
      <c r="K467" s="3">
        <v>5157.79</v>
      </c>
      <c r="O467" s="4">
        <v>0</v>
      </c>
      <c r="P467" s="3">
        <v>0</v>
      </c>
    </row>
    <row r="468" spans="1:16" ht="15" customHeight="1" x14ac:dyDescent="0.3">
      <c r="A468">
        <v>2016</v>
      </c>
      <c r="B468" s="2">
        <v>42540</v>
      </c>
      <c r="C468" t="s">
        <v>218</v>
      </c>
      <c r="D468" t="s">
        <v>69</v>
      </c>
      <c r="E468" t="s">
        <v>587</v>
      </c>
      <c r="F468" t="s">
        <v>20</v>
      </c>
      <c r="G468" t="s">
        <v>21</v>
      </c>
      <c r="H468" t="s">
        <v>22</v>
      </c>
      <c r="I468" t="s">
        <v>136</v>
      </c>
      <c r="J468" t="s">
        <v>50</v>
      </c>
      <c r="K468" s="3">
        <v>4030.28</v>
      </c>
      <c r="O468" s="4">
        <v>0</v>
      </c>
      <c r="P468" s="3">
        <v>0</v>
      </c>
    </row>
    <row r="469" spans="1:16" ht="15" customHeight="1" x14ac:dyDescent="0.3">
      <c r="A469">
        <v>2016</v>
      </c>
      <c r="B469" s="2">
        <v>42542</v>
      </c>
      <c r="C469" t="s">
        <v>218</v>
      </c>
      <c r="D469" t="s">
        <v>358</v>
      </c>
      <c r="E469" t="s">
        <v>588</v>
      </c>
      <c r="F469" t="s">
        <v>20</v>
      </c>
      <c r="G469" t="s">
        <v>38</v>
      </c>
      <c r="H469" t="s">
        <v>147</v>
      </c>
      <c r="I469" t="s">
        <v>23</v>
      </c>
      <c r="J469" t="s">
        <v>27</v>
      </c>
      <c r="K469" s="3">
        <v>6307</v>
      </c>
      <c r="O469" s="4">
        <v>0</v>
      </c>
      <c r="P469" s="3">
        <v>0</v>
      </c>
    </row>
    <row r="470" spans="1:16" ht="15" customHeight="1" x14ac:dyDescent="0.3">
      <c r="A470">
        <v>2016</v>
      </c>
      <c r="B470" s="2">
        <v>42551</v>
      </c>
      <c r="C470" t="s">
        <v>218</v>
      </c>
      <c r="D470" t="s">
        <v>301</v>
      </c>
      <c r="E470" t="s">
        <v>589</v>
      </c>
      <c r="F470" t="s">
        <v>20</v>
      </c>
      <c r="G470" t="s">
        <v>21</v>
      </c>
      <c r="H470" t="s">
        <v>22</v>
      </c>
      <c r="I470" t="s">
        <v>23</v>
      </c>
      <c r="J470" t="s">
        <v>27</v>
      </c>
      <c r="K470" s="3">
        <v>1724.04</v>
      </c>
      <c r="O470" s="4">
        <v>0</v>
      </c>
      <c r="P470" s="3">
        <v>0</v>
      </c>
    </row>
    <row r="471" spans="1:16" ht="15" customHeight="1" x14ac:dyDescent="0.3">
      <c r="A471">
        <v>2016</v>
      </c>
      <c r="B471" s="2">
        <v>42559</v>
      </c>
      <c r="C471" t="s">
        <v>262</v>
      </c>
      <c r="D471" t="s">
        <v>308</v>
      </c>
      <c r="E471" t="s">
        <v>590</v>
      </c>
      <c r="F471" t="s">
        <v>20</v>
      </c>
      <c r="G471" t="s">
        <v>38</v>
      </c>
      <c r="H471" t="s">
        <v>89</v>
      </c>
      <c r="I471" t="s">
        <v>334</v>
      </c>
      <c r="J471" t="s">
        <v>123</v>
      </c>
      <c r="K471" s="3">
        <v>84167.15</v>
      </c>
      <c r="O471" s="4">
        <v>0</v>
      </c>
      <c r="P471" s="3">
        <v>0</v>
      </c>
    </row>
    <row r="472" spans="1:16" ht="15" customHeight="1" x14ac:dyDescent="0.3">
      <c r="A472">
        <v>2016</v>
      </c>
      <c r="B472" s="2">
        <v>42571</v>
      </c>
      <c r="C472" t="s">
        <v>262</v>
      </c>
      <c r="D472" t="s">
        <v>47</v>
      </c>
      <c r="E472" t="s">
        <v>591</v>
      </c>
      <c r="F472" t="s">
        <v>20</v>
      </c>
      <c r="G472" t="s">
        <v>38</v>
      </c>
      <c r="H472" t="s">
        <v>39</v>
      </c>
      <c r="I472" t="s">
        <v>23</v>
      </c>
      <c r="J472" t="s">
        <v>27</v>
      </c>
      <c r="K472" s="3">
        <v>8304.75</v>
      </c>
      <c r="O472" s="4">
        <v>0</v>
      </c>
      <c r="P472" s="3">
        <v>0</v>
      </c>
    </row>
    <row r="473" spans="1:16" ht="15" customHeight="1" x14ac:dyDescent="0.3">
      <c r="A473">
        <v>2016</v>
      </c>
      <c r="B473" s="2">
        <v>42571</v>
      </c>
      <c r="C473" t="s">
        <v>262</v>
      </c>
      <c r="D473" t="s">
        <v>301</v>
      </c>
      <c r="E473" t="s">
        <v>592</v>
      </c>
      <c r="F473" t="s">
        <v>20</v>
      </c>
      <c r="G473" t="s">
        <v>21</v>
      </c>
      <c r="H473" t="s">
        <v>22</v>
      </c>
      <c r="I473" t="s">
        <v>23</v>
      </c>
      <c r="J473" t="s">
        <v>27</v>
      </c>
      <c r="K473" s="3">
        <v>892</v>
      </c>
      <c r="O473" s="4">
        <v>0</v>
      </c>
      <c r="P473" s="3">
        <v>0</v>
      </c>
    </row>
    <row r="474" spans="1:16" ht="15" customHeight="1" x14ac:dyDescent="0.3">
      <c r="A474">
        <v>2016</v>
      </c>
      <c r="B474" s="2">
        <v>42577</v>
      </c>
      <c r="C474" t="s">
        <v>262</v>
      </c>
      <c r="D474" t="s">
        <v>577</v>
      </c>
      <c r="E474" t="s">
        <v>593</v>
      </c>
      <c r="F474" t="s">
        <v>20</v>
      </c>
      <c r="G474" t="s">
        <v>38</v>
      </c>
      <c r="H474" t="s">
        <v>89</v>
      </c>
      <c r="I474" t="s">
        <v>141</v>
      </c>
      <c r="J474" t="s">
        <v>123</v>
      </c>
      <c r="K474" s="3">
        <v>19300.91</v>
      </c>
      <c r="O474" s="4">
        <v>0</v>
      </c>
      <c r="P474" s="3">
        <v>0</v>
      </c>
    </row>
    <row r="475" spans="1:16" ht="15" customHeight="1" x14ac:dyDescent="0.3">
      <c r="A475">
        <v>2016</v>
      </c>
      <c r="B475" s="2">
        <v>42584</v>
      </c>
      <c r="C475" t="s">
        <v>291</v>
      </c>
      <c r="D475" t="s">
        <v>61</v>
      </c>
      <c r="E475" t="s">
        <v>594</v>
      </c>
      <c r="F475" t="s">
        <v>20</v>
      </c>
      <c r="G475" t="s">
        <v>21</v>
      </c>
      <c r="H475" t="s">
        <v>22</v>
      </c>
      <c r="I475" t="s">
        <v>23</v>
      </c>
      <c r="J475" t="s">
        <v>27</v>
      </c>
      <c r="K475" s="3">
        <v>7786.67</v>
      </c>
      <c r="O475" s="4">
        <v>0</v>
      </c>
      <c r="P475" s="3">
        <v>0</v>
      </c>
    </row>
    <row r="476" spans="1:16" ht="15" customHeight="1" x14ac:dyDescent="0.3">
      <c r="A476">
        <v>2016</v>
      </c>
      <c r="B476" s="2">
        <v>42592</v>
      </c>
      <c r="C476" t="s">
        <v>291</v>
      </c>
      <c r="D476" t="s">
        <v>53</v>
      </c>
      <c r="E476" t="s">
        <v>595</v>
      </c>
      <c r="F476" t="s">
        <v>20</v>
      </c>
      <c r="G476" t="s">
        <v>21</v>
      </c>
      <c r="H476" t="s">
        <v>22</v>
      </c>
      <c r="I476" t="s">
        <v>23</v>
      </c>
      <c r="J476" t="s">
        <v>110</v>
      </c>
      <c r="K476" s="3">
        <v>13761.25</v>
      </c>
      <c r="O476" s="4">
        <v>0</v>
      </c>
      <c r="P476" s="3">
        <v>0</v>
      </c>
    </row>
    <row r="477" spans="1:16" ht="15" customHeight="1" x14ac:dyDescent="0.3">
      <c r="A477">
        <v>2016</v>
      </c>
      <c r="B477" s="2">
        <v>42597</v>
      </c>
      <c r="C477" t="s">
        <v>291</v>
      </c>
      <c r="D477" t="s">
        <v>596</v>
      </c>
      <c r="E477" t="s">
        <v>597</v>
      </c>
      <c r="F477" t="s">
        <v>20</v>
      </c>
      <c r="G477" t="s">
        <v>38</v>
      </c>
      <c r="H477" t="s">
        <v>89</v>
      </c>
      <c r="I477" t="s">
        <v>23</v>
      </c>
      <c r="J477" t="s">
        <v>27</v>
      </c>
      <c r="K477" s="3">
        <v>6868.4</v>
      </c>
      <c r="O477" s="4">
        <v>0</v>
      </c>
      <c r="P477" s="3">
        <v>0</v>
      </c>
    </row>
    <row r="478" spans="1:16" ht="15" customHeight="1" x14ac:dyDescent="0.3">
      <c r="A478">
        <v>2016</v>
      </c>
      <c r="B478" s="2">
        <v>42598</v>
      </c>
      <c r="C478" t="s">
        <v>291</v>
      </c>
      <c r="D478" t="s">
        <v>47</v>
      </c>
      <c r="E478" t="s">
        <v>598</v>
      </c>
      <c r="F478" t="s">
        <v>20</v>
      </c>
      <c r="G478" t="s">
        <v>38</v>
      </c>
      <c r="H478" t="s">
        <v>39</v>
      </c>
      <c r="I478" t="s">
        <v>23</v>
      </c>
      <c r="J478" t="s">
        <v>27</v>
      </c>
      <c r="K478" s="3">
        <v>1860</v>
      </c>
      <c r="O478" s="4">
        <v>0</v>
      </c>
      <c r="P478" s="3">
        <v>0</v>
      </c>
    </row>
    <row r="479" spans="1:16" ht="15" customHeight="1" x14ac:dyDescent="0.3">
      <c r="A479">
        <v>2016</v>
      </c>
      <c r="B479" s="2">
        <v>42607</v>
      </c>
      <c r="C479" t="s">
        <v>291</v>
      </c>
      <c r="D479" t="s">
        <v>402</v>
      </c>
      <c r="E479" t="s">
        <v>599</v>
      </c>
      <c r="F479" t="s">
        <v>20</v>
      </c>
      <c r="G479" t="s">
        <v>21</v>
      </c>
      <c r="H479" t="s">
        <v>101</v>
      </c>
      <c r="I479" t="s">
        <v>23</v>
      </c>
      <c r="J479" t="s">
        <v>27</v>
      </c>
      <c r="K479" s="3">
        <v>7690.0979228486704</v>
      </c>
      <c r="O479" s="4">
        <v>0</v>
      </c>
      <c r="P479" s="3">
        <v>0</v>
      </c>
    </row>
    <row r="480" spans="1:16" ht="15" customHeight="1" x14ac:dyDescent="0.3">
      <c r="A480">
        <v>2016</v>
      </c>
      <c r="B480" s="2">
        <v>42611</v>
      </c>
      <c r="C480" t="s">
        <v>291</v>
      </c>
      <c r="D480" t="s">
        <v>301</v>
      </c>
      <c r="E480" t="s">
        <v>600</v>
      </c>
      <c r="F480" t="s">
        <v>20</v>
      </c>
      <c r="G480" t="s">
        <v>21</v>
      </c>
      <c r="H480" t="s">
        <v>22</v>
      </c>
      <c r="I480" t="s">
        <v>23</v>
      </c>
      <c r="J480" t="s">
        <v>27</v>
      </c>
      <c r="K480" s="3">
        <v>2216.25</v>
      </c>
      <c r="O480" s="4">
        <v>0</v>
      </c>
      <c r="P480" s="3">
        <v>0</v>
      </c>
    </row>
    <row r="481" spans="1:16" ht="15" customHeight="1" x14ac:dyDescent="0.3">
      <c r="A481">
        <v>2016</v>
      </c>
      <c r="B481" s="2">
        <v>42613</v>
      </c>
      <c r="C481" t="s">
        <v>291</v>
      </c>
      <c r="D481" t="s">
        <v>517</v>
      </c>
      <c r="E481" t="s">
        <v>595</v>
      </c>
      <c r="F481" t="s">
        <v>20</v>
      </c>
      <c r="G481" t="s">
        <v>38</v>
      </c>
      <c r="H481" t="s">
        <v>147</v>
      </c>
      <c r="I481" t="s">
        <v>23</v>
      </c>
      <c r="J481" t="s">
        <v>27</v>
      </c>
      <c r="K481" s="3">
        <v>8715.67</v>
      </c>
      <c r="O481" s="4">
        <v>0</v>
      </c>
      <c r="P481" s="3">
        <v>0</v>
      </c>
    </row>
    <row r="482" spans="1:16" ht="15" customHeight="1" x14ac:dyDescent="0.3">
      <c r="A482">
        <v>2016</v>
      </c>
      <c r="B482" s="2">
        <v>42620</v>
      </c>
      <c r="C482" t="s">
        <v>325</v>
      </c>
      <c r="D482" t="s">
        <v>601</v>
      </c>
      <c r="E482" t="s">
        <v>602</v>
      </c>
      <c r="F482" t="s">
        <v>20</v>
      </c>
      <c r="G482" t="s">
        <v>107</v>
      </c>
      <c r="H482" t="s">
        <v>603</v>
      </c>
      <c r="I482" t="s">
        <v>334</v>
      </c>
      <c r="J482" t="s">
        <v>123</v>
      </c>
      <c r="K482" s="3">
        <v>106937.04</v>
      </c>
      <c r="O482" s="4">
        <v>0</v>
      </c>
      <c r="P482" s="3">
        <v>0</v>
      </c>
    </row>
    <row r="483" spans="1:16" ht="15" customHeight="1" x14ac:dyDescent="0.3">
      <c r="A483">
        <v>2016</v>
      </c>
      <c r="B483" s="2">
        <v>42626</v>
      </c>
      <c r="C483" t="s">
        <v>325</v>
      </c>
      <c r="D483" t="s">
        <v>604</v>
      </c>
      <c r="E483" t="s">
        <v>605</v>
      </c>
      <c r="F483" t="s">
        <v>20</v>
      </c>
      <c r="G483" t="s">
        <v>38</v>
      </c>
      <c r="H483" t="s">
        <v>89</v>
      </c>
      <c r="I483" t="s">
        <v>334</v>
      </c>
      <c r="J483" t="s">
        <v>123</v>
      </c>
      <c r="K483" s="3">
        <v>143723.45000000001</v>
      </c>
      <c r="O483" s="4">
        <v>0</v>
      </c>
      <c r="P483" s="3">
        <v>0</v>
      </c>
    </row>
    <row r="484" spans="1:16" ht="15" customHeight="1" x14ac:dyDescent="0.3">
      <c r="A484">
        <v>2016</v>
      </c>
      <c r="B484" s="2">
        <v>42628</v>
      </c>
      <c r="C484" t="s">
        <v>325</v>
      </c>
      <c r="D484" t="s">
        <v>301</v>
      </c>
      <c r="E484" t="s">
        <v>606</v>
      </c>
      <c r="F484" t="s">
        <v>20</v>
      </c>
      <c r="G484" t="s">
        <v>21</v>
      </c>
      <c r="H484" t="s">
        <v>22</v>
      </c>
      <c r="I484" t="s">
        <v>23</v>
      </c>
      <c r="J484" t="s">
        <v>27</v>
      </c>
      <c r="K484" s="3">
        <v>520</v>
      </c>
      <c r="O484" s="4">
        <v>0</v>
      </c>
      <c r="P484" s="3">
        <v>0</v>
      </c>
    </row>
    <row r="485" spans="1:16" ht="15" customHeight="1" x14ac:dyDescent="0.3">
      <c r="A485">
        <v>2016</v>
      </c>
      <c r="B485" s="2">
        <v>42629</v>
      </c>
      <c r="C485" t="s">
        <v>325</v>
      </c>
      <c r="D485" t="s">
        <v>40</v>
      </c>
      <c r="E485" t="s">
        <v>607</v>
      </c>
      <c r="F485" t="s">
        <v>20</v>
      </c>
      <c r="G485" t="s">
        <v>21</v>
      </c>
      <c r="H485" t="s">
        <v>22</v>
      </c>
      <c r="I485" t="s">
        <v>136</v>
      </c>
      <c r="J485" t="s">
        <v>123</v>
      </c>
      <c r="K485" s="3">
        <v>28340.639999999999</v>
      </c>
      <c r="O485" s="4">
        <v>0</v>
      </c>
      <c r="P485" s="3">
        <v>0</v>
      </c>
    </row>
    <row r="486" spans="1:16" ht="15" customHeight="1" x14ac:dyDescent="0.3">
      <c r="A486">
        <v>2016</v>
      </c>
      <c r="B486" s="2">
        <v>42639</v>
      </c>
      <c r="C486" t="s">
        <v>325</v>
      </c>
      <c r="D486" t="s">
        <v>364</v>
      </c>
      <c r="E486" t="s">
        <v>608</v>
      </c>
      <c r="F486" t="s">
        <v>20</v>
      </c>
      <c r="G486" t="s">
        <v>21</v>
      </c>
      <c r="H486" t="s">
        <v>101</v>
      </c>
      <c r="I486" t="s">
        <v>136</v>
      </c>
      <c r="J486" t="s">
        <v>50</v>
      </c>
      <c r="K486" s="3">
        <v>245611.26</v>
      </c>
      <c r="O486" s="4">
        <v>0</v>
      </c>
      <c r="P486" s="3">
        <v>0</v>
      </c>
    </row>
    <row r="487" spans="1:16" ht="15" customHeight="1" x14ac:dyDescent="0.3">
      <c r="A487">
        <v>2016</v>
      </c>
      <c r="B487" s="2">
        <v>42640</v>
      </c>
      <c r="C487" t="s">
        <v>325</v>
      </c>
      <c r="D487" t="s">
        <v>358</v>
      </c>
      <c r="E487" t="s">
        <v>609</v>
      </c>
      <c r="F487" t="s">
        <v>20</v>
      </c>
      <c r="G487" t="s">
        <v>38</v>
      </c>
      <c r="H487" t="s">
        <v>147</v>
      </c>
      <c r="I487" t="s">
        <v>136</v>
      </c>
      <c r="J487" t="s">
        <v>123</v>
      </c>
      <c r="K487" s="3">
        <v>98580.75</v>
      </c>
      <c r="O487" s="4">
        <v>0</v>
      </c>
      <c r="P487" s="3">
        <v>0</v>
      </c>
    </row>
    <row r="488" spans="1:16" ht="15" customHeight="1" x14ac:dyDescent="0.3">
      <c r="A488">
        <v>2016</v>
      </c>
      <c r="B488" s="2">
        <v>42641</v>
      </c>
      <c r="C488" t="s">
        <v>325</v>
      </c>
      <c r="D488" t="s">
        <v>61</v>
      </c>
      <c r="E488" t="s">
        <v>610</v>
      </c>
      <c r="F488" t="s">
        <v>20</v>
      </c>
      <c r="G488" t="s">
        <v>21</v>
      </c>
      <c r="H488" t="s">
        <v>22</v>
      </c>
      <c r="I488" t="s">
        <v>23</v>
      </c>
      <c r="J488" t="s">
        <v>27</v>
      </c>
      <c r="K488" s="3">
        <v>10979.22</v>
      </c>
      <c r="O488" s="4">
        <v>0</v>
      </c>
      <c r="P488" s="3">
        <v>0</v>
      </c>
    </row>
    <row r="489" spans="1:16" ht="15" customHeight="1" x14ac:dyDescent="0.3">
      <c r="A489">
        <v>2016</v>
      </c>
      <c r="B489" s="2">
        <v>42642</v>
      </c>
      <c r="C489" t="s">
        <v>325</v>
      </c>
      <c r="D489" t="s">
        <v>145</v>
      </c>
      <c r="E489" t="s">
        <v>611</v>
      </c>
      <c r="F489" t="s">
        <v>20</v>
      </c>
      <c r="G489" t="s">
        <v>38</v>
      </c>
      <c r="H489" t="s">
        <v>147</v>
      </c>
      <c r="I489" t="s">
        <v>122</v>
      </c>
      <c r="J489" t="s">
        <v>50</v>
      </c>
      <c r="K489" s="3">
        <v>223626.71</v>
      </c>
      <c r="O489" s="4">
        <v>0</v>
      </c>
      <c r="P489" s="3">
        <v>0</v>
      </c>
    </row>
    <row r="490" spans="1:16" ht="15" customHeight="1" x14ac:dyDescent="0.3">
      <c r="A490">
        <v>2016</v>
      </c>
      <c r="B490" s="2">
        <v>42648</v>
      </c>
      <c r="C490" t="s">
        <v>357</v>
      </c>
      <c r="D490" t="s">
        <v>301</v>
      </c>
      <c r="E490" t="s">
        <v>612</v>
      </c>
      <c r="F490" t="s">
        <v>20</v>
      </c>
      <c r="G490" t="s">
        <v>21</v>
      </c>
      <c r="H490" t="s">
        <v>22</v>
      </c>
      <c r="I490" t="s">
        <v>136</v>
      </c>
      <c r="J490" t="s">
        <v>123</v>
      </c>
      <c r="K490" s="3">
        <v>3691</v>
      </c>
      <c r="O490" s="4">
        <v>0</v>
      </c>
      <c r="P490" s="3">
        <v>0</v>
      </c>
    </row>
    <row r="491" spans="1:16" ht="15" customHeight="1" x14ac:dyDescent="0.3">
      <c r="A491">
        <v>2016</v>
      </c>
      <c r="B491" s="2">
        <v>42649</v>
      </c>
      <c r="C491" t="s">
        <v>357</v>
      </c>
      <c r="D491" t="s">
        <v>56</v>
      </c>
      <c r="E491" t="s">
        <v>613</v>
      </c>
      <c r="F491" t="s">
        <v>20</v>
      </c>
      <c r="G491" t="s">
        <v>21</v>
      </c>
      <c r="H491" t="s">
        <v>22</v>
      </c>
      <c r="I491" t="s">
        <v>23</v>
      </c>
      <c r="J491" t="s">
        <v>27</v>
      </c>
      <c r="K491" s="3">
        <v>2000</v>
      </c>
      <c r="O491" s="4">
        <v>0</v>
      </c>
      <c r="P491" s="3">
        <v>0</v>
      </c>
    </row>
    <row r="492" spans="1:16" ht="15" customHeight="1" x14ac:dyDescent="0.3">
      <c r="A492">
        <v>2016</v>
      </c>
      <c r="B492" s="2">
        <v>42656</v>
      </c>
      <c r="C492" t="s">
        <v>357</v>
      </c>
      <c r="D492" t="s">
        <v>292</v>
      </c>
      <c r="E492" t="s">
        <v>614</v>
      </c>
      <c r="F492" t="s">
        <v>20</v>
      </c>
      <c r="G492" t="s">
        <v>21</v>
      </c>
      <c r="H492" t="s">
        <v>22</v>
      </c>
      <c r="I492" t="s">
        <v>141</v>
      </c>
      <c r="J492" t="s">
        <v>123</v>
      </c>
      <c r="K492" s="3">
        <v>190632.89</v>
      </c>
      <c r="O492" s="4">
        <v>0</v>
      </c>
      <c r="P492" s="3">
        <v>0</v>
      </c>
    </row>
    <row r="493" spans="1:16" ht="15" customHeight="1" x14ac:dyDescent="0.3">
      <c r="A493">
        <v>2016</v>
      </c>
      <c r="B493" s="2">
        <v>42657</v>
      </c>
      <c r="C493" t="s">
        <v>357</v>
      </c>
      <c r="D493" t="s">
        <v>47</v>
      </c>
      <c r="E493" t="s">
        <v>615</v>
      </c>
      <c r="F493" t="s">
        <v>20</v>
      </c>
      <c r="G493" t="s">
        <v>38</v>
      </c>
      <c r="H493" t="s">
        <v>39</v>
      </c>
      <c r="I493" t="s">
        <v>23</v>
      </c>
      <c r="J493" t="s">
        <v>27</v>
      </c>
      <c r="K493" s="3">
        <v>11100</v>
      </c>
      <c r="O493" s="4">
        <v>0</v>
      </c>
      <c r="P493" s="3">
        <v>0</v>
      </c>
    </row>
    <row r="494" spans="1:16" ht="15" customHeight="1" x14ac:dyDescent="0.3">
      <c r="A494">
        <v>2016</v>
      </c>
      <c r="B494" s="2">
        <v>42661</v>
      </c>
      <c r="C494" t="s">
        <v>357</v>
      </c>
      <c r="D494" t="s">
        <v>485</v>
      </c>
      <c r="E494" t="s">
        <v>616</v>
      </c>
      <c r="F494" t="s">
        <v>20</v>
      </c>
      <c r="G494" t="s">
        <v>38</v>
      </c>
      <c r="H494" t="s">
        <v>39</v>
      </c>
      <c r="I494" t="s">
        <v>306</v>
      </c>
      <c r="J494" t="s">
        <v>50</v>
      </c>
      <c r="K494" s="3">
        <v>3391587.07</v>
      </c>
      <c r="O494" s="4">
        <v>0</v>
      </c>
      <c r="P494" s="3">
        <v>0</v>
      </c>
    </row>
    <row r="495" spans="1:16" ht="15" customHeight="1" x14ac:dyDescent="0.3">
      <c r="A495">
        <v>2016</v>
      </c>
      <c r="B495" s="2">
        <v>42662</v>
      </c>
      <c r="C495" t="s">
        <v>357</v>
      </c>
      <c r="D495" t="s">
        <v>617</v>
      </c>
      <c r="E495" t="s">
        <v>618</v>
      </c>
      <c r="F495" t="s">
        <v>20</v>
      </c>
      <c r="G495" t="s">
        <v>38</v>
      </c>
      <c r="H495" t="s">
        <v>619</v>
      </c>
      <c r="I495" t="s">
        <v>334</v>
      </c>
      <c r="J495" t="s">
        <v>123</v>
      </c>
      <c r="K495" s="3">
        <v>142466.41</v>
      </c>
      <c r="O495" s="4">
        <v>0</v>
      </c>
      <c r="P495" s="3">
        <v>0</v>
      </c>
    </row>
    <row r="496" spans="1:16" ht="15" customHeight="1" x14ac:dyDescent="0.3">
      <c r="A496">
        <v>2016</v>
      </c>
      <c r="B496" s="2">
        <v>42663</v>
      </c>
      <c r="C496" t="s">
        <v>357</v>
      </c>
      <c r="D496" t="s">
        <v>620</v>
      </c>
      <c r="E496" t="s">
        <v>621</v>
      </c>
      <c r="F496" t="s">
        <v>20</v>
      </c>
      <c r="G496" t="s">
        <v>21</v>
      </c>
      <c r="H496" t="s">
        <v>101</v>
      </c>
      <c r="I496" t="s">
        <v>23</v>
      </c>
      <c r="J496" t="s">
        <v>123</v>
      </c>
      <c r="K496" s="3">
        <v>24000</v>
      </c>
      <c r="O496" s="4">
        <v>0</v>
      </c>
      <c r="P496" s="3">
        <v>0</v>
      </c>
    </row>
    <row r="497" spans="1:16" ht="15" customHeight="1" x14ac:dyDescent="0.3">
      <c r="A497">
        <v>2016</v>
      </c>
      <c r="B497" s="2">
        <v>42664</v>
      </c>
      <c r="C497" t="s">
        <v>357</v>
      </c>
      <c r="D497" t="s">
        <v>53</v>
      </c>
      <c r="E497" t="s">
        <v>622</v>
      </c>
      <c r="F497" t="s">
        <v>20</v>
      </c>
      <c r="G497" t="s">
        <v>21</v>
      </c>
      <c r="H497" t="s">
        <v>22</v>
      </c>
      <c r="I497" t="s">
        <v>23</v>
      </c>
      <c r="J497" t="s">
        <v>27</v>
      </c>
      <c r="K497" s="3">
        <v>1005</v>
      </c>
      <c r="O497" s="4">
        <v>0</v>
      </c>
      <c r="P497" s="3">
        <v>0</v>
      </c>
    </row>
    <row r="498" spans="1:16" ht="15" customHeight="1" x14ac:dyDescent="0.3">
      <c r="A498">
        <v>2016</v>
      </c>
      <c r="B498" s="2">
        <v>42690</v>
      </c>
      <c r="C498" t="s">
        <v>389</v>
      </c>
      <c r="D498" t="s">
        <v>76</v>
      </c>
      <c r="E498" t="s">
        <v>623</v>
      </c>
      <c r="F498" t="s">
        <v>20</v>
      </c>
      <c r="G498" t="s">
        <v>21</v>
      </c>
      <c r="H498" t="s">
        <v>22</v>
      </c>
      <c r="I498" t="s">
        <v>23</v>
      </c>
      <c r="J498" t="s">
        <v>27</v>
      </c>
      <c r="K498" s="3">
        <v>3306</v>
      </c>
      <c r="O498" s="4">
        <v>0</v>
      </c>
      <c r="P498" s="3">
        <v>0</v>
      </c>
    </row>
    <row r="499" spans="1:16" ht="15" customHeight="1" x14ac:dyDescent="0.3">
      <c r="A499">
        <v>2016</v>
      </c>
      <c r="B499" s="2">
        <v>42698</v>
      </c>
      <c r="C499" t="s">
        <v>389</v>
      </c>
      <c r="D499" t="s">
        <v>534</v>
      </c>
      <c r="E499" t="s">
        <v>624</v>
      </c>
      <c r="F499" t="s">
        <v>20</v>
      </c>
      <c r="G499" t="s">
        <v>21</v>
      </c>
      <c r="H499" t="s">
        <v>22</v>
      </c>
      <c r="I499" t="s">
        <v>625</v>
      </c>
      <c r="J499" t="s">
        <v>123</v>
      </c>
      <c r="K499" s="3">
        <v>36662.720000000001</v>
      </c>
      <c r="O499" s="4">
        <v>0</v>
      </c>
      <c r="P499" s="3">
        <v>0</v>
      </c>
    </row>
    <row r="500" spans="1:16" ht="15" customHeight="1" x14ac:dyDescent="0.3">
      <c r="A500">
        <v>2016</v>
      </c>
      <c r="B500" s="2">
        <v>42700</v>
      </c>
      <c r="C500" t="s">
        <v>389</v>
      </c>
      <c r="D500" t="s">
        <v>566</v>
      </c>
      <c r="E500" t="s">
        <v>626</v>
      </c>
      <c r="F500" t="s">
        <v>20</v>
      </c>
      <c r="G500" t="s">
        <v>38</v>
      </c>
      <c r="H500" t="s">
        <v>89</v>
      </c>
      <c r="I500" t="s">
        <v>23</v>
      </c>
      <c r="J500" t="s">
        <v>123</v>
      </c>
      <c r="K500" s="3">
        <v>25000</v>
      </c>
      <c r="O500" s="4">
        <v>0</v>
      </c>
      <c r="P500" s="3">
        <v>0</v>
      </c>
    </row>
    <row r="501" spans="1:16" ht="15" customHeight="1" x14ac:dyDescent="0.3">
      <c r="A501">
        <v>2017</v>
      </c>
      <c r="B501" s="2">
        <v>42738</v>
      </c>
      <c r="C501" t="s">
        <v>17</v>
      </c>
      <c r="D501" t="s">
        <v>30</v>
      </c>
      <c r="E501" t="s">
        <v>627</v>
      </c>
      <c r="F501" t="s">
        <v>20</v>
      </c>
      <c r="G501" t="s">
        <v>21</v>
      </c>
      <c r="H501" t="s">
        <v>22</v>
      </c>
      <c r="I501" t="s">
        <v>23</v>
      </c>
      <c r="J501" t="s">
        <v>27</v>
      </c>
      <c r="K501" s="3">
        <v>530</v>
      </c>
      <c r="O501" s="4">
        <v>0</v>
      </c>
      <c r="P501" s="3">
        <v>0</v>
      </c>
    </row>
    <row r="502" spans="1:16" ht="15" customHeight="1" x14ac:dyDescent="0.3">
      <c r="A502">
        <v>2017</v>
      </c>
      <c r="B502" s="2">
        <v>42744</v>
      </c>
      <c r="C502" t="s">
        <v>17</v>
      </c>
      <c r="D502" t="s">
        <v>628</v>
      </c>
      <c r="E502" t="s">
        <v>629</v>
      </c>
      <c r="F502" t="s">
        <v>20</v>
      </c>
      <c r="G502" t="s">
        <v>107</v>
      </c>
      <c r="H502" t="s">
        <v>117</v>
      </c>
      <c r="I502" t="s">
        <v>306</v>
      </c>
      <c r="J502" t="s">
        <v>123</v>
      </c>
      <c r="K502" s="3">
        <v>560874.80000000005</v>
      </c>
      <c r="O502" s="4">
        <v>0</v>
      </c>
      <c r="P502" s="3">
        <v>0</v>
      </c>
    </row>
    <row r="503" spans="1:16" ht="15" customHeight="1" x14ac:dyDescent="0.3">
      <c r="A503">
        <v>2017</v>
      </c>
      <c r="B503" s="2">
        <v>42753</v>
      </c>
      <c r="C503" t="s">
        <v>17</v>
      </c>
      <c r="D503" t="s">
        <v>534</v>
      </c>
      <c r="E503" t="s">
        <v>630</v>
      </c>
      <c r="F503" t="s">
        <v>20</v>
      </c>
      <c r="G503" t="s">
        <v>21</v>
      </c>
      <c r="H503" t="s">
        <v>22</v>
      </c>
      <c r="I503" t="s">
        <v>23</v>
      </c>
      <c r="J503" t="s">
        <v>27</v>
      </c>
      <c r="K503" s="3">
        <v>1667.79</v>
      </c>
      <c r="O503" s="4">
        <v>0</v>
      </c>
      <c r="P503" s="3">
        <v>0</v>
      </c>
    </row>
    <row r="504" spans="1:16" ht="15" customHeight="1" x14ac:dyDescent="0.3">
      <c r="A504">
        <v>2017</v>
      </c>
      <c r="B504" s="2">
        <v>42754</v>
      </c>
      <c r="C504" t="s">
        <v>17</v>
      </c>
      <c r="D504" t="s">
        <v>631</v>
      </c>
      <c r="E504" t="s">
        <v>632</v>
      </c>
      <c r="F504" t="s">
        <v>20</v>
      </c>
      <c r="G504" t="s">
        <v>21</v>
      </c>
      <c r="H504" t="s">
        <v>22</v>
      </c>
      <c r="I504" t="s">
        <v>633</v>
      </c>
      <c r="J504" t="s">
        <v>123</v>
      </c>
      <c r="K504" s="3">
        <v>99905.09</v>
      </c>
      <c r="O504" s="4">
        <v>0</v>
      </c>
      <c r="P504" s="3">
        <v>0</v>
      </c>
    </row>
    <row r="505" spans="1:16" ht="15" customHeight="1" x14ac:dyDescent="0.3">
      <c r="A505">
        <v>2017</v>
      </c>
      <c r="B505" s="2">
        <v>42760</v>
      </c>
      <c r="C505" t="s">
        <v>17</v>
      </c>
      <c r="D505" t="s">
        <v>634</v>
      </c>
      <c r="E505" t="s">
        <v>635</v>
      </c>
      <c r="F505" t="s">
        <v>20</v>
      </c>
      <c r="G505" t="s">
        <v>21</v>
      </c>
      <c r="H505" t="s">
        <v>22</v>
      </c>
      <c r="I505" t="s">
        <v>23</v>
      </c>
      <c r="J505" t="s">
        <v>27</v>
      </c>
      <c r="K505" s="3">
        <v>955</v>
      </c>
      <c r="O505" s="4">
        <v>0</v>
      </c>
      <c r="P505" s="3">
        <v>0</v>
      </c>
    </row>
    <row r="506" spans="1:16" ht="15" customHeight="1" x14ac:dyDescent="0.3">
      <c r="A506">
        <v>2017</v>
      </c>
      <c r="B506" s="2">
        <v>42761</v>
      </c>
      <c r="C506" t="s">
        <v>17</v>
      </c>
      <c r="D506" t="s">
        <v>534</v>
      </c>
      <c r="E506" t="s">
        <v>636</v>
      </c>
      <c r="F506" t="s">
        <v>20</v>
      </c>
      <c r="G506" t="s">
        <v>21</v>
      </c>
      <c r="H506" t="s">
        <v>22</v>
      </c>
      <c r="I506" t="s">
        <v>23</v>
      </c>
      <c r="J506" t="s">
        <v>27</v>
      </c>
      <c r="K506" s="3">
        <v>6400.87</v>
      </c>
      <c r="O506" s="4">
        <v>0</v>
      </c>
      <c r="P506" s="3">
        <v>0</v>
      </c>
    </row>
    <row r="507" spans="1:16" ht="15" customHeight="1" x14ac:dyDescent="0.3">
      <c r="A507">
        <v>2017</v>
      </c>
      <c r="B507" s="2">
        <v>42763</v>
      </c>
      <c r="C507" t="s">
        <v>17</v>
      </c>
      <c r="D507" t="s">
        <v>637</v>
      </c>
      <c r="E507" t="s">
        <v>638</v>
      </c>
      <c r="F507" t="s">
        <v>20</v>
      </c>
      <c r="G507" t="s">
        <v>21</v>
      </c>
      <c r="H507" t="s">
        <v>22</v>
      </c>
      <c r="I507" t="s">
        <v>23</v>
      </c>
      <c r="J507" t="s">
        <v>123</v>
      </c>
      <c r="K507" s="3">
        <v>12510.99</v>
      </c>
      <c r="O507" s="4">
        <v>0</v>
      </c>
      <c r="P507" s="3">
        <v>0</v>
      </c>
    </row>
    <row r="508" spans="1:16" ht="15" customHeight="1" x14ac:dyDescent="0.3">
      <c r="A508">
        <v>2017</v>
      </c>
      <c r="B508" s="2">
        <v>42765</v>
      </c>
      <c r="C508" t="s">
        <v>17</v>
      </c>
      <c r="D508" t="s">
        <v>301</v>
      </c>
      <c r="E508" t="s">
        <v>639</v>
      </c>
      <c r="F508" t="s">
        <v>20</v>
      </c>
      <c r="G508" t="s">
        <v>21</v>
      </c>
      <c r="H508" t="s">
        <v>22</v>
      </c>
      <c r="I508" t="s">
        <v>23</v>
      </c>
      <c r="J508" t="s">
        <v>27</v>
      </c>
      <c r="K508" s="3">
        <v>1455</v>
      </c>
      <c r="O508" s="4">
        <v>0</v>
      </c>
      <c r="P508" s="3">
        <v>0</v>
      </c>
    </row>
    <row r="509" spans="1:16" ht="15" customHeight="1" x14ac:dyDescent="0.3">
      <c r="A509">
        <v>2017</v>
      </c>
      <c r="B509" s="2">
        <v>42774</v>
      </c>
      <c r="C509" t="s">
        <v>71</v>
      </c>
      <c r="D509" t="s">
        <v>534</v>
      </c>
      <c r="E509" t="s">
        <v>640</v>
      </c>
      <c r="F509" t="s">
        <v>20</v>
      </c>
      <c r="G509" t="s">
        <v>21</v>
      </c>
      <c r="H509" t="s">
        <v>22</v>
      </c>
      <c r="I509" t="s">
        <v>625</v>
      </c>
      <c r="J509" t="s">
        <v>123</v>
      </c>
      <c r="K509" s="3">
        <v>22780.35</v>
      </c>
      <c r="O509" s="4">
        <v>0</v>
      </c>
      <c r="P509" s="3">
        <v>0</v>
      </c>
    </row>
    <row r="510" spans="1:16" ht="15" customHeight="1" x14ac:dyDescent="0.3">
      <c r="A510">
        <v>2017</v>
      </c>
      <c r="B510" s="2">
        <v>42781</v>
      </c>
      <c r="C510" t="s">
        <v>71</v>
      </c>
      <c r="D510" t="s">
        <v>641</v>
      </c>
      <c r="E510" t="s">
        <v>471</v>
      </c>
      <c r="F510" t="s">
        <v>20</v>
      </c>
      <c r="G510" t="s">
        <v>21</v>
      </c>
      <c r="H510" t="s">
        <v>22</v>
      </c>
      <c r="I510" t="s">
        <v>136</v>
      </c>
      <c r="J510" t="s">
        <v>123</v>
      </c>
      <c r="K510" s="3">
        <v>143350.56</v>
      </c>
      <c r="O510" s="4">
        <v>0</v>
      </c>
      <c r="P510" s="3">
        <v>0</v>
      </c>
    </row>
    <row r="511" spans="1:16" ht="15" customHeight="1" x14ac:dyDescent="0.3">
      <c r="A511">
        <v>2017</v>
      </c>
      <c r="B511" s="2">
        <v>42781</v>
      </c>
      <c r="C511" t="s">
        <v>71</v>
      </c>
      <c r="D511" t="s">
        <v>45</v>
      </c>
      <c r="E511" t="s">
        <v>642</v>
      </c>
      <c r="F511" t="s">
        <v>20</v>
      </c>
      <c r="G511" t="s">
        <v>38</v>
      </c>
      <c r="H511" t="s">
        <v>39</v>
      </c>
      <c r="I511" t="s">
        <v>136</v>
      </c>
      <c r="J511" t="s">
        <v>110</v>
      </c>
      <c r="K511" s="3">
        <v>29400</v>
      </c>
      <c r="O511" s="4">
        <v>0</v>
      </c>
      <c r="P511" s="3">
        <v>0</v>
      </c>
    </row>
    <row r="512" spans="1:16" ht="15" customHeight="1" x14ac:dyDescent="0.3">
      <c r="A512">
        <v>2017</v>
      </c>
      <c r="B512" s="2">
        <v>42782</v>
      </c>
      <c r="C512" t="s">
        <v>71</v>
      </c>
      <c r="D512" t="s">
        <v>36</v>
      </c>
      <c r="E512" t="s">
        <v>643</v>
      </c>
      <c r="F512" t="s">
        <v>20</v>
      </c>
      <c r="G512" t="s">
        <v>38</v>
      </c>
      <c r="H512" t="s">
        <v>39</v>
      </c>
      <c r="I512" t="s">
        <v>136</v>
      </c>
      <c r="J512" t="s">
        <v>50</v>
      </c>
      <c r="K512" s="3">
        <v>14217.77</v>
      </c>
      <c r="O512" s="4">
        <v>0</v>
      </c>
      <c r="P512" s="3">
        <v>0</v>
      </c>
    </row>
    <row r="513" spans="1:16" ht="15" customHeight="1" x14ac:dyDescent="0.3">
      <c r="A513">
        <v>2017</v>
      </c>
      <c r="B513" s="2">
        <v>42790</v>
      </c>
      <c r="C513" t="s">
        <v>71</v>
      </c>
      <c r="D513" t="s">
        <v>644</v>
      </c>
      <c r="E513" t="s">
        <v>645</v>
      </c>
      <c r="F513" t="s">
        <v>20</v>
      </c>
      <c r="G513" t="s">
        <v>107</v>
      </c>
      <c r="H513" t="s">
        <v>522</v>
      </c>
      <c r="I513" t="s">
        <v>334</v>
      </c>
      <c r="J513" t="s">
        <v>123</v>
      </c>
      <c r="K513" s="3">
        <v>87920.24</v>
      </c>
      <c r="O513" s="4">
        <v>0</v>
      </c>
      <c r="P513" s="3">
        <v>0</v>
      </c>
    </row>
    <row r="514" spans="1:16" ht="15" customHeight="1" x14ac:dyDescent="0.3">
      <c r="A514">
        <v>2017</v>
      </c>
      <c r="B514" s="2">
        <v>42793</v>
      </c>
      <c r="C514" t="s">
        <v>71</v>
      </c>
      <c r="D514" t="s">
        <v>566</v>
      </c>
      <c r="E514" t="s">
        <v>646</v>
      </c>
      <c r="F514" t="s">
        <v>20</v>
      </c>
      <c r="G514" t="s">
        <v>38</v>
      </c>
      <c r="H514" t="s">
        <v>89</v>
      </c>
      <c r="I514" t="s">
        <v>136</v>
      </c>
      <c r="J514" t="s">
        <v>123</v>
      </c>
      <c r="K514" s="3">
        <v>87000.06</v>
      </c>
      <c r="O514" s="4">
        <v>0</v>
      </c>
      <c r="P514" s="3">
        <v>0</v>
      </c>
    </row>
    <row r="515" spans="1:16" ht="15" customHeight="1" x14ac:dyDescent="0.3">
      <c r="A515">
        <v>2017</v>
      </c>
      <c r="B515" s="2">
        <v>42795</v>
      </c>
      <c r="C515" t="s">
        <v>137</v>
      </c>
      <c r="D515" t="s">
        <v>179</v>
      </c>
      <c r="E515" t="s">
        <v>647</v>
      </c>
      <c r="F515" t="s">
        <v>20</v>
      </c>
      <c r="G515" t="s">
        <v>38</v>
      </c>
      <c r="H515" t="s">
        <v>89</v>
      </c>
      <c r="I515" t="s">
        <v>141</v>
      </c>
      <c r="J515" t="s">
        <v>50</v>
      </c>
      <c r="K515" s="3">
        <v>211798.67</v>
      </c>
      <c r="O515" s="4">
        <v>0</v>
      </c>
      <c r="P515" s="3">
        <v>0</v>
      </c>
    </row>
    <row r="516" spans="1:16" ht="15" customHeight="1" x14ac:dyDescent="0.3">
      <c r="A516">
        <v>2017</v>
      </c>
      <c r="B516" s="2">
        <v>42800</v>
      </c>
      <c r="C516" t="s">
        <v>137</v>
      </c>
      <c r="D516" t="s">
        <v>36</v>
      </c>
      <c r="E516" t="s">
        <v>648</v>
      </c>
      <c r="F516" t="s">
        <v>20</v>
      </c>
      <c r="G516" t="s">
        <v>38</v>
      </c>
      <c r="H516" t="s">
        <v>39</v>
      </c>
      <c r="I516" t="s">
        <v>306</v>
      </c>
      <c r="J516" t="s">
        <v>50</v>
      </c>
      <c r="K516" s="3">
        <v>504947.53</v>
      </c>
      <c r="O516" s="4">
        <v>0</v>
      </c>
      <c r="P516" s="3">
        <v>0</v>
      </c>
    </row>
    <row r="517" spans="1:16" ht="15" customHeight="1" x14ac:dyDescent="0.3">
      <c r="A517">
        <v>2017</v>
      </c>
      <c r="B517" s="2">
        <v>42807</v>
      </c>
      <c r="C517" t="s">
        <v>137</v>
      </c>
      <c r="D517" t="s">
        <v>631</v>
      </c>
      <c r="E517" t="s">
        <v>649</v>
      </c>
      <c r="F517" t="s">
        <v>20</v>
      </c>
      <c r="G517" t="s">
        <v>21</v>
      </c>
      <c r="H517" t="s">
        <v>22</v>
      </c>
      <c r="I517" t="s">
        <v>633</v>
      </c>
      <c r="J517" t="s">
        <v>123</v>
      </c>
      <c r="K517" s="3">
        <v>6930</v>
      </c>
      <c r="O517" s="4">
        <v>0</v>
      </c>
      <c r="P517" s="3">
        <v>0</v>
      </c>
    </row>
    <row r="518" spans="1:16" ht="15" customHeight="1" x14ac:dyDescent="0.3">
      <c r="A518">
        <v>2017</v>
      </c>
      <c r="B518" s="2">
        <v>42807</v>
      </c>
      <c r="C518" t="s">
        <v>137</v>
      </c>
      <c r="D518" t="s">
        <v>134</v>
      </c>
      <c r="E518" t="s">
        <v>650</v>
      </c>
      <c r="F518" t="s">
        <v>20</v>
      </c>
      <c r="G518" t="s">
        <v>107</v>
      </c>
      <c r="H518" t="s">
        <v>108</v>
      </c>
      <c r="I518" t="s">
        <v>23</v>
      </c>
      <c r="J518" t="s">
        <v>27</v>
      </c>
      <c r="K518" s="3">
        <v>1750</v>
      </c>
      <c r="O518" s="4">
        <v>0</v>
      </c>
      <c r="P518" s="3">
        <v>0</v>
      </c>
    </row>
    <row r="519" spans="1:16" ht="15" customHeight="1" x14ac:dyDescent="0.3">
      <c r="A519">
        <v>2017</v>
      </c>
      <c r="B519" s="2">
        <v>42808</v>
      </c>
      <c r="C519" t="s">
        <v>137</v>
      </c>
      <c r="D519" t="s">
        <v>531</v>
      </c>
      <c r="E519" t="s">
        <v>651</v>
      </c>
      <c r="F519" t="s">
        <v>20</v>
      </c>
      <c r="G519" t="s">
        <v>38</v>
      </c>
      <c r="H519" t="s">
        <v>39</v>
      </c>
      <c r="I519" t="s">
        <v>23</v>
      </c>
      <c r="J519" t="s">
        <v>27</v>
      </c>
      <c r="K519" s="3">
        <v>4265</v>
      </c>
      <c r="O519" s="4">
        <v>0</v>
      </c>
      <c r="P519" s="3">
        <v>0</v>
      </c>
    </row>
    <row r="520" spans="1:16" ht="15" customHeight="1" x14ac:dyDescent="0.3">
      <c r="A520">
        <v>2017</v>
      </c>
      <c r="B520" s="2">
        <v>42810</v>
      </c>
      <c r="C520" t="s">
        <v>137</v>
      </c>
      <c r="D520" t="s">
        <v>637</v>
      </c>
      <c r="E520" t="s">
        <v>652</v>
      </c>
      <c r="F520" t="s">
        <v>20</v>
      </c>
      <c r="G520" t="s">
        <v>21</v>
      </c>
      <c r="H520" t="s">
        <v>22</v>
      </c>
      <c r="I520" t="s">
        <v>23</v>
      </c>
      <c r="J520" t="s">
        <v>27</v>
      </c>
      <c r="K520" s="3">
        <v>9500.8799999999992</v>
      </c>
      <c r="O520" s="4">
        <v>0</v>
      </c>
      <c r="P520" s="3">
        <v>0</v>
      </c>
    </row>
    <row r="521" spans="1:16" ht="15" customHeight="1" x14ac:dyDescent="0.3">
      <c r="A521">
        <v>2017</v>
      </c>
      <c r="B521" s="2">
        <v>42816</v>
      </c>
      <c r="C521" t="s">
        <v>137</v>
      </c>
      <c r="D521" t="s">
        <v>53</v>
      </c>
      <c r="E521" t="s">
        <v>653</v>
      </c>
      <c r="F521" t="s">
        <v>20</v>
      </c>
      <c r="G521" t="s">
        <v>21</v>
      </c>
      <c r="H521" t="s">
        <v>22</v>
      </c>
      <c r="I521" t="s">
        <v>23</v>
      </c>
      <c r="J521" t="s">
        <v>27</v>
      </c>
      <c r="K521" s="3">
        <v>625</v>
      </c>
      <c r="O521" s="4">
        <v>0</v>
      </c>
      <c r="P521" s="3">
        <v>0</v>
      </c>
    </row>
    <row r="522" spans="1:16" ht="15" customHeight="1" x14ac:dyDescent="0.3">
      <c r="A522">
        <v>2017</v>
      </c>
      <c r="B522" s="2">
        <v>42826</v>
      </c>
      <c r="C522" t="s">
        <v>169</v>
      </c>
      <c r="D522" t="s">
        <v>358</v>
      </c>
      <c r="E522" t="s">
        <v>654</v>
      </c>
      <c r="F522" t="s">
        <v>20</v>
      </c>
      <c r="G522" t="s">
        <v>38</v>
      </c>
      <c r="H522" t="s">
        <v>39</v>
      </c>
      <c r="I522" t="s">
        <v>136</v>
      </c>
      <c r="J522" t="s">
        <v>123</v>
      </c>
      <c r="K522" s="3">
        <v>87609.3</v>
      </c>
      <c r="O522" s="4">
        <v>0</v>
      </c>
      <c r="P522" s="3">
        <v>0</v>
      </c>
    </row>
    <row r="523" spans="1:16" ht="15" customHeight="1" x14ac:dyDescent="0.3">
      <c r="A523">
        <v>2017</v>
      </c>
      <c r="B523" s="2">
        <v>42835</v>
      </c>
      <c r="C523" t="s">
        <v>169</v>
      </c>
      <c r="D523" t="s">
        <v>279</v>
      </c>
      <c r="E523" t="s">
        <v>655</v>
      </c>
      <c r="F523" t="s">
        <v>20</v>
      </c>
      <c r="G523" t="s">
        <v>21</v>
      </c>
      <c r="H523" t="s">
        <v>22</v>
      </c>
      <c r="I523" t="s">
        <v>141</v>
      </c>
      <c r="J523" t="s">
        <v>123</v>
      </c>
      <c r="K523" s="3">
        <v>51740.29</v>
      </c>
      <c r="O523" s="4">
        <v>0</v>
      </c>
      <c r="P523" s="3">
        <v>0</v>
      </c>
    </row>
    <row r="524" spans="1:16" ht="15" customHeight="1" x14ac:dyDescent="0.3">
      <c r="A524">
        <v>2017</v>
      </c>
      <c r="B524" s="2">
        <v>42843</v>
      </c>
      <c r="C524" t="s">
        <v>169</v>
      </c>
      <c r="D524" t="s">
        <v>232</v>
      </c>
      <c r="E524" t="s">
        <v>656</v>
      </c>
      <c r="F524" t="s">
        <v>20</v>
      </c>
      <c r="G524" t="s">
        <v>21</v>
      </c>
      <c r="H524" t="s">
        <v>101</v>
      </c>
      <c r="I524" t="s">
        <v>141</v>
      </c>
      <c r="J524" t="s">
        <v>123</v>
      </c>
      <c r="K524" s="3">
        <v>33868</v>
      </c>
      <c r="O524" s="4">
        <v>0</v>
      </c>
      <c r="P524" s="3">
        <v>0</v>
      </c>
    </row>
    <row r="525" spans="1:16" ht="15" customHeight="1" x14ac:dyDescent="0.3">
      <c r="A525">
        <v>2017</v>
      </c>
      <c r="B525" s="2">
        <v>42843</v>
      </c>
      <c r="C525" t="s">
        <v>169</v>
      </c>
      <c r="D525" t="s">
        <v>36</v>
      </c>
      <c r="E525" t="s">
        <v>657</v>
      </c>
      <c r="F525" t="s">
        <v>20</v>
      </c>
      <c r="G525" t="s">
        <v>38</v>
      </c>
      <c r="H525" t="s">
        <v>39</v>
      </c>
      <c r="I525" t="s">
        <v>136</v>
      </c>
      <c r="J525" t="s">
        <v>50</v>
      </c>
      <c r="K525" s="3">
        <v>12760.79</v>
      </c>
      <c r="O525" s="4">
        <v>0</v>
      </c>
      <c r="P525" s="3">
        <v>0</v>
      </c>
    </row>
    <row r="526" spans="1:16" ht="15" customHeight="1" x14ac:dyDescent="0.3">
      <c r="A526">
        <v>2017</v>
      </c>
      <c r="B526" s="2">
        <v>42846</v>
      </c>
      <c r="C526" t="s">
        <v>169</v>
      </c>
      <c r="D526" t="s">
        <v>69</v>
      </c>
      <c r="E526" t="s">
        <v>658</v>
      </c>
      <c r="F526" t="s">
        <v>20</v>
      </c>
      <c r="G526" t="s">
        <v>21</v>
      </c>
      <c r="H526" t="s">
        <v>22</v>
      </c>
      <c r="I526" t="s">
        <v>136</v>
      </c>
      <c r="J526" t="s">
        <v>123</v>
      </c>
      <c r="K526" s="3">
        <v>31396.84</v>
      </c>
      <c r="O526" s="4">
        <v>0</v>
      </c>
      <c r="P526" s="3">
        <v>0</v>
      </c>
    </row>
    <row r="527" spans="1:16" ht="15" customHeight="1" x14ac:dyDescent="0.3">
      <c r="A527">
        <v>2017</v>
      </c>
      <c r="B527" s="2">
        <v>42860</v>
      </c>
      <c r="C527" t="s">
        <v>190</v>
      </c>
      <c r="D527" t="s">
        <v>617</v>
      </c>
      <c r="E527" t="s">
        <v>659</v>
      </c>
      <c r="F527" t="s">
        <v>20</v>
      </c>
      <c r="G527" t="s">
        <v>38</v>
      </c>
      <c r="H527" t="s">
        <v>619</v>
      </c>
      <c r="I527" t="s">
        <v>334</v>
      </c>
      <c r="J527" t="s">
        <v>123</v>
      </c>
      <c r="K527" s="3">
        <v>11316.97</v>
      </c>
      <c r="O527" s="4">
        <v>0</v>
      </c>
      <c r="P527" s="3">
        <v>0</v>
      </c>
    </row>
    <row r="528" spans="1:16" ht="15" customHeight="1" x14ac:dyDescent="0.3">
      <c r="A528">
        <v>2017</v>
      </c>
      <c r="B528" s="2">
        <v>42863</v>
      </c>
      <c r="C528" t="s">
        <v>190</v>
      </c>
      <c r="D528" t="s">
        <v>45</v>
      </c>
      <c r="E528" t="s">
        <v>660</v>
      </c>
      <c r="F528" t="s">
        <v>20</v>
      </c>
      <c r="G528" t="s">
        <v>38</v>
      </c>
      <c r="H528" t="s">
        <v>39</v>
      </c>
      <c r="I528" t="s">
        <v>136</v>
      </c>
      <c r="J528" t="s">
        <v>123</v>
      </c>
      <c r="K528" s="3">
        <v>127909.87</v>
      </c>
      <c r="O528" s="4">
        <v>0</v>
      </c>
      <c r="P528" s="3">
        <v>0</v>
      </c>
    </row>
    <row r="529" spans="1:16" ht="15" customHeight="1" x14ac:dyDescent="0.3">
      <c r="A529">
        <v>2017</v>
      </c>
      <c r="B529" s="2">
        <v>42866</v>
      </c>
      <c r="C529" t="s">
        <v>190</v>
      </c>
      <c r="D529" t="s">
        <v>69</v>
      </c>
      <c r="E529" t="s">
        <v>661</v>
      </c>
      <c r="F529" t="s">
        <v>20</v>
      </c>
      <c r="G529" t="s">
        <v>21</v>
      </c>
      <c r="H529" t="s">
        <v>22</v>
      </c>
      <c r="I529" t="s">
        <v>23</v>
      </c>
      <c r="J529" t="s">
        <v>27</v>
      </c>
      <c r="K529" s="3">
        <v>8141.21</v>
      </c>
      <c r="O529" s="4">
        <v>0</v>
      </c>
      <c r="P529" s="3">
        <v>0</v>
      </c>
    </row>
    <row r="530" spans="1:16" ht="15" customHeight="1" x14ac:dyDescent="0.3">
      <c r="A530">
        <v>2017</v>
      </c>
      <c r="B530" s="2">
        <v>42870</v>
      </c>
      <c r="C530" t="s">
        <v>190</v>
      </c>
      <c r="D530" t="s">
        <v>662</v>
      </c>
      <c r="E530" t="s">
        <v>663</v>
      </c>
      <c r="F530" t="s">
        <v>20</v>
      </c>
      <c r="G530" t="s">
        <v>107</v>
      </c>
      <c r="H530" t="s">
        <v>108</v>
      </c>
      <c r="I530" t="s">
        <v>136</v>
      </c>
      <c r="J530" t="s">
        <v>123</v>
      </c>
      <c r="K530" s="3">
        <v>86751.42</v>
      </c>
      <c r="O530" s="4">
        <v>0</v>
      </c>
      <c r="P530" s="3">
        <v>0</v>
      </c>
    </row>
    <row r="531" spans="1:16" ht="15" customHeight="1" x14ac:dyDescent="0.3">
      <c r="A531">
        <v>2017</v>
      </c>
      <c r="B531" s="2">
        <v>42873</v>
      </c>
      <c r="C531" t="s">
        <v>190</v>
      </c>
      <c r="D531" t="s">
        <v>34</v>
      </c>
      <c r="E531" t="s">
        <v>664</v>
      </c>
      <c r="F531" t="s">
        <v>20</v>
      </c>
      <c r="G531" t="s">
        <v>21</v>
      </c>
      <c r="H531" t="s">
        <v>22</v>
      </c>
      <c r="I531" t="s">
        <v>109</v>
      </c>
      <c r="J531" t="s">
        <v>123</v>
      </c>
      <c r="K531" s="3">
        <v>50000</v>
      </c>
      <c r="O531" s="4">
        <v>0</v>
      </c>
      <c r="P531" s="3">
        <v>0</v>
      </c>
    </row>
    <row r="532" spans="1:16" ht="15" customHeight="1" x14ac:dyDescent="0.3">
      <c r="A532">
        <v>2017</v>
      </c>
      <c r="B532" s="2">
        <v>42875</v>
      </c>
      <c r="C532" t="s">
        <v>190</v>
      </c>
      <c r="D532" t="s">
        <v>232</v>
      </c>
      <c r="E532" t="s">
        <v>665</v>
      </c>
      <c r="F532" t="s">
        <v>20</v>
      </c>
      <c r="G532" t="s">
        <v>21</v>
      </c>
      <c r="H532" t="s">
        <v>101</v>
      </c>
      <c r="I532" t="s">
        <v>141</v>
      </c>
      <c r="J532" t="s">
        <v>123</v>
      </c>
      <c r="K532" s="3">
        <v>77905.440000000002</v>
      </c>
      <c r="O532" s="4">
        <v>0</v>
      </c>
      <c r="P532" s="3">
        <v>0</v>
      </c>
    </row>
    <row r="533" spans="1:16" ht="15" customHeight="1" x14ac:dyDescent="0.3">
      <c r="A533">
        <v>2017</v>
      </c>
      <c r="B533" s="2">
        <v>42880</v>
      </c>
      <c r="C533" t="s">
        <v>190</v>
      </c>
      <c r="D533" t="s">
        <v>666</v>
      </c>
      <c r="E533" t="s">
        <v>667</v>
      </c>
      <c r="F533" t="s">
        <v>20</v>
      </c>
      <c r="G533" t="s">
        <v>21</v>
      </c>
      <c r="H533" t="s">
        <v>22</v>
      </c>
      <c r="I533" t="s">
        <v>668</v>
      </c>
      <c r="J533" t="s">
        <v>123</v>
      </c>
      <c r="K533" s="3">
        <v>12268.48</v>
      </c>
      <c r="O533" s="4">
        <v>0</v>
      </c>
      <c r="P533" s="3">
        <v>0</v>
      </c>
    </row>
    <row r="534" spans="1:16" ht="15" customHeight="1" x14ac:dyDescent="0.3">
      <c r="A534">
        <v>2017</v>
      </c>
      <c r="B534" s="2">
        <v>42884</v>
      </c>
      <c r="C534" t="s">
        <v>190</v>
      </c>
      <c r="D534" t="s">
        <v>322</v>
      </c>
      <c r="E534" t="s">
        <v>669</v>
      </c>
      <c r="F534" t="s">
        <v>20</v>
      </c>
      <c r="G534" t="s">
        <v>38</v>
      </c>
      <c r="H534" t="s">
        <v>39</v>
      </c>
      <c r="I534" t="s">
        <v>178</v>
      </c>
      <c r="J534" t="s">
        <v>123</v>
      </c>
      <c r="K534" s="3">
        <v>99776.14</v>
      </c>
      <c r="O534" s="4">
        <v>0</v>
      </c>
      <c r="P534" s="3">
        <v>0</v>
      </c>
    </row>
    <row r="535" spans="1:16" ht="15" customHeight="1" x14ac:dyDescent="0.3">
      <c r="A535">
        <v>2017</v>
      </c>
      <c r="B535" s="2">
        <v>42884</v>
      </c>
      <c r="C535" t="s">
        <v>190</v>
      </c>
      <c r="D535" t="s">
        <v>322</v>
      </c>
      <c r="E535" t="s">
        <v>670</v>
      </c>
      <c r="F535" t="s">
        <v>20</v>
      </c>
      <c r="G535" t="s">
        <v>38</v>
      </c>
      <c r="H535" t="s">
        <v>39</v>
      </c>
      <c r="I535" t="s">
        <v>178</v>
      </c>
      <c r="J535" t="s">
        <v>123</v>
      </c>
      <c r="K535" s="3">
        <v>8803.84</v>
      </c>
      <c r="O535" s="4">
        <v>0</v>
      </c>
      <c r="P535" s="3">
        <v>0</v>
      </c>
    </row>
    <row r="536" spans="1:16" ht="15" customHeight="1" x14ac:dyDescent="0.3">
      <c r="A536">
        <v>2017</v>
      </c>
      <c r="B536" s="2">
        <v>42885</v>
      </c>
      <c r="C536" t="s">
        <v>190</v>
      </c>
      <c r="D536" t="s">
        <v>47</v>
      </c>
      <c r="E536" t="s">
        <v>671</v>
      </c>
      <c r="F536" t="s">
        <v>20</v>
      </c>
      <c r="G536" t="s">
        <v>38</v>
      </c>
      <c r="H536" t="s">
        <v>39</v>
      </c>
      <c r="I536" t="s">
        <v>49</v>
      </c>
      <c r="J536" t="s">
        <v>123</v>
      </c>
      <c r="K536" s="3">
        <v>50000</v>
      </c>
      <c r="O536" s="4">
        <v>0</v>
      </c>
      <c r="P536" s="3">
        <v>0</v>
      </c>
    </row>
    <row r="537" spans="1:16" ht="15" customHeight="1" x14ac:dyDescent="0.3">
      <c r="A537">
        <v>2017</v>
      </c>
      <c r="B537" s="2">
        <v>42886</v>
      </c>
      <c r="C537" t="s">
        <v>190</v>
      </c>
      <c r="D537" t="s">
        <v>118</v>
      </c>
      <c r="E537" t="s">
        <v>672</v>
      </c>
      <c r="F537" t="s">
        <v>20</v>
      </c>
      <c r="G537" t="s">
        <v>21</v>
      </c>
      <c r="H537" t="s">
        <v>22</v>
      </c>
      <c r="I537" t="s">
        <v>122</v>
      </c>
      <c r="J537" t="s">
        <v>50</v>
      </c>
      <c r="K537" s="3">
        <v>677966.1</v>
      </c>
      <c r="O537" s="4">
        <v>0</v>
      </c>
      <c r="P537" s="3">
        <v>0</v>
      </c>
    </row>
    <row r="538" spans="1:16" ht="15" customHeight="1" x14ac:dyDescent="0.3">
      <c r="A538">
        <v>2017</v>
      </c>
      <c r="B538" s="2">
        <v>42891</v>
      </c>
      <c r="C538" t="s">
        <v>218</v>
      </c>
      <c r="D538" t="s">
        <v>155</v>
      </c>
      <c r="E538" t="s">
        <v>673</v>
      </c>
      <c r="F538" t="s">
        <v>20</v>
      </c>
      <c r="G538" t="s">
        <v>38</v>
      </c>
      <c r="H538" t="s">
        <v>39</v>
      </c>
      <c r="I538" t="s">
        <v>306</v>
      </c>
      <c r="J538" t="s">
        <v>50</v>
      </c>
      <c r="K538" s="3">
        <v>133824.26</v>
      </c>
      <c r="O538" s="4">
        <v>0</v>
      </c>
      <c r="P538" s="3">
        <v>0</v>
      </c>
    </row>
    <row r="539" spans="1:16" ht="15" customHeight="1" x14ac:dyDescent="0.3">
      <c r="A539">
        <v>2017</v>
      </c>
      <c r="B539" s="2">
        <v>42894</v>
      </c>
      <c r="C539" t="s">
        <v>218</v>
      </c>
      <c r="D539" t="s">
        <v>283</v>
      </c>
      <c r="E539" t="s">
        <v>674</v>
      </c>
      <c r="F539" t="s">
        <v>20</v>
      </c>
      <c r="G539" t="s">
        <v>21</v>
      </c>
      <c r="H539" t="s">
        <v>22</v>
      </c>
      <c r="I539" t="s">
        <v>178</v>
      </c>
      <c r="J539" t="s">
        <v>123</v>
      </c>
      <c r="K539" s="3">
        <v>21543.79</v>
      </c>
      <c r="O539" s="4">
        <v>0</v>
      </c>
      <c r="P539" s="3">
        <v>0</v>
      </c>
    </row>
    <row r="540" spans="1:16" ht="15" customHeight="1" x14ac:dyDescent="0.3">
      <c r="A540">
        <v>2017</v>
      </c>
      <c r="B540" s="2">
        <v>42899</v>
      </c>
      <c r="C540" t="s">
        <v>218</v>
      </c>
      <c r="D540" t="s">
        <v>675</v>
      </c>
      <c r="E540" t="s">
        <v>676</v>
      </c>
      <c r="F540" t="s">
        <v>20</v>
      </c>
      <c r="G540" t="s">
        <v>38</v>
      </c>
      <c r="H540" t="s">
        <v>147</v>
      </c>
      <c r="I540" t="s">
        <v>306</v>
      </c>
      <c r="J540" t="s">
        <v>123</v>
      </c>
      <c r="K540" s="3">
        <v>142040.91</v>
      </c>
      <c r="O540" s="4">
        <v>0</v>
      </c>
      <c r="P540" s="3">
        <v>0</v>
      </c>
    </row>
    <row r="541" spans="1:16" ht="15" customHeight="1" x14ac:dyDescent="0.3">
      <c r="A541">
        <v>2017</v>
      </c>
      <c r="B541" s="2">
        <v>42906</v>
      </c>
      <c r="C541" t="s">
        <v>218</v>
      </c>
      <c r="D541" t="s">
        <v>142</v>
      </c>
      <c r="E541" t="s">
        <v>677</v>
      </c>
      <c r="F541" t="s">
        <v>20</v>
      </c>
      <c r="G541" t="s">
        <v>38</v>
      </c>
      <c r="H541" t="s">
        <v>89</v>
      </c>
      <c r="I541" t="s">
        <v>141</v>
      </c>
      <c r="J541" t="s">
        <v>123</v>
      </c>
      <c r="K541" s="3">
        <v>641320.59</v>
      </c>
      <c r="O541" s="4">
        <v>0</v>
      </c>
      <c r="P541" s="3">
        <v>0</v>
      </c>
    </row>
    <row r="542" spans="1:16" ht="15" customHeight="1" x14ac:dyDescent="0.3">
      <c r="A542">
        <v>2017</v>
      </c>
      <c r="B542" s="2">
        <v>42913</v>
      </c>
      <c r="C542" t="s">
        <v>218</v>
      </c>
      <c r="D542" t="s">
        <v>56</v>
      </c>
      <c r="E542" t="s">
        <v>678</v>
      </c>
      <c r="F542" t="s">
        <v>20</v>
      </c>
      <c r="G542" t="s">
        <v>21</v>
      </c>
      <c r="H542" t="s">
        <v>22</v>
      </c>
      <c r="I542" t="s">
        <v>141</v>
      </c>
      <c r="J542" t="s">
        <v>50</v>
      </c>
      <c r="K542" s="3">
        <v>42500</v>
      </c>
      <c r="O542" s="4">
        <v>0</v>
      </c>
      <c r="P542" s="3">
        <v>0</v>
      </c>
    </row>
    <row r="543" spans="1:16" ht="15" customHeight="1" x14ac:dyDescent="0.3">
      <c r="A543">
        <v>2017</v>
      </c>
      <c r="B543" s="2">
        <v>42914</v>
      </c>
      <c r="C543" t="s">
        <v>218</v>
      </c>
      <c r="D543" t="s">
        <v>679</v>
      </c>
      <c r="E543" t="s">
        <v>680</v>
      </c>
      <c r="F543" t="s">
        <v>20</v>
      </c>
      <c r="G543" t="s">
        <v>107</v>
      </c>
      <c r="H543" t="s">
        <v>522</v>
      </c>
      <c r="I543" t="s">
        <v>141</v>
      </c>
      <c r="J543" t="s">
        <v>123</v>
      </c>
      <c r="K543" s="3">
        <v>34614.120000000003</v>
      </c>
      <c r="O543" s="4">
        <v>0</v>
      </c>
      <c r="P543" s="3">
        <v>0</v>
      </c>
    </row>
    <row r="544" spans="1:16" ht="15" customHeight="1" x14ac:dyDescent="0.3">
      <c r="A544">
        <v>2017</v>
      </c>
      <c r="B544" s="2">
        <v>42914</v>
      </c>
      <c r="C544" t="s">
        <v>218</v>
      </c>
      <c r="D544" t="s">
        <v>232</v>
      </c>
      <c r="E544" t="s">
        <v>681</v>
      </c>
      <c r="F544" t="s">
        <v>20</v>
      </c>
      <c r="G544" t="s">
        <v>21</v>
      </c>
      <c r="H544" t="s">
        <v>101</v>
      </c>
      <c r="I544" t="s">
        <v>141</v>
      </c>
      <c r="J544" t="s">
        <v>123</v>
      </c>
      <c r="K544" s="3">
        <v>13530.94</v>
      </c>
      <c r="O544" s="4">
        <v>0</v>
      </c>
      <c r="P544" s="3">
        <v>0</v>
      </c>
    </row>
    <row r="545" spans="1:16" ht="15" customHeight="1" x14ac:dyDescent="0.3">
      <c r="A545">
        <v>2017</v>
      </c>
      <c r="B545" s="2">
        <v>42919</v>
      </c>
      <c r="C545" t="s">
        <v>262</v>
      </c>
      <c r="D545" t="s">
        <v>36</v>
      </c>
      <c r="E545" t="s">
        <v>682</v>
      </c>
      <c r="F545" t="s">
        <v>20</v>
      </c>
      <c r="G545" t="s">
        <v>38</v>
      </c>
      <c r="H545" t="s">
        <v>39</v>
      </c>
      <c r="I545" t="s">
        <v>136</v>
      </c>
      <c r="J545" t="s">
        <v>50</v>
      </c>
      <c r="K545" s="3">
        <v>13378.25</v>
      </c>
      <c r="O545" s="4">
        <v>0</v>
      </c>
      <c r="P545" s="3">
        <v>0</v>
      </c>
    </row>
    <row r="546" spans="1:16" ht="15" customHeight="1" x14ac:dyDescent="0.3">
      <c r="A546">
        <v>2017</v>
      </c>
      <c r="B546" s="2">
        <v>42922</v>
      </c>
      <c r="C546" t="s">
        <v>262</v>
      </c>
      <c r="D546" t="s">
        <v>534</v>
      </c>
      <c r="E546" t="s">
        <v>683</v>
      </c>
      <c r="F546" t="s">
        <v>20</v>
      </c>
      <c r="G546" t="s">
        <v>21</v>
      </c>
      <c r="H546" t="s">
        <v>22</v>
      </c>
      <c r="I546" t="s">
        <v>23</v>
      </c>
      <c r="J546" t="s">
        <v>27</v>
      </c>
      <c r="K546" s="3">
        <v>1527.26</v>
      </c>
      <c r="O546" s="4">
        <v>0</v>
      </c>
      <c r="P546" s="3">
        <v>0</v>
      </c>
    </row>
    <row r="547" spans="1:16" ht="15" customHeight="1" x14ac:dyDescent="0.3">
      <c r="A547">
        <v>2017</v>
      </c>
      <c r="B547" s="2">
        <v>42922</v>
      </c>
      <c r="C547" t="s">
        <v>262</v>
      </c>
      <c r="D547" t="s">
        <v>85</v>
      </c>
      <c r="E547" t="s">
        <v>684</v>
      </c>
      <c r="F547" t="s">
        <v>20</v>
      </c>
      <c r="G547" t="s">
        <v>21</v>
      </c>
      <c r="H547" t="s">
        <v>22</v>
      </c>
      <c r="I547" t="s">
        <v>178</v>
      </c>
      <c r="J547" t="s">
        <v>50</v>
      </c>
      <c r="K547" s="3">
        <v>60481.7</v>
      </c>
      <c r="O547" s="4">
        <v>0</v>
      </c>
      <c r="P547" s="3">
        <v>0</v>
      </c>
    </row>
    <row r="548" spans="1:16" ht="15" customHeight="1" x14ac:dyDescent="0.3">
      <c r="A548">
        <v>2017</v>
      </c>
      <c r="B548" s="2">
        <v>42923</v>
      </c>
      <c r="C548" t="s">
        <v>262</v>
      </c>
      <c r="D548" t="s">
        <v>685</v>
      </c>
      <c r="E548" t="s">
        <v>608</v>
      </c>
      <c r="F548" t="s">
        <v>20</v>
      </c>
      <c r="G548" t="s">
        <v>38</v>
      </c>
      <c r="H548" t="s">
        <v>147</v>
      </c>
      <c r="I548" t="s">
        <v>334</v>
      </c>
      <c r="J548" t="s">
        <v>123</v>
      </c>
      <c r="K548" s="3">
        <v>353268.42</v>
      </c>
      <c r="O548" s="4">
        <v>0</v>
      </c>
      <c r="P548" s="3">
        <v>0</v>
      </c>
    </row>
    <row r="549" spans="1:16" ht="15" customHeight="1" x14ac:dyDescent="0.3">
      <c r="A549">
        <v>2017</v>
      </c>
      <c r="B549" s="2">
        <v>42924</v>
      </c>
      <c r="C549" t="s">
        <v>262</v>
      </c>
      <c r="D549" t="s">
        <v>577</v>
      </c>
      <c r="E549" t="s">
        <v>686</v>
      </c>
      <c r="F549" t="s">
        <v>20</v>
      </c>
      <c r="G549" t="s">
        <v>38</v>
      </c>
      <c r="H549" t="s">
        <v>89</v>
      </c>
      <c r="I549" t="s">
        <v>141</v>
      </c>
      <c r="J549" t="s">
        <v>123</v>
      </c>
      <c r="K549" s="3">
        <v>27891.66</v>
      </c>
      <c r="O549" s="4">
        <v>0</v>
      </c>
      <c r="P549" s="3">
        <v>0</v>
      </c>
    </row>
    <row r="550" spans="1:16" ht="15" customHeight="1" x14ac:dyDescent="0.3">
      <c r="A550">
        <v>2017</v>
      </c>
      <c r="B550" s="2">
        <v>42927</v>
      </c>
      <c r="C550" t="s">
        <v>262</v>
      </c>
      <c r="D550" t="s">
        <v>687</v>
      </c>
      <c r="E550" t="s">
        <v>688</v>
      </c>
      <c r="F550" t="s">
        <v>20</v>
      </c>
      <c r="G550" t="s">
        <v>21</v>
      </c>
      <c r="H550" t="s">
        <v>22</v>
      </c>
      <c r="I550" t="s">
        <v>178</v>
      </c>
      <c r="J550" t="s">
        <v>123</v>
      </c>
      <c r="K550" s="3">
        <v>118204.33</v>
      </c>
      <c r="O550" s="4">
        <v>0</v>
      </c>
      <c r="P550" s="3">
        <v>0</v>
      </c>
    </row>
    <row r="551" spans="1:16" ht="15" customHeight="1" x14ac:dyDescent="0.3">
      <c r="A551">
        <v>2017</v>
      </c>
      <c r="B551" s="2">
        <v>42933</v>
      </c>
      <c r="C551" t="s">
        <v>262</v>
      </c>
      <c r="D551" t="s">
        <v>534</v>
      </c>
      <c r="E551" t="s">
        <v>689</v>
      </c>
      <c r="F551" t="s">
        <v>20</v>
      </c>
      <c r="G551" t="s">
        <v>21</v>
      </c>
      <c r="H551" t="s">
        <v>22</v>
      </c>
      <c r="I551" t="s">
        <v>23</v>
      </c>
      <c r="J551" t="s">
        <v>27</v>
      </c>
      <c r="K551" s="3">
        <v>845</v>
      </c>
      <c r="O551" s="4">
        <v>0</v>
      </c>
      <c r="P551" s="3">
        <v>0</v>
      </c>
    </row>
    <row r="552" spans="1:16" ht="15" customHeight="1" x14ac:dyDescent="0.3">
      <c r="A552">
        <v>2017</v>
      </c>
      <c r="B552" s="2">
        <v>42936</v>
      </c>
      <c r="C552" t="s">
        <v>262</v>
      </c>
      <c r="D552" t="s">
        <v>690</v>
      </c>
      <c r="E552" t="s">
        <v>691</v>
      </c>
      <c r="F552" t="s">
        <v>20</v>
      </c>
      <c r="G552" t="s">
        <v>38</v>
      </c>
      <c r="H552" t="s">
        <v>89</v>
      </c>
      <c r="I552" t="s">
        <v>23</v>
      </c>
      <c r="J552" t="s">
        <v>27</v>
      </c>
      <c r="K552" s="3">
        <v>850</v>
      </c>
      <c r="O552" s="4">
        <v>0</v>
      </c>
      <c r="P552" s="3">
        <v>0</v>
      </c>
    </row>
    <row r="553" spans="1:16" ht="15" customHeight="1" x14ac:dyDescent="0.3">
      <c r="A553">
        <v>2017</v>
      </c>
      <c r="B553" s="2">
        <v>42938</v>
      </c>
      <c r="C553" t="s">
        <v>262</v>
      </c>
      <c r="D553" t="s">
        <v>604</v>
      </c>
      <c r="E553" t="s">
        <v>692</v>
      </c>
      <c r="F553" t="s">
        <v>20</v>
      </c>
      <c r="G553" t="s">
        <v>38</v>
      </c>
      <c r="H553" t="s">
        <v>89</v>
      </c>
      <c r="I553" t="s">
        <v>334</v>
      </c>
      <c r="J553" t="s">
        <v>123</v>
      </c>
      <c r="K553" s="3">
        <v>232854.32</v>
      </c>
      <c r="O553" s="4">
        <v>0</v>
      </c>
      <c r="P553" s="3">
        <v>0</v>
      </c>
    </row>
    <row r="554" spans="1:16" ht="15" customHeight="1" x14ac:dyDescent="0.3">
      <c r="A554">
        <v>2017</v>
      </c>
      <c r="B554" s="2">
        <v>42938</v>
      </c>
      <c r="C554" t="s">
        <v>262</v>
      </c>
      <c r="D554" t="s">
        <v>693</v>
      </c>
      <c r="E554" t="s">
        <v>694</v>
      </c>
      <c r="F554" t="s">
        <v>20</v>
      </c>
      <c r="G554" t="s">
        <v>21</v>
      </c>
      <c r="H554" t="s">
        <v>22</v>
      </c>
      <c r="I554" t="s">
        <v>306</v>
      </c>
      <c r="J554" t="s">
        <v>110</v>
      </c>
      <c r="K554" s="3">
        <v>13976.55</v>
      </c>
      <c r="O554" s="4">
        <v>0</v>
      </c>
      <c r="P554" s="3">
        <v>0</v>
      </c>
    </row>
    <row r="555" spans="1:16" ht="15" customHeight="1" x14ac:dyDescent="0.3">
      <c r="A555">
        <v>2017</v>
      </c>
      <c r="B555" s="2">
        <v>42940</v>
      </c>
      <c r="C555" t="s">
        <v>262</v>
      </c>
      <c r="D555" t="s">
        <v>617</v>
      </c>
      <c r="E555" t="s">
        <v>695</v>
      </c>
      <c r="F555" t="s">
        <v>20</v>
      </c>
      <c r="G555" t="s">
        <v>38</v>
      </c>
      <c r="H555" t="s">
        <v>619</v>
      </c>
      <c r="I555" t="s">
        <v>334</v>
      </c>
      <c r="J555" t="s">
        <v>123</v>
      </c>
      <c r="K555" s="3">
        <v>49130.64</v>
      </c>
      <c r="O555" s="4">
        <v>0</v>
      </c>
      <c r="P555" s="3">
        <v>0</v>
      </c>
    </row>
    <row r="556" spans="1:16" ht="15" customHeight="1" x14ac:dyDescent="0.3">
      <c r="A556">
        <v>2017</v>
      </c>
      <c r="B556" s="2">
        <v>42942</v>
      </c>
      <c r="C556" t="s">
        <v>262</v>
      </c>
      <c r="D556" t="s">
        <v>601</v>
      </c>
      <c r="E556" t="s">
        <v>696</v>
      </c>
      <c r="F556" t="s">
        <v>20</v>
      </c>
      <c r="G556" t="s">
        <v>107</v>
      </c>
      <c r="H556" t="s">
        <v>603</v>
      </c>
      <c r="I556" t="s">
        <v>334</v>
      </c>
      <c r="J556" t="s">
        <v>123</v>
      </c>
      <c r="K556" s="3">
        <v>106937.04</v>
      </c>
      <c r="O556" s="4">
        <v>0</v>
      </c>
      <c r="P556" s="3">
        <v>0</v>
      </c>
    </row>
    <row r="557" spans="1:16" ht="15" customHeight="1" x14ac:dyDescent="0.3">
      <c r="A557">
        <v>2017</v>
      </c>
      <c r="B557" s="2">
        <v>42947</v>
      </c>
      <c r="C557" t="s">
        <v>262</v>
      </c>
      <c r="D557" t="s">
        <v>36</v>
      </c>
      <c r="E557" t="s">
        <v>443</v>
      </c>
      <c r="F557" t="s">
        <v>20</v>
      </c>
      <c r="G557" t="s">
        <v>38</v>
      </c>
      <c r="H557" t="s">
        <v>89</v>
      </c>
      <c r="I557" t="s">
        <v>136</v>
      </c>
      <c r="J557" t="s">
        <v>50</v>
      </c>
      <c r="K557" s="3">
        <v>404487.38</v>
      </c>
      <c r="O557" s="4">
        <v>0</v>
      </c>
      <c r="P557" s="3">
        <v>0</v>
      </c>
    </row>
    <row r="558" spans="1:16" ht="15" customHeight="1" x14ac:dyDescent="0.3">
      <c r="A558">
        <v>2017</v>
      </c>
      <c r="B558" s="2">
        <v>42948</v>
      </c>
      <c r="C558" t="s">
        <v>291</v>
      </c>
      <c r="D558" t="s">
        <v>601</v>
      </c>
      <c r="E558" t="s">
        <v>696</v>
      </c>
      <c r="F558" t="s">
        <v>20</v>
      </c>
      <c r="G558" t="s">
        <v>107</v>
      </c>
      <c r="H558" t="s">
        <v>603</v>
      </c>
      <c r="I558" t="s">
        <v>141</v>
      </c>
      <c r="J558" t="s">
        <v>123</v>
      </c>
      <c r="K558" s="3">
        <v>202147.9</v>
      </c>
      <c r="O558" s="4">
        <v>0</v>
      </c>
      <c r="P558" s="3">
        <v>0</v>
      </c>
    </row>
    <row r="559" spans="1:16" ht="15" customHeight="1" x14ac:dyDescent="0.3">
      <c r="A559">
        <v>2017</v>
      </c>
      <c r="B559" s="2">
        <v>42957</v>
      </c>
      <c r="C559" t="s">
        <v>291</v>
      </c>
      <c r="D559" t="s">
        <v>45</v>
      </c>
      <c r="E559" t="s">
        <v>694</v>
      </c>
      <c r="F559" t="s">
        <v>20</v>
      </c>
      <c r="G559" t="s">
        <v>38</v>
      </c>
      <c r="H559" t="s">
        <v>39</v>
      </c>
      <c r="I559" t="s">
        <v>136</v>
      </c>
      <c r="J559" t="s">
        <v>123</v>
      </c>
      <c r="K559" s="3">
        <v>10949.33</v>
      </c>
      <c r="O559" s="4">
        <v>0</v>
      </c>
      <c r="P559" s="3">
        <v>0</v>
      </c>
    </row>
    <row r="560" spans="1:16" ht="15" customHeight="1" x14ac:dyDescent="0.3">
      <c r="A560">
        <v>2017</v>
      </c>
      <c r="B560" s="2">
        <v>42961</v>
      </c>
      <c r="C560" t="s">
        <v>291</v>
      </c>
      <c r="D560" t="s">
        <v>36</v>
      </c>
      <c r="E560" t="s">
        <v>697</v>
      </c>
      <c r="F560" t="s">
        <v>20</v>
      </c>
      <c r="G560" t="s">
        <v>38</v>
      </c>
      <c r="H560" t="s">
        <v>89</v>
      </c>
      <c r="I560" t="s">
        <v>136</v>
      </c>
      <c r="J560" t="s">
        <v>50</v>
      </c>
      <c r="K560" s="3">
        <v>45500</v>
      </c>
      <c r="O560" s="4">
        <v>0</v>
      </c>
      <c r="P560" s="3">
        <v>0</v>
      </c>
    </row>
    <row r="561" spans="1:16" ht="15" customHeight="1" x14ac:dyDescent="0.3">
      <c r="A561">
        <v>2017</v>
      </c>
      <c r="B561" s="2">
        <v>42965</v>
      </c>
      <c r="C561" t="s">
        <v>291</v>
      </c>
      <c r="D561" t="s">
        <v>690</v>
      </c>
      <c r="E561" t="s">
        <v>698</v>
      </c>
      <c r="F561" t="s">
        <v>20</v>
      </c>
      <c r="G561" t="s">
        <v>38</v>
      </c>
      <c r="H561" t="s">
        <v>89</v>
      </c>
      <c r="I561" t="s">
        <v>23</v>
      </c>
      <c r="J561" t="s">
        <v>27</v>
      </c>
      <c r="K561" s="3">
        <v>1639.3</v>
      </c>
      <c r="O561" s="4">
        <v>0</v>
      </c>
      <c r="P561" s="3">
        <v>0</v>
      </c>
    </row>
    <row r="562" spans="1:16" ht="15" customHeight="1" x14ac:dyDescent="0.3">
      <c r="A562">
        <v>2017</v>
      </c>
      <c r="B562" s="2">
        <v>42971</v>
      </c>
      <c r="C562" t="s">
        <v>291</v>
      </c>
      <c r="D562" t="s">
        <v>85</v>
      </c>
      <c r="E562" t="s">
        <v>694</v>
      </c>
      <c r="F562" t="s">
        <v>20</v>
      </c>
      <c r="G562" t="s">
        <v>107</v>
      </c>
      <c r="H562" t="s">
        <v>108</v>
      </c>
      <c r="I562" t="s">
        <v>178</v>
      </c>
      <c r="J562" t="s">
        <v>110</v>
      </c>
      <c r="K562" s="3">
        <v>12770.71</v>
      </c>
      <c r="O562" s="4">
        <v>0</v>
      </c>
      <c r="P562" s="3">
        <v>0</v>
      </c>
    </row>
    <row r="563" spans="1:16" ht="15" customHeight="1" x14ac:dyDescent="0.3">
      <c r="A563">
        <v>2017</v>
      </c>
      <c r="B563" s="2">
        <v>42971</v>
      </c>
      <c r="C563" t="s">
        <v>291</v>
      </c>
      <c r="D563" t="s">
        <v>85</v>
      </c>
      <c r="E563" t="s">
        <v>699</v>
      </c>
      <c r="F563" t="s">
        <v>20</v>
      </c>
      <c r="G563" t="s">
        <v>107</v>
      </c>
      <c r="H563" t="s">
        <v>108</v>
      </c>
      <c r="I563" t="s">
        <v>23</v>
      </c>
      <c r="J563" t="s">
        <v>27</v>
      </c>
      <c r="K563" s="3">
        <v>3760</v>
      </c>
      <c r="O563" s="4">
        <v>0</v>
      </c>
      <c r="P563" s="3">
        <v>0</v>
      </c>
    </row>
    <row r="564" spans="1:16" ht="15" customHeight="1" x14ac:dyDescent="0.3">
      <c r="A564">
        <v>2017</v>
      </c>
      <c r="B564" s="2">
        <v>42982</v>
      </c>
      <c r="C564" t="s">
        <v>325</v>
      </c>
      <c r="D564" t="s">
        <v>700</v>
      </c>
      <c r="E564" t="s">
        <v>701</v>
      </c>
      <c r="F564" t="s">
        <v>20</v>
      </c>
      <c r="G564" t="s">
        <v>107</v>
      </c>
      <c r="H564" t="s">
        <v>108</v>
      </c>
      <c r="I564" t="s">
        <v>136</v>
      </c>
      <c r="J564" t="s">
        <v>110</v>
      </c>
      <c r="K564" s="3">
        <v>15439.04</v>
      </c>
      <c r="O564" s="4">
        <v>0</v>
      </c>
      <c r="P564" s="3">
        <v>0</v>
      </c>
    </row>
    <row r="565" spans="1:16" ht="15" customHeight="1" x14ac:dyDescent="0.3">
      <c r="A565">
        <v>2017</v>
      </c>
      <c r="B565" s="2">
        <v>42986</v>
      </c>
      <c r="C565" t="s">
        <v>325</v>
      </c>
      <c r="D565" t="s">
        <v>61</v>
      </c>
      <c r="E565" t="s">
        <v>542</v>
      </c>
      <c r="F565" t="s">
        <v>20</v>
      </c>
      <c r="G565" t="s">
        <v>21</v>
      </c>
      <c r="H565" t="s">
        <v>22</v>
      </c>
      <c r="I565" t="s">
        <v>136</v>
      </c>
      <c r="J565" t="s">
        <v>123</v>
      </c>
      <c r="K565" s="3">
        <v>100795</v>
      </c>
      <c r="O565" s="4">
        <v>0</v>
      </c>
      <c r="P565" s="3">
        <v>0</v>
      </c>
    </row>
    <row r="566" spans="1:16" ht="15" customHeight="1" x14ac:dyDescent="0.3">
      <c r="A566">
        <v>2017</v>
      </c>
      <c r="B566" s="2">
        <v>42993</v>
      </c>
      <c r="C566" t="s">
        <v>325</v>
      </c>
      <c r="D566" t="s">
        <v>36</v>
      </c>
      <c r="E566" t="s">
        <v>702</v>
      </c>
      <c r="F566" t="s">
        <v>20</v>
      </c>
      <c r="G566" t="s">
        <v>38</v>
      </c>
      <c r="H566" t="s">
        <v>89</v>
      </c>
      <c r="I566" t="s">
        <v>136</v>
      </c>
      <c r="J566" t="s">
        <v>50</v>
      </c>
      <c r="K566" s="3">
        <v>24247.3</v>
      </c>
      <c r="O566" s="4">
        <v>0</v>
      </c>
      <c r="P566" s="3">
        <v>0</v>
      </c>
    </row>
    <row r="567" spans="1:16" ht="15" customHeight="1" x14ac:dyDescent="0.3">
      <c r="A567">
        <v>2017</v>
      </c>
      <c r="B567" s="2">
        <v>42999</v>
      </c>
      <c r="C567" t="s">
        <v>325</v>
      </c>
      <c r="D567" t="s">
        <v>188</v>
      </c>
      <c r="E567" t="s">
        <v>692</v>
      </c>
      <c r="F567" t="s">
        <v>20</v>
      </c>
      <c r="G567" t="s">
        <v>38</v>
      </c>
      <c r="H567" t="s">
        <v>39</v>
      </c>
      <c r="I567" t="s">
        <v>178</v>
      </c>
      <c r="J567" t="s">
        <v>123</v>
      </c>
      <c r="K567" s="3">
        <v>247753.43</v>
      </c>
      <c r="O567" s="4">
        <v>0</v>
      </c>
      <c r="P567" s="3">
        <v>0</v>
      </c>
    </row>
    <row r="568" spans="1:16" ht="15" customHeight="1" x14ac:dyDescent="0.3">
      <c r="A568">
        <v>2017</v>
      </c>
      <c r="B568" s="2">
        <v>42999</v>
      </c>
      <c r="C568" t="s">
        <v>325</v>
      </c>
      <c r="D568" t="s">
        <v>188</v>
      </c>
      <c r="E568" t="s">
        <v>703</v>
      </c>
      <c r="F568" t="s">
        <v>20</v>
      </c>
      <c r="G568" t="s">
        <v>38</v>
      </c>
      <c r="H568" t="s">
        <v>39</v>
      </c>
      <c r="I568" t="s">
        <v>178</v>
      </c>
      <c r="J568" t="s">
        <v>123</v>
      </c>
      <c r="K568" s="3">
        <v>158350.74</v>
      </c>
      <c r="O568" s="4">
        <v>0</v>
      </c>
      <c r="P568" s="3">
        <v>0</v>
      </c>
    </row>
    <row r="569" spans="1:16" ht="15" customHeight="1" x14ac:dyDescent="0.3">
      <c r="A569">
        <v>2017</v>
      </c>
      <c r="B569" s="2">
        <v>43000</v>
      </c>
      <c r="C569" t="s">
        <v>325</v>
      </c>
      <c r="D569" t="s">
        <v>675</v>
      </c>
      <c r="E569" t="s">
        <v>704</v>
      </c>
      <c r="F569" t="s">
        <v>20</v>
      </c>
      <c r="G569" t="s">
        <v>38</v>
      </c>
      <c r="H569" t="s">
        <v>147</v>
      </c>
      <c r="I569" t="s">
        <v>23</v>
      </c>
      <c r="J569" t="s">
        <v>27</v>
      </c>
      <c r="K569" s="3">
        <v>9422.17</v>
      </c>
      <c r="O569" s="4">
        <v>0</v>
      </c>
      <c r="P569" s="3">
        <v>0</v>
      </c>
    </row>
    <row r="570" spans="1:16" ht="15" customHeight="1" x14ac:dyDescent="0.3">
      <c r="A570">
        <v>2017</v>
      </c>
      <c r="B570" s="2">
        <v>43003</v>
      </c>
      <c r="C570" t="s">
        <v>325</v>
      </c>
      <c r="D570" t="s">
        <v>30</v>
      </c>
      <c r="E570" t="s">
        <v>263</v>
      </c>
      <c r="F570" t="s">
        <v>20</v>
      </c>
      <c r="G570" t="s">
        <v>21</v>
      </c>
      <c r="H570" t="s">
        <v>22</v>
      </c>
      <c r="I570" t="s">
        <v>136</v>
      </c>
      <c r="J570" t="s">
        <v>50</v>
      </c>
      <c r="K570" s="3">
        <v>64572.03</v>
      </c>
      <c r="O570" s="4">
        <v>0</v>
      </c>
      <c r="P570" s="3">
        <v>0</v>
      </c>
    </row>
    <row r="571" spans="1:16" ht="15" customHeight="1" x14ac:dyDescent="0.3">
      <c r="A571">
        <v>2017</v>
      </c>
      <c r="B571" s="2">
        <v>43003</v>
      </c>
      <c r="C571" t="s">
        <v>325</v>
      </c>
      <c r="D571" t="s">
        <v>85</v>
      </c>
      <c r="E571" t="s">
        <v>705</v>
      </c>
      <c r="F571" t="s">
        <v>20</v>
      </c>
      <c r="G571" t="s">
        <v>107</v>
      </c>
      <c r="H571" t="s">
        <v>108</v>
      </c>
      <c r="I571" t="s">
        <v>23</v>
      </c>
      <c r="J571" t="s">
        <v>27</v>
      </c>
      <c r="K571" s="3">
        <v>1800</v>
      </c>
      <c r="O571" s="4">
        <v>0</v>
      </c>
      <c r="P571" s="3">
        <v>0</v>
      </c>
    </row>
    <row r="572" spans="1:16" ht="15" customHeight="1" x14ac:dyDescent="0.3">
      <c r="A572">
        <v>2017</v>
      </c>
      <c r="B572" s="2">
        <v>43007</v>
      </c>
      <c r="C572" t="s">
        <v>325</v>
      </c>
      <c r="D572" t="s">
        <v>53</v>
      </c>
      <c r="E572" t="s">
        <v>653</v>
      </c>
      <c r="F572" t="s">
        <v>20</v>
      </c>
      <c r="G572" t="s">
        <v>21</v>
      </c>
      <c r="H572" t="s">
        <v>22</v>
      </c>
      <c r="I572" t="s">
        <v>23</v>
      </c>
      <c r="J572" t="s">
        <v>27</v>
      </c>
      <c r="K572" s="3">
        <v>525</v>
      </c>
      <c r="O572" s="4">
        <v>0</v>
      </c>
      <c r="P572" s="3">
        <v>0</v>
      </c>
    </row>
    <row r="573" spans="1:16" ht="15" customHeight="1" x14ac:dyDescent="0.3">
      <c r="A573">
        <v>2017</v>
      </c>
      <c r="B573" s="2">
        <v>43007</v>
      </c>
      <c r="C573" t="s">
        <v>325</v>
      </c>
      <c r="D573" t="s">
        <v>604</v>
      </c>
      <c r="E573" t="s">
        <v>706</v>
      </c>
      <c r="F573" t="s">
        <v>20</v>
      </c>
      <c r="G573" t="s">
        <v>38</v>
      </c>
      <c r="H573" t="s">
        <v>89</v>
      </c>
      <c r="I573" t="s">
        <v>23</v>
      </c>
      <c r="J573" t="s">
        <v>27</v>
      </c>
      <c r="K573" s="3">
        <v>3630</v>
      </c>
      <c r="O573" s="4">
        <v>0</v>
      </c>
      <c r="P573" s="3">
        <v>0</v>
      </c>
    </row>
    <row r="574" spans="1:16" ht="15" customHeight="1" x14ac:dyDescent="0.3">
      <c r="A574">
        <v>2017</v>
      </c>
      <c r="B574" s="2">
        <v>43009</v>
      </c>
      <c r="C574" t="s">
        <v>357</v>
      </c>
      <c r="D574" t="s">
        <v>566</v>
      </c>
      <c r="E574" t="s">
        <v>707</v>
      </c>
      <c r="F574" t="s">
        <v>20</v>
      </c>
      <c r="G574" t="s">
        <v>38</v>
      </c>
      <c r="H574" t="s">
        <v>89</v>
      </c>
      <c r="I574" t="s">
        <v>23</v>
      </c>
      <c r="J574" t="s">
        <v>27</v>
      </c>
      <c r="K574" s="3">
        <v>1800</v>
      </c>
      <c r="O574" s="4">
        <v>0</v>
      </c>
      <c r="P574" s="3">
        <v>0</v>
      </c>
    </row>
    <row r="575" spans="1:16" ht="15" customHeight="1" x14ac:dyDescent="0.3">
      <c r="A575">
        <v>2017</v>
      </c>
      <c r="B575" s="2">
        <v>43010</v>
      </c>
      <c r="C575" t="s">
        <v>357</v>
      </c>
      <c r="D575" t="s">
        <v>47</v>
      </c>
      <c r="E575" t="s">
        <v>344</v>
      </c>
      <c r="F575" t="s">
        <v>20</v>
      </c>
      <c r="G575" t="s">
        <v>38</v>
      </c>
      <c r="H575" t="s">
        <v>39</v>
      </c>
      <c r="I575" t="s">
        <v>23</v>
      </c>
      <c r="J575" t="s">
        <v>27</v>
      </c>
      <c r="K575" s="3">
        <v>4214.8</v>
      </c>
      <c r="O575" s="4">
        <v>0</v>
      </c>
      <c r="P575" s="3">
        <v>0</v>
      </c>
    </row>
    <row r="576" spans="1:16" ht="15" customHeight="1" x14ac:dyDescent="0.3">
      <c r="A576">
        <v>2017</v>
      </c>
      <c r="B576" s="2">
        <v>43010</v>
      </c>
      <c r="C576" t="s">
        <v>357</v>
      </c>
      <c r="D576" t="s">
        <v>69</v>
      </c>
      <c r="E576" t="s">
        <v>708</v>
      </c>
      <c r="F576" t="s">
        <v>20</v>
      </c>
      <c r="G576" t="s">
        <v>38</v>
      </c>
      <c r="H576" t="s">
        <v>147</v>
      </c>
      <c r="I576" t="s">
        <v>334</v>
      </c>
      <c r="J576" t="s">
        <v>50</v>
      </c>
      <c r="K576" s="3">
        <v>2037308.05</v>
      </c>
      <c r="O576" s="4">
        <v>0</v>
      </c>
      <c r="P576" s="3">
        <v>0</v>
      </c>
    </row>
    <row r="577" spans="1:16" ht="15" customHeight="1" x14ac:dyDescent="0.3">
      <c r="A577">
        <v>2017</v>
      </c>
      <c r="B577" s="2">
        <v>43012</v>
      </c>
      <c r="C577" t="s">
        <v>357</v>
      </c>
      <c r="D577" t="s">
        <v>47</v>
      </c>
      <c r="E577" t="s">
        <v>709</v>
      </c>
      <c r="F577" t="s">
        <v>20</v>
      </c>
      <c r="G577" t="s">
        <v>38</v>
      </c>
      <c r="H577" t="s">
        <v>39</v>
      </c>
      <c r="I577" t="s">
        <v>49</v>
      </c>
      <c r="J577" t="s">
        <v>110</v>
      </c>
      <c r="K577" s="3">
        <v>14400.82</v>
      </c>
      <c r="O577" s="4">
        <v>0</v>
      </c>
      <c r="P577" s="3">
        <v>0</v>
      </c>
    </row>
    <row r="578" spans="1:16" ht="15" customHeight="1" x14ac:dyDescent="0.3">
      <c r="A578">
        <v>2017</v>
      </c>
      <c r="B578" s="2">
        <v>43012</v>
      </c>
      <c r="C578" t="s">
        <v>357</v>
      </c>
      <c r="D578" t="s">
        <v>124</v>
      </c>
      <c r="E578" t="s">
        <v>710</v>
      </c>
      <c r="F578" t="s">
        <v>20</v>
      </c>
      <c r="G578" t="s">
        <v>21</v>
      </c>
      <c r="H578" t="s">
        <v>101</v>
      </c>
      <c r="I578" t="s">
        <v>136</v>
      </c>
      <c r="J578" t="s">
        <v>123</v>
      </c>
      <c r="K578" s="3">
        <v>9949.68</v>
      </c>
      <c r="O578" s="4">
        <v>0</v>
      </c>
      <c r="P578" s="3">
        <v>0</v>
      </c>
    </row>
    <row r="579" spans="1:16" ht="15" customHeight="1" x14ac:dyDescent="0.3">
      <c r="A579">
        <v>2017</v>
      </c>
      <c r="B579" s="2">
        <v>43012</v>
      </c>
      <c r="C579" t="s">
        <v>357</v>
      </c>
      <c r="D579" t="s">
        <v>36</v>
      </c>
      <c r="E579" t="s">
        <v>711</v>
      </c>
      <c r="F579" t="s">
        <v>20</v>
      </c>
      <c r="G579" t="s">
        <v>38</v>
      </c>
      <c r="H579" t="s">
        <v>89</v>
      </c>
      <c r="I579" t="s">
        <v>141</v>
      </c>
      <c r="J579" t="s">
        <v>110</v>
      </c>
      <c r="K579" s="3">
        <v>152812.64000000001</v>
      </c>
      <c r="O579" s="4">
        <v>0</v>
      </c>
      <c r="P579" s="3">
        <v>0</v>
      </c>
    </row>
    <row r="580" spans="1:16" ht="15" customHeight="1" x14ac:dyDescent="0.3">
      <c r="A580">
        <v>2017</v>
      </c>
      <c r="B580" s="2">
        <v>43014</v>
      </c>
      <c r="C580" t="s">
        <v>357</v>
      </c>
      <c r="D580" t="s">
        <v>205</v>
      </c>
      <c r="E580" t="s">
        <v>712</v>
      </c>
      <c r="F580" t="s">
        <v>20</v>
      </c>
      <c r="G580" t="s">
        <v>21</v>
      </c>
      <c r="H580" t="s">
        <v>22</v>
      </c>
      <c r="I580" t="s">
        <v>136</v>
      </c>
      <c r="J580" t="s">
        <v>123</v>
      </c>
      <c r="K580" s="3">
        <v>82810.73</v>
      </c>
      <c r="O580" s="4">
        <v>0</v>
      </c>
      <c r="P580" s="3">
        <v>0</v>
      </c>
    </row>
    <row r="581" spans="1:16" ht="15" customHeight="1" x14ac:dyDescent="0.3">
      <c r="A581">
        <v>2017</v>
      </c>
      <c r="B581" s="2">
        <v>43018</v>
      </c>
      <c r="C581" t="s">
        <v>357</v>
      </c>
      <c r="D581" t="s">
        <v>47</v>
      </c>
      <c r="E581" t="s">
        <v>709</v>
      </c>
      <c r="F581" t="s">
        <v>20</v>
      </c>
      <c r="G581" t="s">
        <v>38</v>
      </c>
      <c r="H581" t="s">
        <v>39</v>
      </c>
      <c r="I581" t="s">
        <v>23</v>
      </c>
      <c r="J581" t="s">
        <v>27</v>
      </c>
      <c r="K581" s="3">
        <v>9650</v>
      </c>
      <c r="O581" s="4">
        <v>0</v>
      </c>
      <c r="P581" s="3">
        <v>0</v>
      </c>
    </row>
    <row r="582" spans="1:16" ht="15" customHeight="1" x14ac:dyDescent="0.3">
      <c r="A582">
        <v>2017</v>
      </c>
      <c r="B582" s="2">
        <v>43018</v>
      </c>
      <c r="C582" t="s">
        <v>357</v>
      </c>
      <c r="D582" t="s">
        <v>205</v>
      </c>
      <c r="E582" t="s">
        <v>713</v>
      </c>
      <c r="F582" t="s">
        <v>20</v>
      </c>
      <c r="G582" t="s">
        <v>21</v>
      </c>
      <c r="H582" t="s">
        <v>22</v>
      </c>
      <c r="I582" t="s">
        <v>136</v>
      </c>
      <c r="J582" t="s">
        <v>123</v>
      </c>
      <c r="K582" s="3">
        <v>12189.27</v>
      </c>
      <c r="O582" s="4">
        <v>0</v>
      </c>
      <c r="P582" s="3">
        <v>0</v>
      </c>
    </row>
    <row r="583" spans="1:16" ht="15" customHeight="1" x14ac:dyDescent="0.3">
      <c r="A583">
        <v>2017</v>
      </c>
      <c r="B583" s="2">
        <v>43018</v>
      </c>
      <c r="C583" t="s">
        <v>357</v>
      </c>
      <c r="D583" t="s">
        <v>292</v>
      </c>
      <c r="E583" t="s">
        <v>714</v>
      </c>
      <c r="F583" t="s">
        <v>20</v>
      </c>
      <c r="G583" t="s">
        <v>21</v>
      </c>
      <c r="H583" t="s">
        <v>22</v>
      </c>
      <c r="I583" t="s">
        <v>141</v>
      </c>
      <c r="J583" t="s">
        <v>123</v>
      </c>
      <c r="K583" s="3">
        <v>120000</v>
      </c>
      <c r="O583" s="4">
        <v>0</v>
      </c>
      <c r="P583" s="3">
        <v>0</v>
      </c>
    </row>
    <row r="584" spans="1:16" ht="15" customHeight="1" x14ac:dyDescent="0.3">
      <c r="A584">
        <v>2017</v>
      </c>
      <c r="B584" s="2">
        <v>43019</v>
      </c>
      <c r="C584" t="s">
        <v>357</v>
      </c>
      <c r="D584" t="s">
        <v>485</v>
      </c>
      <c r="E584" t="s">
        <v>715</v>
      </c>
      <c r="F584" t="s">
        <v>20</v>
      </c>
      <c r="G584" t="s">
        <v>38</v>
      </c>
      <c r="H584" t="s">
        <v>39</v>
      </c>
      <c r="I584" t="s">
        <v>23</v>
      </c>
      <c r="J584" t="s">
        <v>27</v>
      </c>
      <c r="K584" s="3">
        <v>365.2</v>
      </c>
      <c r="O584" s="4">
        <v>0</v>
      </c>
      <c r="P584" s="3">
        <v>0</v>
      </c>
    </row>
    <row r="585" spans="1:16" ht="15" customHeight="1" x14ac:dyDescent="0.3">
      <c r="A585">
        <v>2017</v>
      </c>
      <c r="B585" s="2">
        <v>43020</v>
      </c>
      <c r="C585" t="s">
        <v>357</v>
      </c>
      <c r="D585" t="s">
        <v>675</v>
      </c>
      <c r="E585" t="s">
        <v>694</v>
      </c>
      <c r="F585" t="s">
        <v>20</v>
      </c>
      <c r="G585" t="s">
        <v>38</v>
      </c>
      <c r="H585" t="s">
        <v>147</v>
      </c>
      <c r="I585" t="s">
        <v>23</v>
      </c>
      <c r="J585" t="s">
        <v>27</v>
      </c>
      <c r="K585" s="3">
        <v>8910</v>
      </c>
      <c r="O585" s="4">
        <v>0</v>
      </c>
      <c r="P585" s="3">
        <v>0</v>
      </c>
    </row>
    <row r="586" spans="1:16" ht="15" customHeight="1" x14ac:dyDescent="0.3">
      <c r="A586">
        <v>2017</v>
      </c>
      <c r="B586" s="2">
        <v>43021</v>
      </c>
      <c r="C586" t="s">
        <v>357</v>
      </c>
      <c r="D586" t="s">
        <v>531</v>
      </c>
      <c r="E586" t="s">
        <v>716</v>
      </c>
      <c r="F586" t="s">
        <v>20</v>
      </c>
      <c r="G586" t="s">
        <v>38</v>
      </c>
      <c r="H586" t="s">
        <v>39</v>
      </c>
      <c r="I586" t="s">
        <v>49</v>
      </c>
      <c r="J586" t="s">
        <v>50</v>
      </c>
      <c r="K586" s="3">
        <v>488969.15</v>
      </c>
      <c r="O586" s="4">
        <v>0</v>
      </c>
      <c r="P586" s="3">
        <v>0</v>
      </c>
    </row>
    <row r="587" spans="1:16" ht="15" customHeight="1" x14ac:dyDescent="0.3">
      <c r="A587">
        <v>2017</v>
      </c>
      <c r="B587" s="2">
        <v>43028</v>
      </c>
      <c r="C587" t="s">
        <v>357</v>
      </c>
      <c r="D587" t="s">
        <v>485</v>
      </c>
      <c r="E587" t="s">
        <v>717</v>
      </c>
      <c r="F587" t="s">
        <v>20</v>
      </c>
      <c r="G587" t="s">
        <v>38</v>
      </c>
      <c r="H587" t="s">
        <v>39</v>
      </c>
      <c r="I587" t="s">
        <v>23</v>
      </c>
      <c r="J587" t="s">
        <v>110</v>
      </c>
      <c r="K587" s="3">
        <v>12995.57</v>
      </c>
      <c r="O587" s="4">
        <v>0</v>
      </c>
      <c r="P587" s="3">
        <v>0</v>
      </c>
    </row>
    <row r="588" spans="1:16" ht="15" customHeight="1" x14ac:dyDescent="0.3">
      <c r="A588">
        <v>2017</v>
      </c>
      <c r="B588" s="2">
        <v>43033</v>
      </c>
      <c r="C588" t="s">
        <v>357</v>
      </c>
      <c r="D588" t="s">
        <v>61</v>
      </c>
      <c r="E588" t="s">
        <v>718</v>
      </c>
      <c r="F588" t="s">
        <v>20</v>
      </c>
      <c r="G588" t="s">
        <v>21</v>
      </c>
      <c r="H588" t="s">
        <v>22</v>
      </c>
      <c r="I588" t="s">
        <v>23</v>
      </c>
      <c r="J588" t="s">
        <v>27</v>
      </c>
      <c r="K588" s="3">
        <v>2932.67</v>
      </c>
      <c r="O588" s="4">
        <v>0</v>
      </c>
      <c r="P588" s="3">
        <v>0</v>
      </c>
    </row>
    <row r="589" spans="1:16" ht="15" customHeight="1" x14ac:dyDescent="0.3">
      <c r="A589">
        <v>2017</v>
      </c>
      <c r="B589" s="2">
        <v>43033</v>
      </c>
      <c r="C589" t="s">
        <v>357</v>
      </c>
      <c r="D589" t="s">
        <v>719</v>
      </c>
      <c r="E589" t="s">
        <v>720</v>
      </c>
      <c r="F589" t="s">
        <v>20</v>
      </c>
      <c r="G589" t="s">
        <v>21</v>
      </c>
      <c r="H589" t="s">
        <v>22</v>
      </c>
      <c r="I589" t="s">
        <v>23</v>
      </c>
      <c r="J589" t="s">
        <v>27</v>
      </c>
      <c r="K589" s="3">
        <v>5844</v>
      </c>
      <c r="O589" s="4">
        <v>0</v>
      </c>
      <c r="P589" s="3">
        <v>0</v>
      </c>
    </row>
    <row r="590" spans="1:16" ht="15" customHeight="1" x14ac:dyDescent="0.3">
      <c r="A590">
        <v>2017</v>
      </c>
      <c r="B590" s="2">
        <v>43033</v>
      </c>
      <c r="C590" t="s">
        <v>357</v>
      </c>
      <c r="D590" t="s">
        <v>700</v>
      </c>
      <c r="E590" t="s">
        <v>721</v>
      </c>
      <c r="F590" t="s">
        <v>20</v>
      </c>
      <c r="G590" t="s">
        <v>107</v>
      </c>
      <c r="H590" t="s">
        <v>108</v>
      </c>
      <c r="I590" t="s">
        <v>23</v>
      </c>
      <c r="J590" t="s">
        <v>27</v>
      </c>
      <c r="K590" s="3">
        <v>3393.96</v>
      </c>
      <c r="O590" s="4">
        <v>0</v>
      </c>
      <c r="P590" s="3">
        <v>0</v>
      </c>
    </row>
    <row r="591" spans="1:16" ht="15" customHeight="1" x14ac:dyDescent="0.3">
      <c r="A591">
        <v>2017</v>
      </c>
      <c r="B591" s="2">
        <v>43034</v>
      </c>
      <c r="C591" t="s">
        <v>357</v>
      </c>
      <c r="D591" t="s">
        <v>155</v>
      </c>
      <c r="E591" t="s">
        <v>722</v>
      </c>
      <c r="F591" t="s">
        <v>20</v>
      </c>
      <c r="G591" t="s">
        <v>38</v>
      </c>
      <c r="H591" t="s">
        <v>39</v>
      </c>
      <c r="I591" t="s">
        <v>49</v>
      </c>
      <c r="J591" t="s">
        <v>50</v>
      </c>
      <c r="K591" s="3">
        <v>2960386.22</v>
      </c>
      <c r="O591" s="4">
        <v>0</v>
      </c>
      <c r="P591" s="3">
        <v>0</v>
      </c>
    </row>
    <row r="592" spans="1:16" ht="15" customHeight="1" x14ac:dyDescent="0.3">
      <c r="A592">
        <v>2017</v>
      </c>
      <c r="B592" s="2">
        <v>43036</v>
      </c>
      <c r="C592" t="s">
        <v>357</v>
      </c>
      <c r="D592" t="s">
        <v>30</v>
      </c>
      <c r="E592" t="s">
        <v>723</v>
      </c>
      <c r="F592" t="s">
        <v>20</v>
      </c>
      <c r="G592" t="s">
        <v>21</v>
      </c>
      <c r="H592" t="s">
        <v>22</v>
      </c>
      <c r="I592" t="s">
        <v>23</v>
      </c>
      <c r="J592" t="s">
        <v>27</v>
      </c>
      <c r="K592" s="3">
        <v>1120</v>
      </c>
      <c r="O592" s="4">
        <v>0</v>
      </c>
      <c r="P592" s="3">
        <v>0</v>
      </c>
    </row>
    <row r="593" spans="1:16" ht="15" customHeight="1" x14ac:dyDescent="0.3">
      <c r="A593">
        <v>2017</v>
      </c>
      <c r="B593" s="2">
        <v>43041</v>
      </c>
      <c r="C593" t="s">
        <v>389</v>
      </c>
      <c r="D593" t="s">
        <v>30</v>
      </c>
      <c r="E593" t="s">
        <v>724</v>
      </c>
      <c r="F593" t="s">
        <v>20</v>
      </c>
      <c r="G593" t="s">
        <v>21</v>
      </c>
      <c r="H593" t="s">
        <v>22</v>
      </c>
      <c r="I593" t="s">
        <v>136</v>
      </c>
      <c r="J593" t="s">
        <v>50</v>
      </c>
      <c r="K593" s="3">
        <v>10910</v>
      </c>
      <c r="O593" s="4">
        <v>0</v>
      </c>
      <c r="P593" s="3">
        <v>0</v>
      </c>
    </row>
    <row r="594" spans="1:16" ht="15" customHeight="1" x14ac:dyDescent="0.3">
      <c r="A594">
        <v>2017</v>
      </c>
      <c r="B594" s="2">
        <v>43041</v>
      </c>
      <c r="C594" t="s">
        <v>389</v>
      </c>
      <c r="D594" t="s">
        <v>462</v>
      </c>
      <c r="E594" t="s">
        <v>725</v>
      </c>
      <c r="F594" t="s">
        <v>20</v>
      </c>
      <c r="G594" t="s">
        <v>21</v>
      </c>
      <c r="H594" t="s">
        <v>22</v>
      </c>
      <c r="I594" t="s">
        <v>23</v>
      </c>
      <c r="J594" t="s">
        <v>27</v>
      </c>
      <c r="K594" s="3">
        <v>3825</v>
      </c>
      <c r="O594" s="4">
        <v>0</v>
      </c>
      <c r="P594" s="3">
        <v>0</v>
      </c>
    </row>
    <row r="595" spans="1:16" ht="15" customHeight="1" x14ac:dyDescent="0.3">
      <c r="A595">
        <v>2017</v>
      </c>
      <c r="B595" s="2">
        <v>43046</v>
      </c>
      <c r="C595" t="s">
        <v>389</v>
      </c>
      <c r="D595" t="s">
        <v>30</v>
      </c>
      <c r="E595" t="s">
        <v>726</v>
      </c>
      <c r="F595" t="s">
        <v>20</v>
      </c>
      <c r="G595" t="s">
        <v>21</v>
      </c>
      <c r="H595" t="s">
        <v>22</v>
      </c>
      <c r="I595" t="s">
        <v>136</v>
      </c>
      <c r="J595" t="s">
        <v>50</v>
      </c>
      <c r="K595" s="3">
        <v>18070.95</v>
      </c>
      <c r="O595" s="4">
        <v>0</v>
      </c>
      <c r="P595" s="3">
        <v>0</v>
      </c>
    </row>
    <row r="596" spans="1:16" ht="15" customHeight="1" x14ac:dyDescent="0.3">
      <c r="A596">
        <v>2017</v>
      </c>
      <c r="B596" s="2">
        <v>43046</v>
      </c>
      <c r="C596" t="s">
        <v>389</v>
      </c>
      <c r="D596" t="s">
        <v>577</v>
      </c>
      <c r="E596" t="s">
        <v>727</v>
      </c>
      <c r="F596" t="s">
        <v>20</v>
      </c>
      <c r="G596" t="s">
        <v>38</v>
      </c>
      <c r="H596" t="s">
        <v>89</v>
      </c>
      <c r="I596" t="s">
        <v>141</v>
      </c>
      <c r="J596" t="s">
        <v>123</v>
      </c>
      <c r="K596" s="3">
        <v>340</v>
      </c>
      <c r="O596" s="4">
        <v>0</v>
      </c>
      <c r="P596" s="3">
        <v>0</v>
      </c>
    </row>
    <row r="597" spans="1:16" ht="15" customHeight="1" x14ac:dyDescent="0.3">
      <c r="A597">
        <v>2017</v>
      </c>
      <c r="B597" s="2">
        <v>43046</v>
      </c>
      <c r="C597" t="s">
        <v>389</v>
      </c>
      <c r="D597" t="s">
        <v>36</v>
      </c>
      <c r="E597" t="s">
        <v>728</v>
      </c>
      <c r="F597" t="s">
        <v>20</v>
      </c>
      <c r="G597" t="s">
        <v>38</v>
      </c>
      <c r="H597" t="s">
        <v>89</v>
      </c>
      <c r="I597" t="s">
        <v>141</v>
      </c>
      <c r="J597" t="s">
        <v>110</v>
      </c>
      <c r="K597" s="3">
        <v>17616.39</v>
      </c>
      <c r="O597" s="4">
        <v>0</v>
      </c>
      <c r="P597" s="3">
        <v>0</v>
      </c>
    </row>
    <row r="598" spans="1:16" ht="15" customHeight="1" x14ac:dyDescent="0.3">
      <c r="A598">
        <v>2017</v>
      </c>
      <c r="B598" s="2">
        <v>43050</v>
      </c>
      <c r="C598" t="s">
        <v>389</v>
      </c>
      <c r="D598" t="s">
        <v>685</v>
      </c>
      <c r="E598" t="s">
        <v>729</v>
      </c>
      <c r="F598" t="s">
        <v>20</v>
      </c>
      <c r="G598" t="s">
        <v>38</v>
      </c>
      <c r="H598" t="s">
        <v>147</v>
      </c>
      <c r="I598" t="s">
        <v>141</v>
      </c>
      <c r="J598" t="s">
        <v>123</v>
      </c>
      <c r="K598" s="3">
        <v>850</v>
      </c>
      <c r="O598" s="4">
        <v>0</v>
      </c>
      <c r="P598" s="3">
        <v>0</v>
      </c>
    </row>
    <row r="599" spans="1:16" ht="15" customHeight="1" x14ac:dyDescent="0.3">
      <c r="A599">
        <v>2017</v>
      </c>
      <c r="B599" s="2">
        <v>43056</v>
      </c>
      <c r="C599" t="s">
        <v>389</v>
      </c>
      <c r="D599" t="s">
        <v>283</v>
      </c>
      <c r="E599" t="s">
        <v>730</v>
      </c>
      <c r="F599" t="s">
        <v>20</v>
      </c>
      <c r="G599" t="s">
        <v>21</v>
      </c>
      <c r="H599" t="s">
        <v>22</v>
      </c>
      <c r="I599" t="s">
        <v>178</v>
      </c>
      <c r="J599" t="s">
        <v>123</v>
      </c>
      <c r="K599" s="3">
        <v>56043.06</v>
      </c>
      <c r="O599" s="4">
        <v>0</v>
      </c>
      <c r="P599" s="3">
        <v>0</v>
      </c>
    </row>
    <row r="600" spans="1:16" ht="15" customHeight="1" x14ac:dyDescent="0.3">
      <c r="A600">
        <v>2017</v>
      </c>
      <c r="B600" s="2">
        <v>43056</v>
      </c>
      <c r="C600" t="s">
        <v>389</v>
      </c>
      <c r="D600" t="s">
        <v>601</v>
      </c>
      <c r="E600" t="s">
        <v>731</v>
      </c>
      <c r="F600" t="s">
        <v>20</v>
      </c>
      <c r="G600" t="s">
        <v>107</v>
      </c>
      <c r="H600" t="s">
        <v>603</v>
      </c>
      <c r="I600" t="s">
        <v>141</v>
      </c>
      <c r="J600" t="s">
        <v>123</v>
      </c>
      <c r="K600" s="3">
        <v>20699.560000000001</v>
      </c>
      <c r="O600" s="4">
        <v>0</v>
      </c>
      <c r="P600" s="3">
        <v>0</v>
      </c>
    </row>
    <row r="601" spans="1:16" ht="15" customHeight="1" x14ac:dyDescent="0.3">
      <c r="A601">
        <v>2017</v>
      </c>
      <c r="B601" s="2">
        <v>43059</v>
      </c>
      <c r="C601" t="s">
        <v>389</v>
      </c>
      <c r="D601" t="s">
        <v>124</v>
      </c>
      <c r="E601" t="s">
        <v>732</v>
      </c>
      <c r="F601" t="s">
        <v>20</v>
      </c>
      <c r="G601" t="s">
        <v>21</v>
      </c>
      <c r="H601" t="s">
        <v>101</v>
      </c>
      <c r="I601" t="s">
        <v>136</v>
      </c>
      <c r="J601" t="s">
        <v>123</v>
      </c>
      <c r="K601" s="3">
        <v>5116.25</v>
      </c>
      <c r="O601" s="4">
        <v>0</v>
      </c>
      <c r="P601" s="3">
        <v>0</v>
      </c>
    </row>
    <row r="602" spans="1:16" ht="15" customHeight="1" x14ac:dyDescent="0.3">
      <c r="A602">
        <v>2017</v>
      </c>
      <c r="B602" s="2">
        <v>43060</v>
      </c>
      <c r="C602" t="s">
        <v>389</v>
      </c>
      <c r="D602" t="s">
        <v>83</v>
      </c>
      <c r="E602" t="s">
        <v>733</v>
      </c>
      <c r="F602" t="s">
        <v>20</v>
      </c>
      <c r="G602" t="s">
        <v>21</v>
      </c>
      <c r="H602" t="s">
        <v>22</v>
      </c>
      <c r="I602" t="s">
        <v>136</v>
      </c>
      <c r="J602" t="s">
        <v>123</v>
      </c>
      <c r="K602" s="3">
        <v>77500</v>
      </c>
      <c r="O602" s="4">
        <v>0</v>
      </c>
      <c r="P602" s="3">
        <v>0</v>
      </c>
    </row>
    <row r="603" spans="1:16" ht="15" customHeight="1" x14ac:dyDescent="0.3">
      <c r="A603">
        <v>2017</v>
      </c>
      <c r="B603" s="2">
        <v>43063</v>
      </c>
      <c r="C603" t="s">
        <v>389</v>
      </c>
      <c r="D603" t="s">
        <v>61</v>
      </c>
      <c r="E603" t="s">
        <v>734</v>
      </c>
      <c r="F603" t="s">
        <v>20</v>
      </c>
      <c r="G603" t="s">
        <v>21</v>
      </c>
      <c r="H603" t="s">
        <v>22</v>
      </c>
      <c r="I603" t="s">
        <v>136</v>
      </c>
      <c r="J603" t="s">
        <v>123</v>
      </c>
      <c r="K603" s="3">
        <v>39000.36</v>
      </c>
      <c r="O603" s="4">
        <v>0</v>
      </c>
      <c r="P603" s="3">
        <v>0</v>
      </c>
    </row>
    <row r="604" spans="1:16" ht="15" customHeight="1" x14ac:dyDescent="0.3">
      <c r="A604">
        <v>2017</v>
      </c>
      <c r="B604" s="2">
        <v>43067</v>
      </c>
      <c r="C604" t="s">
        <v>389</v>
      </c>
      <c r="D604" t="s">
        <v>458</v>
      </c>
      <c r="E604" t="s">
        <v>735</v>
      </c>
      <c r="F604" t="s">
        <v>20</v>
      </c>
      <c r="G604" t="s">
        <v>21</v>
      </c>
      <c r="H604" t="s">
        <v>22</v>
      </c>
      <c r="I604" t="s">
        <v>23</v>
      </c>
      <c r="J604" t="s">
        <v>110</v>
      </c>
      <c r="K604" s="3">
        <v>28997.47</v>
      </c>
      <c r="O604" s="4">
        <v>0</v>
      </c>
      <c r="P604" s="3">
        <v>0</v>
      </c>
    </row>
    <row r="605" spans="1:16" ht="15" customHeight="1" x14ac:dyDescent="0.3">
      <c r="A605">
        <v>2017</v>
      </c>
      <c r="B605" s="2">
        <v>43067</v>
      </c>
      <c r="C605" t="s">
        <v>389</v>
      </c>
      <c r="D605" t="s">
        <v>458</v>
      </c>
      <c r="E605" t="s">
        <v>736</v>
      </c>
      <c r="F605" t="s">
        <v>20</v>
      </c>
      <c r="G605" t="s">
        <v>21</v>
      </c>
      <c r="H605" t="s">
        <v>22</v>
      </c>
      <c r="I605" t="s">
        <v>737</v>
      </c>
      <c r="J605" t="s">
        <v>123</v>
      </c>
      <c r="K605" s="3">
        <v>7671.22</v>
      </c>
      <c r="O605" s="4">
        <v>0</v>
      </c>
      <c r="P605" s="3">
        <v>0</v>
      </c>
    </row>
    <row r="606" spans="1:16" ht="15" customHeight="1" x14ac:dyDescent="0.3">
      <c r="A606">
        <v>2017</v>
      </c>
      <c r="B606" s="2">
        <v>43068</v>
      </c>
      <c r="C606" t="s">
        <v>389</v>
      </c>
      <c r="D606" t="s">
        <v>292</v>
      </c>
      <c r="E606" t="s">
        <v>714</v>
      </c>
      <c r="F606" t="s">
        <v>20</v>
      </c>
      <c r="G606" t="s">
        <v>21</v>
      </c>
      <c r="H606" t="s">
        <v>22</v>
      </c>
      <c r="I606" t="s">
        <v>141</v>
      </c>
      <c r="J606" t="s">
        <v>123</v>
      </c>
      <c r="K606" s="3">
        <v>27820</v>
      </c>
      <c r="O606" s="4">
        <v>0</v>
      </c>
      <c r="P606" s="3">
        <v>0</v>
      </c>
    </row>
    <row r="607" spans="1:16" ht="15" customHeight="1" x14ac:dyDescent="0.3">
      <c r="A607">
        <v>2017</v>
      </c>
      <c r="B607" s="2">
        <v>43069</v>
      </c>
      <c r="C607" t="s">
        <v>389</v>
      </c>
      <c r="D607" t="s">
        <v>536</v>
      </c>
      <c r="E607" t="s">
        <v>738</v>
      </c>
      <c r="F607" t="s">
        <v>20</v>
      </c>
      <c r="G607" t="s">
        <v>107</v>
      </c>
      <c r="H607" t="s">
        <v>108</v>
      </c>
      <c r="I607" t="s">
        <v>538</v>
      </c>
      <c r="J607" t="s">
        <v>123</v>
      </c>
      <c r="K607" s="3">
        <v>60003.482009894899</v>
      </c>
      <c r="O607" s="4">
        <v>0</v>
      </c>
      <c r="P607" s="3">
        <v>0</v>
      </c>
    </row>
    <row r="608" spans="1:16" ht="15" customHeight="1" x14ac:dyDescent="0.3">
      <c r="A608">
        <v>2017</v>
      </c>
      <c r="B608" s="2">
        <v>43069</v>
      </c>
      <c r="C608" t="s">
        <v>389</v>
      </c>
      <c r="D608" t="s">
        <v>292</v>
      </c>
      <c r="E608" t="s">
        <v>739</v>
      </c>
      <c r="F608" t="s">
        <v>20</v>
      </c>
      <c r="G608" t="s">
        <v>21</v>
      </c>
      <c r="H608" t="s">
        <v>22</v>
      </c>
      <c r="I608" t="s">
        <v>141</v>
      </c>
      <c r="J608" t="s">
        <v>123</v>
      </c>
      <c r="K608" s="3">
        <v>28529.02</v>
      </c>
      <c r="O608" s="4">
        <v>0</v>
      </c>
      <c r="P608" s="3">
        <v>0</v>
      </c>
    </row>
    <row r="609" spans="1:16" ht="15" customHeight="1" x14ac:dyDescent="0.3">
      <c r="A609">
        <v>2017</v>
      </c>
      <c r="B609" s="2">
        <v>43096</v>
      </c>
      <c r="C609" t="s">
        <v>416</v>
      </c>
      <c r="D609" t="s">
        <v>36</v>
      </c>
      <c r="E609" t="s">
        <v>740</v>
      </c>
      <c r="F609" t="s">
        <v>20</v>
      </c>
      <c r="G609" t="s">
        <v>38</v>
      </c>
      <c r="H609" t="s">
        <v>89</v>
      </c>
      <c r="I609" t="s">
        <v>136</v>
      </c>
      <c r="J609" t="s">
        <v>50</v>
      </c>
      <c r="K609" s="3">
        <v>4104.29</v>
      </c>
      <c r="O609" s="4">
        <v>0</v>
      </c>
      <c r="P609" s="3">
        <v>0</v>
      </c>
    </row>
    <row r="610" spans="1:16" ht="15" customHeight="1" x14ac:dyDescent="0.3">
      <c r="A610">
        <v>2017</v>
      </c>
      <c r="B610" s="2">
        <v>43098</v>
      </c>
      <c r="C610" t="s">
        <v>416</v>
      </c>
      <c r="D610" t="s">
        <v>45</v>
      </c>
      <c r="E610" t="s">
        <v>741</v>
      </c>
      <c r="F610" t="s">
        <v>20</v>
      </c>
      <c r="G610" t="s">
        <v>38</v>
      </c>
      <c r="H610" t="s">
        <v>39</v>
      </c>
      <c r="I610" t="s">
        <v>23</v>
      </c>
      <c r="J610" t="s">
        <v>27</v>
      </c>
      <c r="K610" s="3">
        <v>1359.9</v>
      </c>
      <c r="O610" s="4">
        <v>0</v>
      </c>
      <c r="P610" s="3">
        <v>0</v>
      </c>
    </row>
    <row r="611" spans="1:16" ht="15" customHeight="1" x14ac:dyDescent="0.3">
      <c r="A611">
        <v>2018</v>
      </c>
      <c r="B611" s="2">
        <v>43101</v>
      </c>
      <c r="C611" t="s">
        <v>17</v>
      </c>
      <c r="D611" t="s">
        <v>601</v>
      </c>
      <c r="F611" t="s">
        <v>20</v>
      </c>
      <c r="G611" t="s">
        <v>107</v>
      </c>
      <c r="H611" t="s">
        <v>603</v>
      </c>
      <c r="I611" t="s">
        <v>141</v>
      </c>
      <c r="J611" t="s">
        <v>123</v>
      </c>
      <c r="K611" s="3">
        <v>24447.23</v>
      </c>
      <c r="O611" s="4">
        <v>0</v>
      </c>
      <c r="P611" s="3">
        <v>0</v>
      </c>
    </row>
    <row r="612" spans="1:16" ht="15" customHeight="1" x14ac:dyDescent="0.3">
      <c r="A612">
        <v>2018</v>
      </c>
      <c r="B612" s="2">
        <v>43110</v>
      </c>
      <c r="C612" t="s">
        <v>17</v>
      </c>
      <c r="D612" t="s">
        <v>36</v>
      </c>
      <c r="F612" t="s">
        <v>20</v>
      </c>
      <c r="G612" t="s">
        <v>38</v>
      </c>
      <c r="H612" t="s">
        <v>39</v>
      </c>
      <c r="I612" t="s">
        <v>306</v>
      </c>
      <c r="J612" t="s">
        <v>50</v>
      </c>
      <c r="K612" s="3">
        <v>1366897.47</v>
      </c>
      <c r="O612" s="4">
        <v>0</v>
      </c>
      <c r="P612" s="3">
        <v>0</v>
      </c>
    </row>
    <row r="613" spans="1:16" ht="15" customHeight="1" x14ac:dyDescent="0.3">
      <c r="A613">
        <v>2018</v>
      </c>
      <c r="B613" s="2">
        <v>43112</v>
      </c>
      <c r="C613" t="s">
        <v>17</v>
      </c>
      <c r="D613" t="s">
        <v>194</v>
      </c>
      <c r="F613" t="s">
        <v>20</v>
      </c>
      <c r="G613" t="s">
        <v>38</v>
      </c>
      <c r="H613" t="s">
        <v>89</v>
      </c>
      <c r="I613" t="s">
        <v>742</v>
      </c>
      <c r="J613" t="s">
        <v>110</v>
      </c>
      <c r="K613" s="3">
        <v>54590.94</v>
      </c>
      <c r="O613" s="4">
        <v>0</v>
      </c>
      <c r="P613" s="3">
        <v>0</v>
      </c>
    </row>
    <row r="614" spans="1:16" ht="15" customHeight="1" x14ac:dyDescent="0.3">
      <c r="A614">
        <v>2018</v>
      </c>
      <c r="B614" s="2">
        <v>43118</v>
      </c>
      <c r="C614" t="s">
        <v>17</v>
      </c>
      <c r="D614" t="s">
        <v>30</v>
      </c>
      <c r="F614" t="s">
        <v>20</v>
      </c>
      <c r="G614" t="s">
        <v>21</v>
      </c>
      <c r="H614" t="s">
        <v>22</v>
      </c>
      <c r="I614" t="s">
        <v>136</v>
      </c>
      <c r="J614" t="s">
        <v>50</v>
      </c>
      <c r="K614" s="3">
        <v>5349.2</v>
      </c>
      <c r="O614" s="4">
        <v>0</v>
      </c>
      <c r="P614" s="3">
        <v>0</v>
      </c>
    </row>
    <row r="615" spans="1:16" ht="15" customHeight="1" x14ac:dyDescent="0.3">
      <c r="A615">
        <v>2018</v>
      </c>
      <c r="B615" s="2">
        <v>43125</v>
      </c>
      <c r="C615" t="s">
        <v>17</v>
      </c>
      <c r="D615" t="s">
        <v>679</v>
      </c>
      <c r="F615" t="s">
        <v>20</v>
      </c>
      <c r="G615" t="s">
        <v>107</v>
      </c>
      <c r="H615" t="s">
        <v>522</v>
      </c>
      <c r="I615" t="s">
        <v>109</v>
      </c>
      <c r="J615" t="s">
        <v>123</v>
      </c>
      <c r="K615" s="3">
        <v>70966.95</v>
      </c>
      <c r="O615" s="4">
        <v>0</v>
      </c>
      <c r="P615" s="3">
        <v>0</v>
      </c>
    </row>
    <row r="616" spans="1:16" ht="15" customHeight="1" x14ac:dyDescent="0.3">
      <c r="A616">
        <v>2018</v>
      </c>
      <c r="B616" s="2">
        <v>43138</v>
      </c>
      <c r="C616" t="s">
        <v>71</v>
      </c>
      <c r="D616" t="s">
        <v>743</v>
      </c>
      <c r="F616" t="s">
        <v>20</v>
      </c>
      <c r="G616" t="s">
        <v>38</v>
      </c>
      <c r="H616" t="s">
        <v>89</v>
      </c>
      <c r="I616" t="s">
        <v>141</v>
      </c>
      <c r="J616" t="s">
        <v>123</v>
      </c>
      <c r="K616" s="3">
        <v>400754.81</v>
      </c>
      <c r="O616" s="4">
        <v>0</v>
      </c>
      <c r="P616" s="3">
        <v>0</v>
      </c>
    </row>
    <row r="617" spans="1:16" ht="15" customHeight="1" x14ac:dyDescent="0.3">
      <c r="A617">
        <v>2018</v>
      </c>
      <c r="B617" s="2">
        <v>43139</v>
      </c>
      <c r="C617" t="s">
        <v>71</v>
      </c>
      <c r="D617" t="s">
        <v>744</v>
      </c>
      <c r="F617" t="s">
        <v>20</v>
      </c>
      <c r="G617" t="s">
        <v>38</v>
      </c>
      <c r="H617" t="s">
        <v>147</v>
      </c>
      <c r="I617" t="s">
        <v>49</v>
      </c>
      <c r="J617" t="s">
        <v>123</v>
      </c>
      <c r="K617" s="3">
        <v>7462.03</v>
      </c>
      <c r="O617" s="4">
        <v>0</v>
      </c>
      <c r="P617" s="3">
        <v>0</v>
      </c>
    </row>
    <row r="618" spans="1:16" ht="15" customHeight="1" x14ac:dyDescent="0.3">
      <c r="A618">
        <v>2018</v>
      </c>
      <c r="B618" s="2">
        <v>43139</v>
      </c>
      <c r="C618" t="s">
        <v>71</v>
      </c>
      <c r="D618" t="s">
        <v>745</v>
      </c>
      <c r="F618" t="s">
        <v>20</v>
      </c>
      <c r="G618" t="s">
        <v>107</v>
      </c>
      <c r="H618" t="s">
        <v>108</v>
      </c>
      <c r="I618" t="s">
        <v>306</v>
      </c>
      <c r="J618" t="s">
        <v>123</v>
      </c>
      <c r="K618" s="3">
        <v>415527.5</v>
      </c>
      <c r="O618" s="4">
        <v>0</v>
      </c>
      <c r="P618" s="3">
        <v>0</v>
      </c>
    </row>
    <row r="619" spans="1:16" ht="15" customHeight="1" x14ac:dyDescent="0.3">
      <c r="A619">
        <v>2018</v>
      </c>
      <c r="B619" s="2">
        <v>43141</v>
      </c>
      <c r="C619" t="s">
        <v>71</v>
      </c>
      <c r="D619" t="s">
        <v>47</v>
      </c>
      <c r="F619" t="s">
        <v>20</v>
      </c>
      <c r="G619" t="s">
        <v>38</v>
      </c>
      <c r="H619" t="s">
        <v>39</v>
      </c>
      <c r="I619" t="s">
        <v>49</v>
      </c>
      <c r="J619" t="s">
        <v>50</v>
      </c>
      <c r="K619" s="3">
        <v>245000.02</v>
      </c>
      <c r="O619" s="4">
        <v>0</v>
      </c>
      <c r="P619" s="3">
        <v>0</v>
      </c>
    </row>
    <row r="620" spans="1:16" ht="15" customHeight="1" x14ac:dyDescent="0.3">
      <c r="A620">
        <v>2018</v>
      </c>
      <c r="B620" s="2">
        <v>43143</v>
      </c>
      <c r="C620" t="s">
        <v>71</v>
      </c>
      <c r="D620" t="s">
        <v>47</v>
      </c>
      <c r="F620" t="s">
        <v>20</v>
      </c>
      <c r="G620" t="s">
        <v>38</v>
      </c>
      <c r="H620" t="s">
        <v>39</v>
      </c>
      <c r="I620" t="s">
        <v>49</v>
      </c>
      <c r="J620" t="s">
        <v>50</v>
      </c>
      <c r="K620" s="3">
        <v>106000</v>
      </c>
      <c r="O620" s="4">
        <v>0</v>
      </c>
      <c r="P620" s="3">
        <v>0</v>
      </c>
    </row>
    <row r="621" spans="1:16" ht="15" customHeight="1" x14ac:dyDescent="0.3">
      <c r="A621">
        <v>2018</v>
      </c>
      <c r="B621" s="2">
        <v>43143</v>
      </c>
      <c r="C621" t="s">
        <v>71</v>
      </c>
      <c r="D621" t="s">
        <v>69</v>
      </c>
      <c r="F621" t="s">
        <v>20</v>
      </c>
      <c r="G621" t="s">
        <v>21</v>
      </c>
      <c r="H621" t="s">
        <v>22</v>
      </c>
      <c r="I621" t="s">
        <v>178</v>
      </c>
      <c r="J621" t="s">
        <v>123</v>
      </c>
      <c r="K621" s="3">
        <v>151558.51999999999</v>
      </c>
      <c r="O621" s="4">
        <v>0</v>
      </c>
      <c r="P621" s="3">
        <v>0</v>
      </c>
    </row>
    <row r="622" spans="1:16" ht="15" customHeight="1" x14ac:dyDescent="0.3">
      <c r="A622">
        <v>2018</v>
      </c>
      <c r="B622" s="2">
        <v>43147</v>
      </c>
      <c r="C622" t="s">
        <v>71</v>
      </c>
      <c r="D622" t="s">
        <v>30</v>
      </c>
      <c r="F622" t="s">
        <v>20</v>
      </c>
      <c r="G622" t="s">
        <v>21</v>
      </c>
      <c r="H622" t="s">
        <v>22</v>
      </c>
      <c r="I622" t="s">
        <v>49</v>
      </c>
      <c r="J622" t="s">
        <v>50</v>
      </c>
      <c r="K622" s="3">
        <v>53611.91</v>
      </c>
      <c r="O622" s="4">
        <v>0</v>
      </c>
      <c r="P622" s="3">
        <v>0</v>
      </c>
    </row>
    <row r="623" spans="1:16" ht="15" customHeight="1" x14ac:dyDescent="0.3">
      <c r="A623">
        <v>2018</v>
      </c>
      <c r="B623" s="2">
        <v>43157</v>
      </c>
      <c r="C623" t="s">
        <v>71</v>
      </c>
      <c r="D623" t="s">
        <v>45</v>
      </c>
      <c r="F623" t="s">
        <v>20</v>
      </c>
      <c r="G623" t="s">
        <v>38</v>
      </c>
      <c r="H623" t="s">
        <v>39</v>
      </c>
      <c r="I623" t="s">
        <v>306</v>
      </c>
      <c r="J623" t="s">
        <v>50</v>
      </c>
      <c r="K623" s="3">
        <v>1377220</v>
      </c>
      <c r="O623" s="4">
        <v>0</v>
      </c>
      <c r="P623" s="3">
        <v>0</v>
      </c>
    </row>
    <row r="624" spans="1:16" ht="15" customHeight="1" x14ac:dyDescent="0.3">
      <c r="A624">
        <v>2018</v>
      </c>
      <c r="B624" s="2">
        <v>43158</v>
      </c>
      <c r="C624" t="s">
        <v>71</v>
      </c>
      <c r="D624" t="s">
        <v>134</v>
      </c>
      <c r="F624" t="s">
        <v>20</v>
      </c>
      <c r="G624" t="s">
        <v>107</v>
      </c>
      <c r="H624" t="s">
        <v>108</v>
      </c>
      <c r="I624" t="s">
        <v>109</v>
      </c>
      <c r="J624" t="s">
        <v>123</v>
      </c>
      <c r="K624" s="3">
        <v>11470.9</v>
      </c>
      <c r="O624" s="4">
        <v>0</v>
      </c>
      <c r="P624" s="3">
        <v>0</v>
      </c>
    </row>
    <row r="625" spans="1:16" ht="15" customHeight="1" x14ac:dyDescent="0.3">
      <c r="A625">
        <v>2018</v>
      </c>
      <c r="B625" s="2">
        <v>43159</v>
      </c>
      <c r="C625" t="s">
        <v>71</v>
      </c>
      <c r="D625" t="s">
        <v>45</v>
      </c>
      <c r="F625" t="s">
        <v>20</v>
      </c>
      <c r="G625" t="s">
        <v>38</v>
      </c>
      <c r="H625" t="s">
        <v>39</v>
      </c>
      <c r="I625" t="s">
        <v>49</v>
      </c>
      <c r="J625" t="s">
        <v>50</v>
      </c>
      <c r="K625" s="3">
        <v>2680</v>
      </c>
      <c r="O625" s="4">
        <v>0</v>
      </c>
      <c r="P625" s="3">
        <v>0</v>
      </c>
    </row>
    <row r="626" spans="1:16" ht="15" customHeight="1" x14ac:dyDescent="0.3">
      <c r="A626">
        <v>2018</v>
      </c>
      <c r="B626" s="2">
        <v>43167</v>
      </c>
      <c r="C626" t="s">
        <v>137</v>
      </c>
      <c r="D626" t="s">
        <v>53</v>
      </c>
      <c r="F626" t="s">
        <v>20</v>
      </c>
      <c r="G626" t="s">
        <v>21</v>
      </c>
      <c r="H626" t="s">
        <v>22</v>
      </c>
      <c r="I626" t="s">
        <v>141</v>
      </c>
      <c r="J626" t="s">
        <v>123</v>
      </c>
      <c r="K626" s="3">
        <v>653940.62</v>
      </c>
      <c r="O626" s="4">
        <v>0</v>
      </c>
      <c r="P626" s="3">
        <v>0</v>
      </c>
    </row>
    <row r="627" spans="1:16" ht="15" customHeight="1" x14ac:dyDescent="0.3">
      <c r="A627">
        <v>2018</v>
      </c>
      <c r="B627" s="2">
        <v>43171</v>
      </c>
      <c r="C627" t="s">
        <v>137</v>
      </c>
      <c r="D627" t="s">
        <v>746</v>
      </c>
      <c r="F627" t="s">
        <v>20</v>
      </c>
      <c r="G627" t="s">
        <v>21</v>
      </c>
      <c r="H627" t="s">
        <v>22</v>
      </c>
      <c r="I627" t="s">
        <v>141</v>
      </c>
      <c r="J627" t="s">
        <v>50</v>
      </c>
      <c r="K627" s="3">
        <v>3582828.89</v>
      </c>
      <c r="O627" s="4">
        <v>0</v>
      </c>
      <c r="P627" s="3">
        <v>0</v>
      </c>
    </row>
    <row r="628" spans="1:16" ht="15" customHeight="1" x14ac:dyDescent="0.3">
      <c r="A628">
        <v>2018</v>
      </c>
      <c r="B628" s="2">
        <v>43179</v>
      </c>
      <c r="C628" t="s">
        <v>137</v>
      </c>
      <c r="D628" t="s">
        <v>30</v>
      </c>
      <c r="F628" t="s">
        <v>20</v>
      </c>
      <c r="G628" t="s">
        <v>21</v>
      </c>
      <c r="H628" t="s">
        <v>22</v>
      </c>
      <c r="I628" t="s">
        <v>136</v>
      </c>
      <c r="J628" t="s">
        <v>50</v>
      </c>
      <c r="K628" s="3">
        <v>17205.3</v>
      </c>
      <c r="O628" s="4">
        <v>0</v>
      </c>
      <c r="P628" s="3">
        <v>0</v>
      </c>
    </row>
    <row r="629" spans="1:16" ht="15" customHeight="1" x14ac:dyDescent="0.3">
      <c r="A629">
        <v>2018</v>
      </c>
      <c r="B629" s="2">
        <v>43196</v>
      </c>
      <c r="C629" t="s">
        <v>169</v>
      </c>
      <c r="D629" t="s">
        <v>644</v>
      </c>
      <c r="F629" t="s">
        <v>20</v>
      </c>
      <c r="G629" t="s">
        <v>107</v>
      </c>
      <c r="H629" t="s">
        <v>522</v>
      </c>
      <c r="I629" t="s">
        <v>109</v>
      </c>
      <c r="J629" t="s">
        <v>123</v>
      </c>
      <c r="K629" s="3">
        <v>94121.81</v>
      </c>
      <c r="O629" s="4">
        <v>0</v>
      </c>
      <c r="P629" s="3">
        <v>0</v>
      </c>
    </row>
    <row r="630" spans="1:16" ht="15" customHeight="1" x14ac:dyDescent="0.3">
      <c r="A630">
        <v>2018</v>
      </c>
      <c r="B630" s="2">
        <v>43199</v>
      </c>
      <c r="C630" t="s">
        <v>169</v>
      </c>
      <c r="D630" t="s">
        <v>747</v>
      </c>
      <c r="F630" t="s">
        <v>20</v>
      </c>
      <c r="G630" t="s">
        <v>38</v>
      </c>
      <c r="H630" t="s">
        <v>39</v>
      </c>
      <c r="I630" t="s">
        <v>306</v>
      </c>
      <c r="J630" t="s">
        <v>123</v>
      </c>
      <c r="K630" s="3">
        <v>276633.61</v>
      </c>
      <c r="O630" s="4">
        <v>0</v>
      </c>
      <c r="P630" s="3">
        <v>0</v>
      </c>
    </row>
    <row r="631" spans="1:16" ht="15" customHeight="1" x14ac:dyDescent="0.3">
      <c r="A631">
        <v>2018</v>
      </c>
      <c r="B631" s="2">
        <v>43206</v>
      </c>
      <c r="C631" t="s">
        <v>169</v>
      </c>
      <c r="D631" t="s">
        <v>531</v>
      </c>
      <c r="F631" t="s">
        <v>20</v>
      </c>
      <c r="G631" t="s">
        <v>38</v>
      </c>
      <c r="H631" t="s">
        <v>39</v>
      </c>
      <c r="I631" t="s">
        <v>23</v>
      </c>
      <c r="J631" t="s">
        <v>27</v>
      </c>
      <c r="K631" s="3">
        <v>800</v>
      </c>
      <c r="O631" s="4">
        <v>0</v>
      </c>
      <c r="P631" s="3">
        <v>0</v>
      </c>
    </row>
    <row r="632" spans="1:16" ht="15" customHeight="1" x14ac:dyDescent="0.3">
      <c r="A632">
        <v>2018</v>
      </c>
      <c r="B632" s="2">
        <v>43213</v>
      </c>
      <c r="C632" t="s">
        <v>169</v>
      </c>
      <c r="D632" t="s">
        <v>30</v>
      </c>
      <c r="F632" t="s">
        <v>20</v>
      </c>
      <c r="G632" t="s">
        <v>21</v>
      </c>
      <c r="H632" t="s">
        <v>22</v>
      </c>
      <c r="I632" t="s">
        <v>136</v>
      </c>
      <c r="J632" t="s">
        <v>50</v>
      </c>
      <c r="K632" s="3">
        <v>26011.02</v>
      </c>
      <c r="O632" s="4">
        <v>0</v>
      </c>
      <c r="P632" s="3">
        <v>0</v>
      </c>
    </row>
    <row r="633" spans="1:16" ht="15" customHeight="1" x14ac:dyDescent="0.3">
      <c r="A633">
        <v>2018</v>
      </c>
      <c r="B633" s="2">
        <v>43216</v>
      </c>
      <c r="C633" t="s">
        <v>169</v>
      </c>
      <c r="D633" t="s">
        <v>748</v>
      </c>
      <c r="F633" t="s">
        <v>20</v>
      </c>
      <c r="G633" t="s">
        <v>21</v>
      </c>
      <c r="H633" t="s">
        <v>22</v>
      </c>
      <c r="I633" t="s">
        <v>23</v>
      </c>
      <c r="J633" t="s">
        <v>27</v>
      </c>
      <c r="K633" s="3">
        <v>250</v>
      </c>
      <c r="O633" s="4">
        <v>0</v>
      </c>
      <c r="P633" s="3">
        <v>0</v>
      </c>
    </row>
    <row r="634" spans="1:16" ht="15" customHeight="1" x14ac:dyDescent="0.3">
      <c r="A634">
        <v>2018</v>
      </c>
      <c r="B634" s="2">
        <v>43217</v>
      </c>
      <c r="C634" t="s">
        <v>169</v>
      </c>
      <c r="D634" t="s">
        <v>47</v>
      </c>
      <c r="F634" t="s">
        <v>20</v>
      </c>
      <c r="G634" t="s">
        <v>38</v>
      </c>
      <c r="H634" t="s">
        <v>39</v>
      </c>
      <c r="I634" t="s">
        <v>23</v>
      </c>
      <c r="J634" t="s">
        <v>27</v>
      </c>
      <c r="K634" s="3">
        <v>800</v>
      </c>
      <c r="O634" s="4">
        <v>0</v>
      </c>
      <c r="P634" s="3">
        <v>0</v>
      </c>
    </row>
    <row r="635" spans="1:16" ht="15" customHeight="1" x14ac:dyDescent="0.3">
      <c r="A635">
        <v>2018</v>
      </c>
      <c r="B635" s="2">
        <v>43222</v>
      </c>
      <c r="C635" t="s">
        <v>190</v>
      </c>
      <c r="D635" t="s">
        <v>69</v>
      </c>
      <c r="F635" t="s">
        <v>20</v>
      </c>
      <c r="G635" t="s">
        <v>21</v>
      </c>
      <c r="H635" t="s">
        <v>22</v>
      </c>
      <c r="I635" t="s">
        <v>178</v>
      </c>
      <c r="J635" t="s">
        <v>123</v>
      </c>
      <c r="K635" s="3">
        <v>1458.33</v>
      </c>
      <c r="O635" s="4">
        <v>0</v>
      </c>
      <c r="P635" s="3">
        <v>0</v>
      </c>
    </row>
    <row r="636" spans="1:16" ht="15" customHeight="1" x14ac:dyDescent="0.3">
      <c r="A636">
        <v>2018</v>
      </c>
      <c r="B636" s="2">
        <v>43223</v>
      </c>
      <c r="C636" t="s">
        <v>190</v>
      </c>
      <c r="D636" t="s">
        <v>749</v>
      </c>
      <c r="F636" t="s">
        <v>20</v>
      </c>
      <c r="G636" t="s">
        <v>38</v>
      </c>
      <c r="H636" t="s">
        <v>39</v>
      </c>
      <c r="I636" t="s">
        <v>141</v>
      </c>
      <c r="J636" t="s">
        <v>50</v>
      </c>
      <c r="K636" s="3">
        <v>1045426.36</v>
      </c>
      <c r="O636" s="4">
        <v>0</v>
      </c>
      <c r="P636" s="3">
        <v>0</v>
      </c>
    </row>
    <row r="637" spans="1:16" ht="15" customHeight="1" x14ac:dyDescent="0.3">
      <c r="A637">
        <v>2018</v>
      </c>
      <c r="B637" s="2">
        <v>43223</v>
      </c>
      <c r="C637" t="s">
        <v>190</v>
      </c>
      <c r="D637" t="s">
        <v>279</v>
      </c>
      <c r="F637" t="s">
        <v>20</v>
      </c>
      <c r="G637" t="s">
        <v>21</v>
      </c>
      <c r="H637" t="s">
        <v>22</v>
      </c>
      <c r="I637" t="s">
        <v>136</v>
      </c>
      <c r="J637" t="s">
        <v>50</v>
      </c>
      <c r="K637" s="3">
        <v>1446500</v>
      </c>
      <c r="O637" s="4">
        <v>0</v>
      </c>
      <c r="P637" s="3">
        <v>0</v>
      </c>
    </row>
    <row r="638" spans="1:16" ht="15" customHeight="1" x14ac:dyDescent="0.3">
      <c r="A638">
        <v>2018</v>
      </c>
      <c r="B638" s="2">
        <v>43224</v>
      </c>
      <c r="C638" t="s">
        <v>190</v>
      </c>
      <c r="D638" t="s">
        <v>69</v>
      </c>
      <c r="F638" t="s">
        <v>20</v>
      </c>
      <c r="G638" t="s">
        <v>21</v>
      </c>
      <c r="H638" t="s">
        <v>22</v>
      </c>
      <c r="I638" t="s">
        <v>23</v>
      </c>
      <c r="J638" t="s">
        <v>27</v>
      </c>
      <c r="K638" s="3">
        <v>655</v>
      </c>
      <c r="O638" s="4">
        <v>0</v>
      </c>
      <c r="P638" s="3">
        <v>0</v>
      </c>
    </row>
    <row r="639" spans="1:16" ht="15" customHeight="1" x14ac:dyDescent="0.3">
      <c r="A639">
        <v>2018</v>
      </c>
      <c r="B639" s="2">
        <v>43226</v>
      </c>
      <c r="C639" t="s">
        <v>190</v>
      </c>
      <c r="D639" t="s">
        <v>36</v>
      </c>
      <c r="F639" t="s">
        <v>20</v>
      </c>
      <c r="G639" t="s">
        <v>38</v>
      </c>
      <c r="H639" t="s">
        <v>39</v>
      </c>
      <c r="I639" t="s">
        <v>23</v>
      </c>
      <c r="J639" t="s">
        <v>27</v>
      </c>
      <c r="K639" s="3">
        <v>3187.53</v>
      </c>
      <c r="O639" s="4">
        <v>0</v>
      </c>
      <c r="P639" s="3">
        <v>0</v>
      </c>
    </row>
    <row r="640" spans="1:16" ht="15" customHeight="1" x14ac:dyDescent="0.3">
      <c r="A640">
        <v>2018</v>
      </c>
      <c r="B640" s="2">
        <v>43227</v>
      </c>
      <c r="C640" t="s">
        <v>190</v>
      </c>
      <c r="D640" t="s">
        <v>47</v>
      </c>
      <c r="F640" t="s">
        <v>20</v>
      </c>
      <c r="G640" t="s">
        <v>38</v>
      </c>
      <c r="H640" t="s">
        <v>39</v>
      </c>
      <c r="I640" t="s">
        <v>136</v>
      </c>
      <c r="J640" t="s">
        <v>123</v>
      </c>
      <c r="K640" s="3">
        <v>70000</v>
      </c>
      <c r="O640" s="4">
        <v>0</v>
      </c>
      <c r="P640" s="3">
        <v>0</v>
      </c>
    </row>
    <row r="641" spans="1:16" ht="15" customHeight="1" x14ac:dyDescent="0.3">
      <c r="A641">
        <v>2018</v>
      </c>
      <c r="B641" s="2">
        <v>43227</v>
      </c>
      <c r="C641" t="s">
        <v>190</v>
      </c>
      <c r="D641" t="s">
        <v>30</v>
      </c>
      <c r="F641" t="s">
        <v>20</v>
      </c>
      <c r="G641" t="s">
        <v>21</v>
      </c>
      <c r="H641" t="s">
        <v>22</v>
      </c>
      <c r="I641" t="s">
        <v>23</v>
      </c>
      <c r="J641" t="s">
        <v>27</v>
      </c>
      <c r="K641" s="3">
        <v>570</v>
      </c>
      <c r="O641" s="4">
        <v>0</v>
      </c>
      <c r="P641" s="3">
        <v>0</v>
      </c>
    </row>
    <row r="642" spans="1:16" ht="15" customHeight="1" x14ac:dyDescent="0.3">
      <c r="A642">
        <v>2018</v>
      </c>
      <c r="B642" s="2">
        <v>43229</v>
      </c>
      <c r="C642" t="s">
        <v>190</v>
      </c>
      <c r="D642" t="s">
        <v>750</v>
      </c>
      <c r="F642" t="s">
        <v>20</v>
      </c>
      <c r="G642" t="s">
        <v>38</v>
      </c>
      <c r="H642" t="s">
        <v>39</v>
      </c>
      <c r="I642" t="s">
        <v>306</v>
      </c>
      <c r="J642" t="s">
        <v>50</v>
      </c>
      <c r="K642" s="3">
        <v>489000</v>
      </c>
      <c r="O642" s="4">
        <v>0</v>
      </c>
      <c r="P642" s="3">
        <v>0</v>
      </c>
    </row>
    <row r="643" spans="1:16" ht="15" customHeight="1" x14ac:dyDescent="0.3">
      <c r="A643">
        <v>2018</v>
      </c>
      <c r="B643" s="2">
        <v>43229</v>
      </c>
      <c r="C643" t="s">
        <v>190</v>
      </c>
      <c r="D643" t="s">
        <v>750</v>
      </c>
      <c r="F643" t="s">
        <v>20</v>
      </c>
      <c r="G643" t="s">
        <v>38</v>
      </c>
      <c r="H643" t="s">
        <v>39</v>
      </c>
      <c r="I643" t="s">
        <v>306</v>
      </c>
      <c r="J643" t="s">
        <v>123</v>
      </c>
      <c r="K643" s="3">
        <v>115500</v>
      </c>
      <c r="O643" s="4">
        <v>0</v>
      </c>
      <c r="P643" s="3">
        <v>0</v>
      </c>
    </row>
    <row r="644" spans="1:16" ht="15" customHeight="1" x14ac:dyDescent="0.3">
      <c r="A644">
        <v>2018</v>
      </c>
      <c r="B644" s="2">
        <v>43235</v>
      </c>
      <c r="C644" t="s">
        <v>190</v>
      </c>
      <c r="D644" t="s">
        <v>34</v>
      </c>
      <c r="F644" t="s">
        <v>20</v>
      </c>
      <c r="G644" t="s">
        <v>21</v>
      </c>
      <c r="H644" t="s">
        <v>22</v>
      </c>
      <c r="I644" t="s">
        <v>141</v>
      </c>
      <c r="J644" t="s">
        <v>123</v>
      </c>
      <c r="K644" s="3">
        <v>96949.29</v>
      </c>
      <c r="O644" s="4">
        <v>0</v>
      </c>
      <c r="P644" s="3">
        <v>0</v>
      </c>
    </row>
    <row r="645" spans="1:16" ht="15" customHeight="1" x14ac:dyDescent="0.3">
      <c r="A645">
        <v>2018</v>
      </c>
      <c r="B645" s="2">
        <v>43237</v>
      </c>
      <c r="C645" t="s">
        <v>190</v>
      </c>
      <c r="D645" t="s">
        <v>675</v>
      </c>
      <c r="F645" t="s">
        <v>20</v>
      </c>
      <c r="G645" t="s">
        <v>38</v>
      </c>
      <c r="H645" t="s">
        <v>147</v>
      </c>
      <c r="I645" t="s">
        <v>306</v>
      </c>
      <c r="J645" t="s">
        <v>123</v>
      </c>
      <c r="K645" s="3">
        <v>120000</v>
      </c>
      <c r="O645" s="4">
        <v>0</v>
      </c>
      <c r="P645" s="3">
        <v>0</v>
      </c>
    </row>
    <row r="646" spans="1:16" ht="15" customHeight="1" x14ac:dyDescent="0.3">
      <c r="A646">
        <v>2018</v>
      </c>
      <c r="B646" s="2">
        <v>43238</v>
      </c>
      <c r="C646" t="s">
        <v>190</v>
      </c>
      <c r="D646" t="s">
        <v>47</v>
      </c>
      <c r="F646" t="s">
        <v>20</v>
      </c>
      <c r="G646" t="s">
        <v>38</v>
      </c>
      <c r="H646" t="s">
        <v>39</v>
      </c>
      <c r="I646" t="s">
        <v>136</v>
      </c>
      <c r="J646" t="s">
        <v>123</v>
      </c>
      <c r="K646" s="3">
        <v>4850</v>
      </c>
      <c r="O646" s="4">
        <v>0</v>
      </c>
      <c r="P646" s="3">
        <v>0</v>
      </c>
    </row>
    <row r="647" spans="1:16" ht="15" customHeight="1" x14ac:dyDescent="0.3">
      <c r="A647">
        <v>2018</v>
      </c>
      <c r="B647" s="2">
        <v>43242</v>
      </c>
      <c r="C647" t="s">
        <v>190</v>
      </c>
      <c r="D647" t="s">
        <v>30</v>
      </c>
      <c r="F647" t="s">
        <v>20</v>
      </c>
      <c r="G647" t="s">
        <v>21</v>
      </c>
      <c r="H647" t="s">
        <v>22</v>
      </c>
      <c r="I647" t="s">
        <v>141</v>
      </c>
      <c r="J647" t="s">
        <v>50</v>
      </c>
      <c r="K647" s="3">
        <v>32218.68</v>
      </c>
      <c r="O647" s="4">
        <v>0</v>
      </c>
      <c r="P647" s="3">
        <v>0</v>
      </c>
    </row>
    <row r="648" spans="1:16" ht="15" customHeight="1" x14ac:dyDescent="0.3">
      <c r="A648">
        <v>2018</v>
      </c>
      <c r="B648" s="2">
        <v>43242</v>
      </c>
      <c r="C648" t="s">
        <v>190</v>
      </c>
      <c r="D648" t="s">
        <v>61</v>
      </c>
      <c r="F648" t="s">
        <v>20</v>
      </c>
      <c r="G648" t="s">
        <v>21</v>
      </c>
      <c r="H648" t="s">
        <v>22</v>
      </c>
      <c r="I648" t="s">
        <v>742</v>
      </c>
      <c r="J648" t="s">
        <v>123</v>
      </c>
      <c r="K648" s="3">
        <v>44062.81</v>
      </c>
      <c r="O648" s="4">
        <v>0</v>
      </c>
      <c r="P648" s="3">
        <v>0</v>
      </c>
    </row>
    <row r="649" spans="1:16" ht="15" customHeight="1" x14ac:dyDescent="0.3">
      <c r="A649">
        <v>2018</v>
      </c>
      <c r="B649" s="2">
        <v>43244</v>
      </c>
      <c r="C649" t="s">
        <v>190</v>
      </c>
      <c r="D649" t="s">
        <v>47</v>
      </c>
      <c r="F649" t="s">
        <v>20</v>
      </c>
      <c r="G649" t="s">
        <v>38</v>
      </c>
      <c r="H649" t="s">
        <v>39</v>
      </c>
      <c r="I649" t="s">
        <v>136</v>
      </c>
      <c r="J649" t="s">
        <v>123</v>
      </c>
      <c r="K649" s="3">
        <v>4740</v>
      </c>
      <c r="O649" s="4">
        <v>0</v>
      </c>
      <c r="P649" s="3">
        <v>0</v>
      </c>
    </row>
    <row r="650" spans="1:16" ht="15" customHeight="1" x14ac:dyDescent="0.3">
      <c r="A650">
        <v>2018</v>
      </c>
      <c r="B650" s="2">
        <v>43244</v>
      </c>
      <c r="C650" t="s">
        <v>190</v>
      </c>
      <c r="D650" t="s">
        <v>36</v>
      </c>
      <c r="F650" t="s">
        <v>20</v>
      </c>
      <c r="G650" t="s">
        <v>38</v>
      </c>
      <c r="H650" t="s">
        <v>39</v>
      </c>
      <c r="I650" t="s">
        <v>136</v>
      </c>
      <c r="J650" t="s">
        <v>110</v>
      </c>
      <c r="K650" s="3">
        <v>29454.880000000001</v>
      </c>
      <c r="O650" s="4">
        <v>0</v>
      </c>
      <c r="P650" s="3">
        <v>0</v>
      </c>
    </row>
    <row r="651" spans="1:16" ht="15" customHeight="1" x14ac:dyDescent="0.3">
      <c r="A651">
        <v>2018</v>
      </c>
      <c r="B651" s="2">
        <v>43245</v>
      </c>
      <c r="C651" t="s">
        <v>190</v>
      </c>
      <c r="D651" t="s">
        <v>155</v>
      </c>
      <c r="F651" t="s">
        <v>20</v>
      </c>
      <c r="G651" t="s">
        <v>38</v>
      </c>
      <c r="H651" t="s">
        <v>39</v>
      </c>
      <c r="I651" t="s">
        <v>178</v>
      </c>
      <c r="J651" t="s">
        <v>123</v>
      </c>
      <c r="K651" s="3">
        <v>380000</v>
      </c>
      <c r="O651" s="4">
        <v>0</v>
      </c>
      <c r="P651" s="3">
        <v>0</v>
      </c>
    </row>
    <row r="652" spans="1:16" ht="15" customHeight="1" x14ac:dyDescent="0.3">
      <c r="A652">
        <v>2018</v>
      </c>
      <c r="B652" s="2">
        <v>43250</v>
      </c>
      <c r="C652" t="s">
        <v>190</v>
      </c>
      <c r="D652" t="s">
        <v>232</v>
      </c>
      <c r="F652" t="s">
        <v>20</v>
      </c>
      <c r="G652" t="s">
        <v>21</v>
      </c>
      <c r="H652" t="s">
        <v>101</v>
      </c>
      <c r="I652" t="s">
        <v>141</v>
      </c>
      <c r="J652" t="s">
        <v>123</v>
      </c>
      <c r="K652" s="3">
        <v>230017.49</v>
      </c>
      <c r="O652" s="4">
        <v>0</v>
      </c>
      <c r="P652" s="3">
        <v>0</v>
      </c>
    </row>
    <row r="653" spans="1:16" ht="15" customHeight="1" x14ac:dyDescent="0.3">
      <c r="A653">
        <v>2018</v>
      </c>
      <c r="B653" s="2">
        <v>43251</v>
      </c>
      <c r="C653" t="s">
        <v>190</v>
      </c>
      <c r="D653" t="s">
        <v>283</v>
      </c>
      <c r="F653" t="s">
        <v>20</v>
      </c>
      <c r="G653" t="s">
        <v>21</v>
      </c>
      <c r="H653" t="s">
        <v>22</v>
      </c>
      <c r="I653" t="s">
        <v>23</v>
      </c>
      <c r="J653" t="s">
        <v>27</v>
      </c>
      <c r="K653" s="3">
        <v>4505.6000000000004</v>
      </c>
      <c r="O653" s="4">
        <v>0</v>
      </c>
      <c r="P653" s="3">
        <v>0</v>
      </c>
    </row>
    <row r="654" spans="1:16" ht="15" customHeight="1" x14ac:dyDescent="0.3">
      <c r="A654">
        <v>2018</v>
      </c>
      <c r="B654" s="2">
        <v>43251</v>
      </c>
      <c r="C654" t="s">
        <v>190</v>
      </c>
      <c r="D654" t="s">
        <v>283</v>
      </c>
      <c r="F654" t="s">
        <v>20</v>
      </c>
      <c r="G654" t="s">
        <v>21</v>
      </c>
      <c r="H654" t="s">
        <v>22</v>
      </c>
      <c r="I654" t="s">
        <v>23</v>
      </c>
      <c r="J654" t="s">
        <v>27</v>
      </c>
      <c r="K654" s="3">
        <v>804</v>
      </c>
      <c r="O654" s="4">
        <v>0</v>
      </c>
      <c r="P654" s="3">
        <v>0</v>
      </c>
    </row>
    <row r="655" spans="1:16" ht="15" customHeight="1" x14ac:dyDescent="0.3">
      <c r="A655">
        <v>2018</v>
      </c>
      <c r="B655" s="2">
        <v>43255</v>
      </c>
      <c r="C655" t="s">
        <v>218</v>
      </c>
      <c r="D655" t="s">
        <v>364</v>
      </c>
      <c r="F655" t="s">
        <v>20</v>
      </c>
      <c r="G655" t="s">
        <v>21</v>
      </c>
      <c r="H655" t="s">
        <v>101</v>
      </c>
      <c r="I655" t="s">
        <v>141</v>
      </c>
      <c r="J655" t="s">
        <v>50</v>
      </c>
      <c r="K655" s="3">
        <v>512949.06</v>
      </c>
      <c r="O655" s="4">
        <v>0</v>
      </c>
      <c r="P655" s="3">
        <v>0</v>
      </c>
    </row>
    <row r="656" spans="1:16" ht="15" customHeight="1" x14ac:dyDescent="0.3">
      <c r="A656">
        <v>2018</v>
      </c>
      <c r="B656" s="2">
        <v>43256</v>
      </c>
      <c r="C656" t="s">
        <v>218</v>
      </c>
      <c r="D656" t="s">
        <v>36</v>
      </c>
      <c r="F656" t="s">
        <v>20</v>
      </c>
      <c r="G656" t="s">
        <v>38</v>
      </c>
      <c r="H656" t="s">
        <v>39</v>
      </c>
      <c r="I656" t="s">
        <v>23</v>
      </c>
      <c r="J656" t="s">
        <v>27</v>
      </c>
      <c r="K656" s="3">
        <v>574.29999999999995</v>
      </c>
      <c r="O656" s="4">
        <v>0</v>
      </c>
      <c r="P656" s="3">
        <v>0</v>
      </c>
    </row>
    <row r="657" spans="1:16" ht="15" customHeight="1" x14ac:dyDescent="0.3">
      <c r="A657">
        <v>2018</v>
      </c>
      <c r="B657" s="2">
        <v>43259</v>
      </c>
      <c r="C657" t="s">
        <v>218</v>
      </c>
      <c r="D657" t="s">
        <v>485</v>
      </c>
      <c r="F657" t="s">
        <v>20</v>
      </c>
      <c r="G657" t="s">
        <v>38</v>
      </c>
      <c r="H657" t="s">
        <v>39</v>
      </c>
      <c r="I657" t="s">
        <v>306</v>
      </c>
      <c r="J657" t="s">
        <v>123</v>
      </c>
      <c r="K657" s="3">
        <v>145000</v>
      </c>
      <c r="O657" s="4">
        <v>0</v>
      </c>
      <c r="P657" s="3">
        <v>0</v>
      </c>
    </row>
    <row r="658" spans="1:16" ht="15" customHeight="1" x14ac:dyDescent="0.3">
      <c r="A658">
        <v>2018</v>
      </c>
      <c r="B658" s="2">
        <v>43259</v>
      </c>
      <c r="C658" t="s">
        <v>218</v>
      </c>
      <c r="D658" t="s">
        <v>485</v>
      </c>
      <c r="F658" t="s">
        <v>20</v>
      </c>
      <c r="G658" t="s">
        <v>38</v>
      </c>
      <c r="H658" t="s">
        <v>39</v>
      </c>
      <c r="I658" t="s">
        <v>136</v>
      </c>
      <c r="J658" t="s">
        <v>50</v>
      </c>
      <c r="K658" s="3">
        <v>116000</v>
      </c>
      <c r="O658" s="4">
        <v>0</v>
      </c>
      <c r="P658" s="3">
        <v>0</v>
      </c>
    </row>
    <row r="659" spans="1:16" ht="15" customHeight="1" x14ac:dyDescent="0.3">
      <c r="A659">
        <v>2018</v>
      </c>
      <c r="B659" s="2">
        <v>43260</v>
      </c>
      <c r="C659" t="s">
        <v>218</v>
      </c>
      <c r="D659" t="s">
        <v>36</v>
      </c>
      <c r="F659" t="s">
        <v>20</v>
      </c>
      <c r="G659" t="s">
        <v>38</v>
      </c>
      <c r="H659" t="s">
        <v>39</v>
      </c>
      <c r="I659" t="s">
        <v>23</v>
      </c>
      <c r="J659" t="s">
        <v>27</v>
      </c>
      <c r="K659" s="3">
        <v>11280.78</v>
      </c>
      <c r="O659" s="4">
        <v>0</v>
      </c>
      <c r="P659" s="3">
        <v>0</v>
      </c>
    </row>
    <row r="660" spans="1:16" ht="15" customHeight="1" x14ac:dyDescent="0.3">
      <c r="A660">
        <v>2018</v>
      </c>
      <c r="B660" s="2">
        <v>43262</v>
      </c>
      <c r="C660" t="s">
        <v>218</v>
      </c>
      <c r="D660" t="s">
        <v>34</v>
      </c>
      <c r="F660" t="s">
        <v>20</v>
      </c>
      <c r="G660" t="s">
        <v>21</v>
      </c>
      <c r="H660" t="s">
        <v>22</v>
      </c>
      <c r="I660" t="s">
        <v>141</v>
      </c>
      <c r="J660" t="s">
        <v>123</v>
      </c>
      <c r="K660" s="3">
        <v>2667.28</v>
      </c>
      <c r="O660" s="4">
        <v>0</v>
      </c>
      <c r="P660" s="3">
        <v>0</v>
      </c>
    </row>
    <row r="661" spans="1:16" ht="15" customHeight="1" x14ac:dyDescent="0.3">
      <c r="A661">
        <v>2018</v>
      </c>
      <c r="B661" s="2">
        <v>43262</v>
      </c>
      <c r="C661" t="s">
        <v>218</v>
      </c>
      <c r="D661" t="s">
        <v>34</v>
      </c>
      <c r="F661" t="s">
        <v>20</v>
      </c>
      <c r="G661" t="s">
        <v>21</v>
      </c>
      <c r="H661" t="s">
        <v>22</v>
      </c>
      <c r="I661" t="s">
        <v>141</v>
      </c>
      <c r="J661" t="s">
        <v>123</v>
      </c>
      <c r="K661" s="3">
        <v>1134</v>
      </c>
      <c r="O661" s="4">
        <v>0</v>
      </c>
      <c r="P661" s="3">
        <v>0</v>
      </c>
    </row>
    <row r="662" spans="1:16" ht="15" customHeight="1" x14ac:dyDescent="0.3">
      <c r="A662">
        <v>2018</v>
      </c>
      <c r="B662" s="2">
        <v>43266</v>
      </c>
      <c r="C662" t="s">
        <v>218</v>
      </c>
      <c r="D662" t="s">
        <v>36</v>
      </c>
      <c r="F662" t="s">
        <v>20</v>
      </c>
      <c r="G662" t="s">
        <v>38</v>
      </c>
      <c r="H662" t="s">
        <v>39</v>
      </c>
      <c r="I662" t="s">
        <v>23</v>
      </c>
      <c r="J662" t="s">
        <v>27</v>
      </c>
      <c r="K662" s="3">
        <v>818.58</v>
      </c>
      <c r="O662" s="4">
        <v>0</v>
      </c>
      <c r="P662" s="3">
        <v>0</v>
      </c>
    </row>
    <row r="663" spans="1:16" ht="15" customHeight="1" x14ac:dyDescent="0.3">
      <c r="A663">
        <v>2018</v>
      </c>
      <c r="B663" s="2">
        <v>43269</v>
      </c>
      <c r="C663" t="s">
        <v>218</v>
      </c>
      <c r="D663" t="s">
        <v>693</v>
      </c>
      <c r="F663" t="s">
        <v>20</v>
      </c>
      <c r="G663" t="s">
        <v>21</v>
      </c>
      <c r="H663" t="s">
        <v>22</v>
      </c>
      <c r="I663" t="s">
        <v>306</v>
      </c>
      <c r="J663" t="s">
        <v>123</v>
      </c>
      <c r="K663" s="3">
        <v>59302.84</v>
      </c>
      <c r="O663" s="4">
        <v>0</v>
      </c>
      <c r="P663" s="3">
        <v>0</v>
      </c>
    </row>
    <row r="664" spans="1:16" ht="15" customHeight="1" x14ac:dyDescent="0.3">
      <c r="A664">
        <v>2018</v>
      </c>
      <c r="B664" s="2">
        <v>43270</v>
      </c>
      <c r="C664" t="s">
        <v>218</v>
      </c>
      <c r="D664" t="s">
        <v>271</v>
      </c>
      <c r="E664" t="s">
        <v>285</v>
      </c>
      <c r="F664" t="s">
        <v>20</v>
      </c>
      <c r="G664" t="s">
        <v>38</v>
      </c>
      <c r="H664" t="s">
        <v>89</v>
      </c>
      <c r="I664" t="s">
        <v>141</v>
      </c>
      <c r="J664" t="s">
        <v>110</v>
      </c>
      <c r="K664" s="3">
        <v>20442</v>
      </c>
      <c r="O664" s="4">
        <v>0</v>
      </c>
      <c r="P664" s="3">
        <v>0</v>
      </c>
    </row>
    <row r="665" spans="1:16" ht="15" customHeight="1" x14ac:dyDescent="0.3">
      <c r="A665">
        <v>2018</v>
      </c>
      <c r="B665" s="2">
        <v>43274</v>
      </c>
      <c r="C665" t="s">
        <v>218</v>
      </c>
      <c r="D665" t="s">
        <v>69</v>
      </c>
      <c r="F665" t="s">
        <v>20</v>
      </c>
      <c r="G665" t="s">
        <v>21</v>
      </c>
      <c r="H665" t="s">
        <v>22</v>
      </c>
      <c r="I665" t="s">
        <v>178</v>
      </c>
      <c r="J665" t="s">
        <v>123</v>
      </c>
      <c r="K665" s="3">
        <v>1280</v>
      </c>
      <c r="O665" s="4">
        <v>0</v>
      </c>
      <c r="P665" s="3">
        <v>0</v>
      </c>
    </row>
    <row r="666" spans="1:16" ht="15" customHeight="1" x14ac:dyDescent="0.3">
      <c r="A666">
        <v>2018</v>
      </c>
      <c r="B666" s="2">
        <v>43277</v>
      </c>
      <c r="C666" t="s">
        <v>218</v>
      </c>
      <c r="D666" t="s">
        <v>485</v>
      </c>
      <c r="F666" t="s">
        <v>20</v>
      </c>
      <c r="G666" t="s">
        <v>38</v>
      </c>
      <c r="H666" t="s">
        <v>39</v>
      </c>
      <c r="I666" t="s">
        <v>136</v>
      </c>
      <c r="J666" t="s">
        <v>50</v>
      </c>
      <c r="K666" s="3">
        <v>23000</v>
      </c>
      <c r="O666" s="4">
        <v>0</v>
      </c>
      <c r="P666" s="3">
        <v>0</v>
      </c>
    </row>
    <row r="667" spans="1:16" ht="15" customHeight="1" x14ac:dyDescent="0.3">
      <c r="A667">
        <v>2018</v>
      </c>
      <c r="B667" s="2">
        <v>43284</v>
      </c>
      <c r="C667" t="s">
        <v>262</v>
      </c>
      <c r="D667" t="s">
        <v>61</v>
      </c>
      <c r="F667" t="s">
        <v>20</v>
      </c>
      <c r="G667" t="s">
        <v>21</v>
      </c>
      <c r="H667" t="s">
        <v>22</v>
      </c>
      <c r="I667" t="s">
        <v>742</v>
      </c>
      <c r="J667" t="s">
        <v>123</v>
      </c>
      <c r="K667" s="3">
        <v>1780.87</v>
      </c>
      <c r="O667" s="4">
        <v>0</v>
      </c>
      <c r="P667" s="3">
        <v>0</v>
      </c>
    </row>
    <row r="668" spans="1:16" ht="15" customHeight="1" x14ac:dyDescent="0.3">
      <c r="A668">
        <v>2018</v>
      </c>
      <c r="B668" s="2">
        <v>43286</v>
      </c>
      <c r="C668" t="s">
        <v>262</v>
      </c>
      <c r="D668" t="s">
        <v>53</v>
      </c>
      <c r="F668" t="s">
        <v>20</v>
      </c>
      <c r="G668" t="s">
        <v>21</v>
      </c>
      <c r="H668" t="s">
        <v>22</v>
      </c>
      <c r="I668" t="s">
        <v>141</v>
      </c>
      <c r="J668" t="s">
        <v>123</v>
      </c>
      <c r="K668" s="3">
        <v>2420</v>
      </c>
      <c r="O668" s="4">
        <v>0</v>
      </c>
      <c r="P668" s="3">
        <v>0</v>
      </c>
    </row>
    <row r="669" spans="1:16" ht="15" customHeight="1" x14ac:dyDescent="0.3">
      <c r="A669">
        <v>2018</v>
      </c>
      <c r="B669" s="2">
        <v>43289</v>
      </c>
      <c r="C669" t="s">
        <v>262</v>
      </c>
      <c r="D669" t="s">
        <v>47</v>
      </c>
      <c r="F669" t="s">
        <v>20</v>
      </c>
      <c r="G669" t="s">
        <v>38</v>
      </c>
      <c r="H669" t="s">
        <v>39</v>
      </c>
      <c r="I669" t="s">
        <v>136</v>
      </c>
      <c r="J669" t="s">
        <v>123</v>
      </c>
      <c r="K669" s="3">
        <v>2790</v>
      </c>
      <c r="O669" s="4">
        <v>0</v>
      </c>
      <c r="P669" s="3">
        <v>0</v>
      </c>
    </row>
    <row r="670" spans="1:16" ht="15" customHeight="1" x14ac:dyDescent="0.3">
      <c r="A670">
        <v>2018</v>
      </c>
      <c r="B670" s="2">
        <v>43293</v>
      </c>
      <c r="C670" t="s">
        <v>262</v>
      </c>
      <c r="D670" t="s">
        <v>271</v>
      </c>
      <c r="E670" t="s">
        <v>285</v>
      </c>
      <c r="F670" t="s">
        <v>20</v>
      </c>
      <c r="G670" t="s">
        <v>38</v>
      </c>
      <c r="H670" t="s">
        <v>89</v>
      </c>
      <c r="I670" t="s">
        <v>141</v>
      </c>
      <c r="J670" t="s">
        <v>110</v>
      </c>
      <c r="K670" s="3">
        <v>10221.4</v>
      </c>
      <c r="O670" s="4">
        <v>0</v>
      </c>
      <c r="P670" s="3">
        <v>0</v>
      </c>
    </row>
    <row r="671" spans="1:16" ht="15" customHeight="1" x14ac:dyDescent="0.3">
      <c r="A671">
        <v>2018</v>
      </c>
      <c r="B671" s="2">
        <v>43293</v>
      </c>
      <c r="C671" t="s">
        <v>262</v>
      </c>
      <c r="D671" t="s">
        <v>142</v>
      </c>
      <c r="F671" t="s">
        <v>20</v>
      </c>
      <c r="G671" t="s">
        <v>38</v>
      </c>
      <c r="H671" t="s">
        <v>89</v>
      </c>
      <c r="I671" t="s">
        <v>23</v>
      </c>
      <c r="J671" t="s">
        <v>110</v>
      </c>
      <c r="K671" s="3">
        <v>12884.07</v>
      </c>
      <c r="O671" s="4">
        <v>0</v>
      </c>
      <c r="P671" s="3">
        <v>0</v>
      </c>
    </row>
    <row r="672" spans="1:16" ht="15" customHeight="1" x14ac:dyDescent="0.3">
      <c r="A672">
        <v>2018</v>
      </c>
      <c r="B672" s="2">
        <v>43305</v>
      </c>
      <c r="C672" t="s">
        <v>262</v>
      </c>
      <c r="D672" t="s">
        <v>159</v>
      </c>
      <c r="F672" t="s">
        <v>20</v>
      </c>
      <c r="G672" t="s">
        <v>107</v>
      </c>
      <c r="H672" t="s">
        <v>108</v>
      </c>
      <c r="I672" t="s">
        <v>306</v>
      </c>
      <c r="J672" t="s">
        <v>50</v>
      </c>
      <c r="K672" s="3">
        <v>84560.77</v>
      </c>
      <c r="O672" s="4">
        <v>0</v>
      </c>
      <c r="P672" s="3">
        <v>0</v>
      </c>
    </row>
    <row r="673" spans="1:16" ht="15" customHeight="1" x14ac:dyDescent="0.3">
      <c r="A673">
        <v>2018</v>
      </c>
      <c r="B673" s="2">
        <v>43305</v>
      </c>
      <c r="C673" t="s">
        <v>262</v>
      </c>
      <c r="D673" t="s">
        <v>279</v>
      </c>
      <c r="F673" t="s">
        <v>20</v>
      </c>
      <c r="G673" t="s">
        <v>21</v>
      </c>
      <c r="H673" t="s">
        <v>22</v>
      </c>
      <c r="I673" t="s">
        <v>136</v>
      </c>
      <c r="J673" t="s">
        <v>50</v>
      </c>
      <c r="K673" s="3">
        <v>39268.93</v>
      </c>
      <c r="O673" s="4">
        <v>0</v>
      </c>
      <c r="P673" s="3">
        <v>0</v>
      </c>
    </row>
    <row r="674" spans="1:16" ht="15" customHeight="1" x14ac:dyDescent="0.3">
      <c r="A674">
        <v>2018</v>
      </c>
      <c r="B674" s="2">
        <v>43305</v>
      </c>
      <c r="C674" t="s">
        <v>262</v>
      </c>
      <c r="D674" t="s">
        <v>279</v>
      </c>
      <c r="F674" t="s">
        <v>20</v>
      </c>
      <c r="G674" t="s">
        <v>21</v>
      </c>
      <c r="H674" t="s">
        <v>22</v>
      </c>
      <c r="I674" t="s">
        <v>23</v>
      </c>
      <c r="J674" t="s">
        <v>27</v>
      </c>
      <c r="K674" s="3">
        <v>7000</v>
      </c>
      <c r="O674" s="4">
        <v>0</v>
      </c>
      <c r="P674" s="3">
        <v>0</v>
      </c>
    </row>
    <row r="675" spans="1:16" ht="15" customHeight="1" x14ac:dyDescent="0.3">
      <c r="A675">
        <v>2018</v>
      </c>
      <c r="B675" s="2">
        <v>43306</v>
      </c>
      <c r="C675" t="s">
        <v>262</v>
      </c>
      <c r="D675" t="s">
        <v>53</v>
      </c>
      <c r="F675" t="s">
        <v>20</v>
      </c>
      <c r="G675" t="s">
        <v>21</v>
      </c>
      <c r="H675" t="s">
        <v>22</v>
      </c>
      <c r="I675" t="s">
        <v>141</v>
      </c>
      <c r="J675" t="s">
        <v>123</v>
      </c>
      <c r="K675" s="3">
        <v>5280</v>
      </c>
      <c r="O675" s="4">
        <v>0</v>
      </c>
      <c r="P675" s="3">
        <v>0</v>
      </c>
    </row>
    <row r="676" spans="1:16" ht="15" customHeight="1" x14ac:dyDescent="0.3">
      <c r="A676">
        <v>2018</v>
      </c>
      <c r="B676" s="2">
        <v>43306</v>
      </c>
      <c r="C676" t="s">
        <v>262</v>
      </c>
      <c r="D676" t="s">
        <v>53</v>
      </c>
      <c r="F676" t="s">
        <v>20</v>
      </c>
      <c r="G676" t="s">
        <v>21</v>
      </c>
      <c r="H676" t="s">
        <v>22</v>
      </c>
      <c r="I676" t="s">
        <v>23</v>
      </c>
      <c r="J676" t="s">
        <v>27</v>
      </c>
      <c r="K676" s="3">
        <v>504</v>
      </c>
      <c r="O676" s="4">
        <v>0</v>
      </c>
      <c r="P676" s="3">
        <v>0</v>
      </c>
    </row>
    <row r="677" spans="1:16" ht="15" customHeight="1" x14ac:dyDescent="0.3">
      <c r="A677">
        <v>2018</v>
      </c>
      <c r="B677" s="2">
        <v>43307</v>
      </c>
      <c r="C677" t="s">
        <v>262</v>
      </c>
      <c r="D677" t="s">
        <v>47</v>
      </c>
      <c r="F677" t="s">
        <v>20</v>
      </c>
      <c r="G677" t="s">
        <v>38</v>
      </c>
      <c r="H677" t="s">
        <v>39</v>
      </c>
      <c r="I677" t="s">
        <v>23</v>
      </c>
      <c r="J677" t="s">
        <v>27</v>
      </c>
      <c r="K677" s="3">
        <v>1330</v>
      </c>
      <c r="O677" s="4">
        <v>0</v>
      </c>
      <c r="P677" s="3">
        <v>0</v>
      </c>
    </row>
    <row r="678" spans="1:16" ht="15" customHeight="1" x14ac:dyDescent="0.3">
      <c r="A678">
        <v>2018</v>
      </c>
      <c r="B678" s="2">
        <v>43309</v>
      </c>
      <c r="C678" t="s">
        <v>262</v>
      </c>
      <c r="D678" t="s">
        <v>155</v>
      </c>
      <c r="F678" t="s">
        <v>20</v>
      </c>
      <c r="G678" t="s">
        <v>38</v>
      </c>
      <c r="H678" t="s">
        <v>39</v>
      </c>
      <c r="I678" t="s">
        <v>178</v>
      </c>
      <c r="J678" t="s">
        <v>123</v>
      </c>
      <c r="K678" s="3">
        <v>4100</v>
      </c>
      <c r="O678" s="4">
        <v>0</v>
      </c>
      <c r="P678" s="3">
        <v>0</v>
      </c>
    </row>
    <row r="679" spans="1:16" ht="15" customHeight="1" x14ac:dyDescent="0.3">
      <c r="A679">
        <v>2018</v>
      </c>
      <c r="B679" s="2">
        <v>43312</v>
      </c>
      <c r="C679" t="s">
        <v>262</v>
      </c>
      <c r="D679" t="s">
        <v>61</v>
      </c>
      <c r="F679" t="s">
        <v>20</v>
      </c>
      <c r="G679" t="s">
        <v>21</v>
      </c>
      <c r="H679" t="s">
        <v>22</v>
      </c>
      <c r="I679" t="s">
        <v>141</v>
      </c>
      <c r="J679" t="s">
        <v>123</v>
      </c>
      <c r="K679" s="3">
        <v>76367.63</v>
      </c>
      <c r="O679" s="4">
        <v>0</v>
      </c>
      <c r="P679" s="3">
        <v>0</v>
      </c>
    </row>
    <row r="680" spans="1:16" ht="15" customHeight="1" x14ac:dyDescent="0.3">
      <c r="A680">
        <v>2018</v>
      </c>
      <c r="B680" s="2">
        <v>43312</v>
      </c>
      <c r="C680" t="s">
        <v>262</v>
      </c>
      <c r="D680" t="s">
        <v>749</v>
      </c>
      <c r="F680" t="s">
        <v>20</v>
      </c>
      <c r="G680" t="s">
        <v>38</v>
      </c>
      <c r="H680" t="s">
        <v>39</v>
      </c>
      <c r="I680" t="s">
        <v>141</v>
      </c>
      <c r="J680" t="s">
        <v>50</v>
      </c>
      <c r="K680" s="3">
        <v>14264.58</v>
      </c>
      <c r="O680" s="4">
        <v>0</v>
      </c>
      <c r="P680" s="3">
        <v>0</v>
      </c>
    </row>
    <row r="681" spans="1:16" ht="15" customHeight="1" x14ac:dyDescent="0.3">
      <c r="A681">
        <v>2018</v>
      </c>
      <c r="B681" s="2">
        <v>43315</v>
      </c>
      <c r="C681" t="s">
        <v>291</v>
      </c>
      <c r="D681" t="s">
        <v>232</v>
      </c>
      <c r="F681" t="s">
        <v>20</v>
      </c>
      <c r="G681" t="s">
        <v>21</v>
      </c>
      <c r="H681" t="s">
        <v>101</v>
      </c>
      <c r="I681" t="s">
        <v>141</v>
      </c>
      <c r="J681" t="s">
        <v>123</v>
      </c>
      <c r="K681" s="3">
        <v>4900</v>
      </c>
      <c r="O681" s="4">
        <v>0</v>
      </c>
      <c r="P681" s="3">
        <v>0</v>
      </c>
    </row>
    <row r="682" spans="1:16" ht="15" customHeight="1" x14ac:dyDescent="0.3">
      <c r="A682">
        <v>2018</v>
      </c>
      <c r="B682" s="2">
        <v>43315</v>
      </c>
      <c r="C682" t="s">
        <v>291</v>
      </c>
      <c r="D682" t="s">
        <v>747</v>
      </c>
      <c r="F682" t="s">
        <v>20</v>
      </c>
      <c r="G682" t="s">
        <v>38</v>
      </c>
      <c r="H682" t="s">
        <v>39</v>
      </c>
      <c r="I682" t="s">
        <v>23</v>
      </c>
      <c r="J682" t="s">
        <v>27</v>
      </c>
      <c r="K682" s="3">
        <v>1120</v>
      </c>
      <c r="O682" s="4">
        <v>0</v>
      </c>
      <c r="P682" s="3">
        <v>0</v>
      </c>
    </row>
    <row r="683" spans="1:16" ht="15" customHeight="1" x14ac:dyDescent="0.3">
      <c r="A683">
        <v>2018</v>
      </c>
      <c r="B683" s="2">
        <v>43316</v>
      </c>
      <c r="C683" t="s">
        <v>291</v>
      </c>
      <c r="D683" t="s">
        <v>746</v>
      </c>
      <c r="F683" t="s">
        <v>20</v>
      </c>
      <c r="G683" t="s">
        <v>21</v>
      </c>
      <c r="H683" t="s">
        <v>22</v>
      </c>
      <c r="I683" t="s">
        <v>141</v>
      </c>
      <c r="J683" t="s">
        <v>50</v>
      </c>
      <c r="K683" s="3">
        <v>12050</v>
      </c>
      <c r="O683" s="4">
        <v>0</v>
      </c>
      <c r="P683" s="3">
        <v>0</v>
      </c>
    </row>
    <row r="684" spans="1:16" ht="15" customHeight="1" x14ac:dyDescent="0.3">
      <c r="A684">
        <v>2018</v>
      </c>
      <c r="B684" s="2">
        <v>43316</v>
      </c>
      <c r="C684" t="s">
        <v>291</v>
      </c>
      <c r="D684" t="s">
        <v>36</v>
      </c>
      <c r="F684" t="s">
        <v>20</v>
      </c>
      <c r="G684" t="s">
        <v>38</v>
      </c>
      <c r="H684" t="s">
        <v>39</v>
      </c>
      <c r="I684" t="s">
        <v>23</v>
      </c>
      <c r="J684" t="s">
        <v>27</v>
      </c>
      <c r="K684" s="3">
        <v>300</v>
      </c>
      <c r="O684" s="4">
        <v>0</v>
      </c>
      <c r="P684" s="3">
        <v>0</v>
      </c>
    </row>
    <row r="685" spans="1:16" ht="15" customHeight="1" x14ac:dyDescent="0.3">
      <c r="A685">
        <v>2018</v>
      </c>
      <c r="B685" s="2">
        <v>43318</v>
      </c>
      <c r="C685" t="s">
        <v>291</v>
      </c>
      <c r="D685" t="s">
        <v>675</v>
      </c>
      <c r="F685" t="s">
        <v>20</v>
      </c>
      <c r="G685" t="s">
        <v>38</v>
      </c>
      <c r="H685" t="s">
        <v>147</v>
      </c>
      <c r="I685" t="s">
        <v>306</v>
      </c>
      <c r="J685" t="s">
        <v>123</v>
      </c>
      <c r="K685" s="3">
        <v>3925.25</v>
      </c>
      <c r="O685" s="4">
        <v>0</v>
      </c>
      <c r="P685" s="3">
        <v>0</v>
      </c>
    </row>
    <row r="686" spans="1:16" ht="15" customHeight="1" x14ac:dyDescent="0.3">
      <c r="A686">
        <v>2018</v>
      </c>
      <c r="B686" s="2">
        <v>43322</v>
      </c>
      <c r="C686" t="s">
        <v>291</v>
      </c>
      <c r="D686" t="s">
        <v>36</v>
      </c>
      <c r="F686" t="s">
        <v>20</v>
      </c>
      <c r="G686" t="s">
        <v>38</v>
      </c>
      <c r="H686" t="s">
        <v>39</v>
      </c>
      <c r="I686" t="s">
        <v>23</v>
      </c>
      <c r="J686" t="s">
        <v>27</v>
      </c>
      <c r="K686" s="3">
        <v>818.59</v>
      </c>
      <c r="O686" s="4">
        <v>0</v>
      </c>
      <c r="P686" s="3">
        <v>0</v>
      </c>
    </row>
    <row r="687" spans="1:16" ht="15" customHeight="1" x14ac:dyDescent="0.3">
      <c r="A687">
        <v>2018</v>
      </c>
      <c r="B687" s="2">
        <v>43325</v>
      </c>
      <c r="C687" t="s">
        <v>291</v>
      </c>
      <c r="D687" t="s">
        <v>743</v>
      </c>
      <c r="F687" t="s">
        <v>20</v>
      </c>
      <c r="G687" t="s">
        <v>38</v>
      </c>
      <c r="H687" t="s">
        <v>89</v>
      </c>
      <c r="I687" t="s">
        <v>141</v>
      </c>
      <c r="J687" t="s">
        <v>123</v>
      </c>
      <c r="K687" s="3">
        <v>50198.46</v>
      </c>
      <c r="O687" s="4">
        <v>0</v>
      </c>
      <c r="P687" s="3">
        <v>0</v>
      </c>
    </row>
    <row r="688" spans="1:16" ht="15" customHeight="1" x14ac:dyDescent="0.3">
      <c r="A688">
        <v>2018</v>
      </c>
      <c r="B688" s="2">
        <v>43332</v>
      </c>
      <c r="C688" t="s">
        <v>291</v>
      </c>
      <c r="D688" t="s">
        <v>36</v>
      </c>
      <c r="F688" t="s">
        <v>20</v>
      </c>
      <c r="G688" t="s">
        <v>38</v>
      </c>
      <c r="H688" t="s">
        <v>39</v>
      </c>
      <c r="I688" t="s">
        <v>306</v>
      </c>
      <c r="J688" t="s">
        <v>50</v>
      </c>
      <c r="K688" s="3">
        <v>27719</v>
      </c>
      <c r="O688" s="4">
        <v>0</v>
      </c>
      <c r="P688" s="3">
        <v>0</v>
      </c>
    </row>
    <row r="689" spans="1:16" ht="15" customHeight="1" x14ac:dyDescent="0.3">
      <c r="A689">
        <v>2018</v>
      </c>
      <c r="B689" s="2">
        <v>43334</v>
      </c>
      <c r="C689" t="s">
        <v>291</v>
      </c>
      <c r="D689" t="s">
        <v>53</v>
      </c>
      <c r="F689" t="s">
        <v>20</v>
      </c>
      <c r="G689" t="s">
        <v>21</v>
      </c>
      <c r="H689" t="s">
        <v>22</v>
      </c>
      <c r="I689" t="s">
        <v>23</v>
      </c>
      <c r="J689" t="s">
        <v>27</v>
      </c>
      <c r="K689" s="3">
        <v>1350</v>
      </c>
      <c r="O689" s="4">
        <v>0</v>
      </c>
      <c r="P689" s="3">
        <v>0</v>
      </c>
    </row>
    <row r="690" spans="1:16" ht="15" customHeight="1" x14ac:dyDescent="0.3">
      <c r="A690">
        <v>2018</v>
      </c>
      <c r="B690" s="2">
        <v>43334</v>
      </c>
      <c r="C690" t="s">
        <v>291</v>
      </c>
      <c r="D690" t="s">
        <v>205</v>
      </c>
      <c r="F690" t="s">
        <v>20</v>
      </c>
      <c r="G690" t="s">
        <v>21</v>
      </c>
      <c r="H690" t="s">
        <v>22</v>
      </c>
      <c r="I690" t="s">
        <v>141</v>
      </c>
      <c r="J690" t="s">
        <v>123</v>
      </c>
      <c r="K690" s="3">
        <v>310000.05</v>
      </c>
      <c r="O690" s="4">
        <v>0</v>
      </c>
      <c r="P690" s="3">
        <v>0</v>
      </c>
    </row>
    <row r="691" spans="1:16" ht="15" customHeight="1" x14ac:dyDescent="0.3">
      <c r="A691">
        <v>2018</v>
      </c>
      <c r="B691" s="2">
        <v>43335</v>
      </c>
      <c r="C691" t="s">
        <v>291</v>
      </c>
      <c r="D691" t="s">
        <v>36</v>
      </c>
      <c r="F691" t="s">
        <v>20</v>
      </c>
      <c r="G691" t="s">
        <v>38</v>
      </c>
      <c r="H691" t="s">
        <v>39</v>
      </c>
      <c r="I691" t="s">
        <v>136</v>
      </c>
      <c r="J691" t="s">
        <v>50</v>
      </c>
      <c r="K691" s="3">
        <v>34100.410000000003</v>
      </c>
      <c r="O691" s="4">
        <v>0</v>
      </c>
      <c r="P691" s="3">
        <v>0</v>
      </c>
    </row>
    <row r="692" spans="1:16" ht="15" customHeight="1" x14ac:dyDescent="0.3">
      <c r="A692">
        <v>2018</v>
      </c>
      <c r="B692" s="2">
        <v>43343</v>
      </c>
      <c r="C692" t="s">
        <v>291</v>
      </c>
      <c r="D692" t="s">
        <v>534</v>
      </c>
      <c r="F692" t="s">
        <v>20</v>
      </c>
      <c r="G692" t="s">
        <v>21</v>
      </c>
      <c r="H692" t="s">
        <v>22</v>
      </c>
      <c r="I692" t="s">
        <v>23</v>
      </c>
      <c r="J692" t="s">
        <v>123</v>
      </c>
      <c r="K692" s="3">
        <v>162097.98000000001</v>
      </c>
      <c r="O692" s="4">
        <v>0</v>
      </c>
      <c r="P692" s="3">
        <v>0</v>
      </c>
    </row>
    <row r="693" spans="1:16" ht="15" customHeight="1" x14ac:dyDescent="0.3">
      <c r="A693">
        <v>2018</v>
      </c>
      <c r="B693" s="2">
        <v>43346</v>
      </c>
      <c r="C693" t="s">
        <v>325</v>
      </c>
      <c r="D693" t="s">
        <v>155</v>
      </c>
      <c r="F693" t="s">
        <v>20</v>
      </c>
      <c r="G693" t="s">
        <v>38</v>
      </c>
      <c r="H693" t="s">
        <v>39</v>
      </c>
      <c r="I693" t="s">
        <v>178</v>
      </c>
      <c r="J693" t="s">
        <v>123</v>
      </c>
      <c r="K693" s="3">
        <v>11412.69</v>
      </c>
      <c r="O693" s="4">
        <v>0</v>
      </c>
      <c r="P693" s="3">
        <v>0</v>
      </c>
    </row>
    <row r="694" spans="1:16" ht="15" customHeight="1" x14ac:dyDescent="0.3">
      <c r="A694">
        <v>2018</v>
      </c>
      <c r="B694" s="2">
        <v>43346</v>
      </c>
      <c r="C694" t="s">
        <v>325</v>
      </c>
      <c r="D694" t="s">
        <v>617</v>
      </c>
      <c r="F694" t="s">
        <v>20</v>
      </c>
      <c r="G694" t="s">
        <v>38</v>
      </c>
      <c r="H694" t="s">
        <v>619</v>
      </c>
      <c r="I694" t="s">
        <v>334</v>
      </c>
      <c r="J694" t="s">
        <v>123</v>
      </c>
      <c r="K694" s="3">
        <v>119440.49</v>
      </c>
      <c r="O694" s="4">
        <v>0</v>
      </c>
      <c r="P694" s="3">
        <v>0</v>
      </c>
    </row>
    <row r="695" spans="1:16" ht="15" customHeight="1" x14ac:dyDescent="0.3">
      <c r="A695">
        <v>2018</v>
      </c>
      <c r="B695" s="2">
        <v>43350</v>
      </c>
      <c r="C695" t="s">
        <v>325</v>
      </c>
      <c r="D695" t="s">
        <v>751</v>
      </c>
      <c r="F695" t="s">
        <v>20</v>
      </c>
      <c r="G695" t="s">
        <v>21</v>
      </c>
      <c r="H695" t="s">
        <v>22</v>
      </c>
      <c r="I695" t="s">
        <v>538</v>
      </c>
      <c r="J695" t="s">
        <v>123</v>
      </c>
      <c r="K695" s="3">
        <v>64000.03</v>
      </c>
      <c r="O695" s="4">
        <v>0</v>
      </c>
      <c r="P695" s="3">
        <v>0</v>
      </c>
    </row>
    <row r="696" spans="1:16" ht="15" customHeight="1" x14ac:dyDescent="0.3">
      <c r="A696">
        <v>2018</v>
      </c>
      <c r="B696" s="2">
        <v>43350</v>
      </c>
      <c r="C696" t="s">
        <v>325</v>
      </c>
      <c r="D696" t="s">
        <v>36</v>
      </c>
      <c r="F696" t="s">
        <v>20</v>
      </c>
      <c r="G696" t="s">
        <v>38</v>
      </c>
      <c r="H696" t="s">
        <v>89</v>
      </c>
      <c r="I696" t="s">
        <v>141</v>
      </c>
      <c r="J696" t="s">
        <v>123</v>
      </c>
      <c r="K696" s="3">
        <v>30660</v>
      </c>
      <c r="O696" s="4">
        <v>0</v>
      </c>
      <c r="P696" s="3">
        <v>0</v>
      </c>
    </row>
    <row r="697" spans="1:16" ht="15" customHeight="1" x14ac:dyDescent="0.3">
      <c r="A697">
        <v>2018</v>
      </c>
      <c r="B697" s="2">
        <v>43356</v>
      </c>
      <c r="C697" t="s">
        <v>325</v>
      </c>
      <c r="D697" t="s">
        <v>61</v>
      </c>
      <c r="F697" t="s">
        <v>20</v>
      </c>
      <c r="G697" t="s">
        <v>21</v>
      </c>
      <c r="H697" t="s">
        <v>22</v>
      </c>
      <c r="I697" t="s">
        <v>742</v>
      </c>
      <c r="J697" t="s">
        <v>123</v>
      </c>
      <c r="K697" s="3">
        <v>821.25</v>
      </c>
      <c r="O697" s="4">
        <v>0</v>
      </c>
      <c r="P697" s="3">
        <v>0</v>
      </c>
    </row>
    <row r="698" spans="1:16" ht="15" customHeight="1" x14ac:dyDescent="0.3">
      <c r="A698">
        <v>2018</v>
      </c>
      <c r="B698" s="2">
        <v>43357</v>
      </c>
      <c r="C698" t="s">
        <v>325</v>
      </c>
      <c r="D698" t="s">
        <v>364</v>
      </c>
      <c r="F698" t="s">
        <v>20</v>
      </c>
      <c r="G698" t="s">
        <v>21</v>
      </c>
      <c r="H698" t="s">
        <v>101</v>
      </c>
      <c r="I698" t="s">
        <v>141</v>
      </c>
      <c r="J698" t="s">
        <v>50</v>
      </c>
      <c r="K698" s="3">
        <v>3687</v>
      </c>
      <c r="O698" s="4">
        <v>0</v>
      </c>
      <c r="P698" s="3">
        <v>0</v>
      </c>
    </row>
    <row r="699" spans="1:16" ht="15" customHeight="1" x14ac:dyDescent="0.3">
      <c r="A699">
        <v>2018</v>
      </c>
      <c r="B699" s="2">
        <v>43360</v>
      </c>
      <c r="C699" t="s">
        <v>325</v>
      </c>
      <c r="D699" t="s">
        <v>155</v>
      </c>
      <c r="F699" t="s">
        <v>20</v>
      </c>
      <c r="G699" t="s">
        <v>38</v>
      </c>
      <c r="H699" t="s">
        <v>39</v>
      </c>
      <c r="I699" t="s">
        <v>178</v>
      </c>
      <c r="J699" t="s">
        <v>123</v>
      </c>
      <c r="K699" s="3">
        <v>1267.1199999999999</v>
      </c>
      <c r="O699" s="4">
        <v>0</v>
      </c>
      <c r="P699" s="3">
        <v>0</v>
      </c>
    </row>
    <row r="700" spans="1:16" ht="15" customHeight="1" x14ac:dyDescent="0.3">
      <c r="A700">
        <v>2018</v>
      </c>
      <c r="B700" s="2">
        <v>43360</v>
      </c>
      <c r="C700" t="s">
        <v>325</v>
      </c>
      <c r="D700" t="s">
        <v>155</v>
      </c>
      <c r="F700" t="s">
        <v>20</v>
      </c>
      <c r="G700" t="s">
        <v>38</v>
      </c>
      <c r="H700" t="s">
        <v>39</v>
      </c>
      <c r="I700" t="s">
        <v>23</v>
      </c>
      <c r="J700" t="s">
        <v>27</v>
      </c>
      <c r="K700" s="3">
        <v>750</v>
      </c>
      <c r="O700" s="4">
        <v>0</v>
      </c>
      <c r="P700" s="3">
        <v>0</v>
      </c>
    </row>
    <row r="701" spans="1:16" ht="15" customHeight="1" x14ac:dyDescent="0.3">
      <c r="A701">
        <v>2018</v>
      </c>
      <c r="B701" s="2">
        <v>43360</v>
      </c>
      <c r="C701" t="s">
        <v>325</v>
      </c>
      <c r="D701" t="s">
        <v>53</v>
      </c>
      <c r="F701" t="s">
        <v>20</v>
      </c>
      <c r="G701" t="s">
        <v>21</v>
      </c>
      <c r="H701" t="s">
        <v>22</v>
      </c>
      <c r="I701" t="s">
        <v>141</v>
      </c>
      <c r="J701" t="s">
        <v>123</v>
      </c>
      <c r="K701" s="3">
        <v>21092.959999999999</v>
      </c>
      <c r="O701" s="4">
        <v>0</v>
      </c>
      <c r="P701" s="3">
        <v>0</v>
      </c>
    </row>
    <row r="702" spans="1:16" ht="15" customHeight="1" x14ac:dyDescent="0.3">
      <c r="A702">
        <v>2018</v>
      </c>
      <c r="B702" s="2">
        <v>43361</v>
      </c>
      <c r="C702" t="s">
        <v>325</v>
      </c>
      <c r="D702" t="s">
        <v>746</v>
      </c>
      <c r="F702" t="s">
        <v>20</v>
      </c>
      <c r="G702" t="s">
        <v>21</v>
      </c>
      <c r="H702" t="s">
        <v>22</v>
      </c>
      <c r="I702" t="s">
        <v>141</v>
      </c>
      <c r="J702" t="s">
        <v>50</v>
      </c>
      <c r="K702" s="3">
        <v>21980.58</v>
      </c>
      <c r="O702" s="4">
        <v>0</v>
      </c>
      <c r="P702" s="3">
        <v>0</v>
      </c>
    </row>
    <row r="703" spans="1:16" ht="15" customHeight="1" x14ac:dyDescent="0.3">
      <c r="A703">
        <v>2018</v>
      </c>
      <c r="B703" s="2">
        <v>43362</v>
      </c>
      <c r="C703" t="s">
        <v>325</v>
      </c>
      <c r="D703" t="s">
        <v>752</v>
      </c>
      <c r="F703" t="s">
        <v>20</v>
      </c>
      <c r="G703" t="s">
        <v>21</v>
      </c>
      <c r="H703" t="s">
        <v>22</v>
      </c>
      <c r="I703" t="s">
        <v>23</v>
      </c>
      <c r="J703" t="s">
        <v>27</v>
      </c>
      <c r="K703" s="3">
        <v>4125</v>
      </c>
      <c r="O703" s="4">
        <v>0</v>
      </c>
      <c r="P703" s="3">
        <v>0</v>
      </c>
    </row>
    <row r="704" spans="1:16" ht="15" customHeight="1" x14ac:dyDescent="0.3">
      <c r="A704">
        <v>2018</v>
      </c>
      <c r="B704" s="2">
        <v>43364</v>
      </c>
      <c r="C704" t="s">
        <v>325</v>
      </c>
      <c r="D704" t="s">
        <v>30</v>
      </c>
      <c r="F704" t="s">
        <v>20</v>
      </c>
      <c r="G704" t="s">
        <v>21</v>
      </c>
      <c r="H704" t="s">
        <v>22</v>
      </c>
      <c r="I704" t="s">
        <v>136</v>
      </c>
      <c r="J704" t="s">
        <v>50</v>
      </c>
      <c r="K704" s="3">
        <v>67658.559999999998</v>
      </c>
      <c r="O704" s="4">
        <v>0</v>
      </c>
      <c r="P704" s="3">
        <v>0</v>
      </c>
    </row>
    <row r="705" spans="1:16" ht="15" customHeight="1" x14ac:dyDescent="0.3">
      <c r="A705">
        <v>2018</v>
      </c>
      <c r="B705" s="2">
        <v>43371</v>
      </c>
      <c r="C705" t="s">
        <v>325</v>
      </c>
      <c r="D705" t="s">
        <v>53</v>
      </c>
      <c r="F705" t="s">
        <v>20</v>
      </c>
      <c r="G705" t="s">
        <v>21</v>
      </c>
      <c r="H705" t="s">
        <v>22</v>
      </c>
      <c r="I705" t="s">
        <v>23</v>
      </c>
      <c r="J705" t="s">
        <v>27</v>
      </c>
      <c r="K705" s="3">
        <v>530</v>
      </c>
      <c r="O705" s="4">
        <v>0</v>
      </c>
      <c r="P705" s="3">
        <v>0</v>
      </c>
    </row>
    <row r="706" spans="1:16" ht="15" customHeight="1" x14ac:dyDescent="0.3">
      <c r="A706">
        <v>2018</v>
      </c>
      <c r="B706" s="2">
        <v>43375</v>
      </c>
      <c r="C706" t="s">
        <v>357</v>
      </c>
      <c r="D706" t="s">
        <v>753</v>
      </c>
      <c r="F706" t="s">
        <v>20</v>
      </c>
      <c r="G706" t="s">
        <v>107</v>
      </c>
      <c r="H706" t="s">
        <v>108</v>
      </c>
      <c r="I706" t="s">
        <v>141</v>
      </c>
      <c r="J706" t="s">
        <v>123</v>
      </c>
      <c r="K706" s="3">
        <v>259281.66</v>
      </c>
      <c r="O706" s="4">
        <v>0</v>
      </c>
      <c r="P706" s="3">
        <v>0</v>
      </c>
    </row>
    <row r="707" spans="1:16" ht="15" customHeight="1" x14ac:dyDescent="0.3">
      <c r="A707">
        <v>2018</v>
      </c>
      <c r="B707" s="2">
        <v>43375</v>
      </c>
      <c r="C707" t="s">
        <v>357</v>
      </c>
      <c r="D707" t="s">
        <v>36</v>
      </c>
      <c r="F707" t="s">
        <v>20</v>
      </c>
      <c r="G707" t="s">
        <v>38</v>
      </c>
      <c r="H707" t="s">
        <v>89</v>
      </c>
      <c r="I707" t="s">
        <v>23</v>
      </c>
      <c r="J707" t="s">
        <v>27</v>
      </c>
      <c r="K707" s="3">
        <v>2583.7399999999998</v>
      </c>
      <c r="O707" s="4">
        <v>0</v>
      </c>
      <c r="P707" s="3">
        <v>0</v>
      </c>
    </row>
    <row r="708" spans="1:16" ht="15" customHeight="1" x14ac:dyDescent="0.3">
      <c r="A708">
        <v>2018</v>
      </c>
      <c r="B708" s="2">
        <v>43375</v>
      </c>
      <c r="C708" t="s">
        <v>357</v>
      </c>
      <c r="D708" t="s">
        <v>184</v>
      </c>
      <c r="F708" t="s">
        <v>20</v>
      </c>
      <c r="G708" t="s">
        <v>107</v>
      </c>
      <c r="H708" t="s">
        <v>108</v>
      </c>
      <c r="I708" t="s">
        <v>754</v>
      </c>
      <c r="J708" t="s">
        <v>123</v>
      </c>
      <c r="K708" s="3">
        <v>639378.77</v>
      </c>
      <c r="O708" s="4">
        <v>0</v>
      </c>
      <c r="P708" s="3">
        <v>0</v>
      </c>
    </row>
    <row r="709" spans="1:16" ht="15" customHeight="1" x14ac:dyDescent="0.3">
      <c r="A709">
        <v>2018</v>
      </c>
      <c r="B709" s="2">
        <v>43383</v>
      </c>
      <c r="C709" t="s">
        <v>357</v>
      </c>
      <c r="D709" t="s">
        <v>155</v>
      </c>
      <c r="F709" t="s">
        <v>20</v>
      </c>
      <c r="G709" t="s">
        <v>38</v>
      </c>
      <c r="H709" t="s">
        <v>39</v>
      </c>
      <c r="I709" t="s">
        <v>178</v>
      </c>
      <c r="J709" t="s">
        <v>123</v>
      </c>
      <c r="K709" s="3">
        <v>4577.54</v>
      </c>
      <c r="O709" s="4">
        <v>0</v>
      </c>
      <c r="P709" s="3">
        <v>0</v>
      </c>
    </row>
    <row r="710" spans="1:16" ht="15" customHeight="1" x14ac:dyDescent="0.3">
      <c r="A710">
        <v>2018</v>
      </c>
      <c r="B710" s="2">
        <v>43383</v>
      </c>
      <c r="C710" t="s">
        <v>357</v>
      </c>
      <c r="D710" t="s">
        <v>360</v>
      </c>
      <c r="F710" t="s">
        <v>20</v>
      </c>
      <c r="G710" t="s">
        <v>38</v>
      </c>
      <c r="H710" t="s">
        <v>39</v>
      </c>
      <c r="I710" t="s">
        <v>141</v>
      </c>
      <c r="J710" t="s">
        <v>123</v>
      </c>
      <c r="K710" s="3">
        <v>126535.53</v>
      </c>
      <c r="O710" s="4">
        <v>0</v>
      </c>
      <c r="P710" s="3">
        <v>0</v>
      </c>
    </row>
    <row r="711" spans="1:16" ht="15" customHeight="1" x14ac:dyDescent="0.3">
      <c r="A711">
        <v>2018</v>
      </c>
      <c r="B711" s="2">
        <v>43383</v>
      </c>
      <c r="C711" t="s">
        <v>357</v>
      </c>
      <c r="D711" t="s">
        <v>755</v>
      </c>
      <c r="F711" t="s">
        <v>20</v>
      </c>
      <c r="G711" t="s">
        <v>21</v>
      </c>
      <c r="H711" t="s">
        <v>22</v>
      </c>
      <c r="I711" t="s">
        <v>23</v>
      </c>
      <c r="J711" t="s">
        <v>27</v>
      </c>
      <c r="K711" s="3">
        <v>11301</v>
      </c>
      <c r="O711" s="4">
        <v>0</v>
      </c>
      <c r="P711" s="3">
        <v>0</v>
      </c>
    </row>
    <row r="712" spans="1:16" ht="15" customHeight="1" x14ac:dyDescent="0.3">
      <c r="A712">
        <v>2018</v>
      </c>
      <c r="B712" s="2">
        <v>43384</v>
      </c>
      <c r="C712" t="s">
        <v>357</v>
      </c>
      <c r="D712" t="s">
        <v>534</v>
      </c>
      <c r="F712" t="s">
        <v>20</v>
      </c>
      <c r="G712" t="s">
        <v>21</v>
      </c>
      <c r="H712" t="s">
        <v>22</v>
      </c>
      <c r="I712" t="s">
        <v>23</v>
      </c>
      <c r="J712" t="s">
        <v>123</v>
      </c>
      <c r="K712" s="3">
        <v>7776.74</v>
      </c>
      <c r="O712" s="4">
        <v>0</v>
      </c>
      <c r="P712" s="3">
        <v>0</v>
      </c>
    </row>
    <row r="713" spans="1:16" ht="15" customHeight="1" x14ac:dyDescent="0.3">
      <c r="A713">
        <v>2018</v>
      </c>
      <c r="B713" s="2">
        <v>43384</v>
      </c>
      <c r="C713" t="s">
        <v>357</v>
      </c>
      <c r="D713" t="s">
        <v>756</v>
      </c>
      <c r="F713" t="s">
        <v>20</v>
      </c>
      <c r="G713" t="s">
        <v>38</v>
      </c>
      <c r="H713" t="s">
        <v>89</v>
      </c>
      <c r="I713" t="s">
        <v>122</v>
      </c>
      <c r="J713" t="s">
        <v>123</v>
      </c>
      <c r="K713" s="3">
        <v>70488</v>
      </c>
      <c r="O713" s="4">
        <v>0</v>
      </c>
      <c r="P713" s="3">
        <v>0</v>
      </c>
    </row>
    <row r="714" spans="1:16" ht="15" customHeight="1" x14ac:dyDescent="0.3">
      <c r="A714">
        <v>2018</v>
      </c>
      <c r="B714" s="2">
        <v>43384</v>
      </c>
      <c r="C714" t="s">
        <v>357</v>
      </c>
      <c r="D714" t="s">
        <v>749</v>
      </c>
      <c r="F714" t="s">
        <v>20</v>
      </c>
      <c r="G714" t="s">
        <v>38</v>
      </c>
      <c r="H714" t="s">
        <v>39</v>
      </c>
      <c r="I714" t="s">
        <v>141</v>
      </c>
      <c r="J714" t="s">
        <v>50</v>
      </c>
      <c r="K714" s="3">
        <v>10917.79</v>
      </c>
      <c r="O714" s="4">
        <v>0</v>
      </c>
      <c r="P714" s="3">
        <v>0</v>
      </c>
    </row>
    <row r="715" spans="1:16" ht="15" customHeight="1" x14ac:dyDescent="0.3">
      <c r="A715">
        <v>2018</v>
      </c>
      <c r="B715" s="2">
        <v>43391</v>
      </c>
      <c r="C715" t="s">
        <v>357</v>
      </c>
      <c r="D715" t="s">
        <v>693</v>
      </c>
      <c r="F715" t="s">
        <v>20</v>
      </c>
      <c r="G715" t="s">
        <v>21</v>
      </c>
      <c r="H715" t="s">
        <v>22</v>
      </c>
      <c r="I715" t="s">
        <v>306</v>
      </c>
      <c r="J715" t="s">
        <v>123</v>
      </c>
      <c r="K715" s="3">
        <v>405</v>
      </c>
      <c r="O715" s="4">
        <v>0</v>
      </c>
      <c r="P715" s="3">
        <v>0</v>
      </c>
    </row>
    <row r="716" spans="1:16" ht="15" customHeight="1" x14ac:dyDescent="0.3">
      <c r="A716">
        <v>2018</v>
      </c>
      <c r="B716" s="2">
        <v>43396</v>
      </c>
      <c r="C716" t="s">
        <v>357</v>
      </c>
      <c r="D716" t="s">
        <v>279</v>
      </c>
      <c r="F716" t="s">
        <v>20</v>
      </c>
      <c r="G716" t="s">
        <v>21</v>
      </c>
      <c r="H716" t="s">
        <v>22</v>
      </c>
      <c r="I716" t="s">
        <v>23</v>
      </c>
      <c r="J716" t="s">
        <v>27</v>
      </c>
      <c r="K716" s="3">
        <v>3164</v>
      </c>
      <c r="O716" s="4">
        <v>0</v>
      </c>
      <c r="P716" s="3">
        <v>0</v>
      </c>
    </row>
    <row r="717" spans="1:16" ht="15" customHeight="1" x14ac:dyDescent="0.3">
      <c r="A717">
        <v>2018</v>
      </c>
      <c r="B717" s="2">
        <v>43397</v>
      </c>
      <c r="C717" t="s">
        <v>357</v>
      </c>
      <c r="D717" t="s">
        <v>232</v>
      </c>
      <c r="F717" t="s">
        <v>20</v>
      </c>
      <c r="G717" t="s">
        <v>21</v>
      </c>
      <c r="H717" t="s">
        <v>101</v>
      </c>
      <c r="I717" t="s">
        <v>141</v>
      </c>
      <c r="J717" t="s">
        <v>123</v>
      </c>
      <c r="K717" s="3">
        <v>1207.8599999999999</v>
      </c>
      <c r="O717" s="4">
        <v>0</v>
      </c>
      <c r="P717" s="3">
        <v>0</v>
      </c>
    </row>
    <row r="718" spans="1:16" ht="15" customHeight="1" x14ac:dyDescent="0.3">
      <c r="A718">
        <v>2018</v>
      </c>
      <c r="B718" s="2">
        <v>43402</v>
      </c>
      <c r="C718" t="s">
        <v>357</v>
      </c>
      <c r="D718" t="s">
        <v>61</v>
      </c>
      <c r="F718" t="s">
        <v>20</v>
      </c>
      <c r="G718" t="s">
        <v>21</v>
      </c>
      <c r="H718" t="s">
        <v>22</v>
      </c>
      <c r="I718" t="s">
        <v>742</v>
      </c>
      <c r="J718" t="s">
        <v>123</v>
      </c>
      <c r="K718" s="3">
        <v>2861</v>
      </c>
      <c r="O718" s="4">
        <v>0</v>
      </c>
      <c r="P718" s="3">
        <v>0</v>
      </c>
    </row>
    <row r="719" spans="1:16" ht="15" customHeight="1" x14ac:dyDescent="0.3">
      <c r="A719">
        <v>2018</v>
      </c>
      <c r="B719" s="2">
        <v>43403</v>
      </c>
      <c r="C719" t="s">
        <v>357</v>
      </c>
      <c r="D719" t="s">
        <v>360</v>
      </c>
      <c r="F719" t="s">
        <v>20</v>
      </c>
      <c r="G719" t="s">
        <v>38</v>
      </c>
      <c r="H719" t="s">
        <v>39</v>
      </c>
      <c r="I719" t="s">
        <v>141</v>
      </c>
      <c r="J719" t="s">
        <v>123</v>
      </c>
      <c r="K719" s="3">
        <v>5092.12</v>
      </c>
      <c r="O719" s="4">
        <v>0</v>
      </c>
      <c r="P719" s="3">
        <v>0</v>
      </c>
    </row>
    <row r="720" spans="1:16" ht="15" customHeight="1" x14ac:dyDescent="0.3">
      <c r="A720">
        <v>2018</v>
      </c>
      <c r="B720" s="2">
        <v>43403</v>
      </c>
      <c r="C720" t="s">
        <v>357</v>
      </c>
      <c r="D720" t="s">
        <v>364</v>
      </c>
      <c r="F720" t="s">
        <v>20</v>
      </c>
      <c r="G720" t="s">
        <v>21</v>
      </c>
      <c r="H720" t="s">
        <v>101</v>
      </c>
      <c r="I720" t="s">
        <v>23</v>
      </c>
      <c r="J720" t="s">
        <v>27</v>
      </c>
      <c r="K720" s="3">
        <v>450</v>
      </c>
      <c r="O720" s="4">
        <v>0</v>
      </c>
      <c r="P720" s="3">
        <v>0</v>
      </c>
    </row>
    <row r="721" spans="1:16" ht="15" customHeight="1" x14ac:dyDescent="0.3">
      <c r="A721">
        <v>2018</v>
      </c>
      <c r="B721" s="2">
        <v>43403</v>
      </c>
      <c r="C721" t="s">
        <v>357</v>
      </c>
      <c r="D721" t="s">
        <v>364</v>
      </c>
      <c r="F721" t="s">
        <v>20</v>
      </c>
      <c r="G721" t="s">
        <v>21</v>
      </c>
      <c r="H721" t="s">
        <v>101</v>
      </c>
      <c r="I721" t="s">
        <v>23</v>
      </c>
      <c r="J721" t="s">
        <v>27</v>
      </c>
      <c r="K721" s="3">
        <v>360</v>
      </c>
      <c r="O721" s="4">
        <v>0</v>
      </c>
      <c r="P721" s="3">
        <v>0</v>
      </c>
    </row>
    <row r="722" spans="1:16" ht="15" customHeight="1" x14ac:dyDescent="0.3">
      <c r="A722">
        <v>2018</v>
      </c>
      <c r="B722" s="2">
        <v>43409</v>
      </c>
      <c r="C722" t="s">
        <v>389</v>
      </c>
      <c r="D722" t="s">
        <v>485</v>
      </c>
      <c r="F722" t="s">
        <v>20</v>
      </c>
      <c r="G722" t="s">
        <v>38</v>
      </c>
      <c r="H722" t="s">
        <v>39</v>
      </c>
      <c r="I722" t="s">
        <v>23</v>
      </c>
      <c r="J722" t="s">
        <v>27</v>
      </c>
      <c r="K722" s="3">
        <v>674</v>
      </c>
      <c r="O722" s="4">
        <v>0</v>
      </c>
      <c r="P722" s="3">
        <v>0</v>
      </c>
    </row>
    <row r="723" spans="1:16" ht="15" customHeight="1" x14ac:dyDescent="0.3">
      <c r="A723">
        <v>2018</v>
      </c>
      <c r="B723" s="2">
        <v>43410</v>
      </c>
      <c r="C723" t="s">
        <v>389</v>
      </c>
      <c r="D723" t="s">
        <v>746</v>
      </c>
      <c r="F723" t="s">
        <v>20</v>
      </c>
      <c r="G723" t="s">
        <v>21</v>
      </c>
      <c r="H723" t="s">
        <v>22</v>
      </c>
      <c r="I723" t="s">
        <v>141</v>
      </c>
      <c r="J723" t="s">
        <v>50</v>
      </c>
      <c r="K723" s="3">
        <v>7076.29</v>
      </c>
      <c r="O723" s="4">
        <v>0</v>
      </c>
      <c r="P723" s="3">
        <v>0</v>
      </c>
    </row>
    <row r="724" spans="1:16" ht="15" customHeight="1" x14ac:dyDescent="0.3">
      <c r="A724">
        <v>2018</v>
      </c>
      <c r="B724" s="2">
        <v>43410</v>
      </c>
      <c r="C724" t="s">
        <v>389</v>
      </c>
      <c r="D724" t="s">
        <v>205</v>
      </c>
      <c r="F724" t="s">
        <v>20</v>
      </c>
      <c r="G724" t="s">
        <v>21</v>
      </c>
      <c r="H724" t="s">
        <v>22</v>
      </c>
      <c r="I724" t="s">
        <v>141</v>
      </c>
      <c r="J724" t="s">
        <v>123</v>
      </c>
      <c r="K724" s="3">
        <v>3260.09</v>
      </c>
      <c r="O724" s="4">
        <v>0</v>
      </c>
      <c r="P724" s="3">
        <v>0</v>
      </c>
    </row>
    <row r="725" spans="1:16" ht="15" customHeight="1" x14ac:dyDescent="0.3">
      <c r="A725">
        <v>2018</v>
      </c>
      <c r="B725" s="2">
        <v>43416</v>
      </c>
      <c r="C725" t="s">
        <v>389</v>
      </c>
      <c r="D725" t="s">
        <v>751</v>
      </c>
      <c r="F725" t="s">
        <v>20</v>
      </c>
      <c r="G725" t="s">
        <v>21</v>
      </c>
      <c r="H725" t="s">
        <v>22</v>
      </c>
      <c r="I725" t="s">
        <v>538</v>
      </c>
      <c r="J725" t="s">
        <v>123</v>
      </c>
      <c r="K725" s="3">
        <v>670</v>
      </c>
      <c r="O725" s="4">
        <v>0</v>
      </c>
      <c r="P725" s="3">
        <v>0</v>
      </c>
    </row>
    <row r="726" spans="1:16" ht="15" customHeight="1" x14ac:dyDescent="0.3">
      <c r="A726">
        <v>2018</v>
      </c>
      <c r="B726" s="2">
        <v>43418</v>
      </c>
      <c r="C726" t="s">
        <v>389</v>
      </c>
      <c r="D726" t="s">
        <v>744</v>
      </c>
      <c r="F726" t="s">
        <v>20</v>
      </c>
      <c r="G726" t="s">
        <v>38</v>
      </c>
      <c r="H726" t="s">
        <v>147</v>
      </c>
      <c r="I726" t="s">
        <v>306</v>
      </c>
      <c r="J726" t="s">
        <v>123</v>
      </c>
      <c r="K726" s="3">
        <v>174239.39</v>
      </c>
      <c r="O726" s="4">
        <v>0</v>
      </c>
      <c r="P726" s="3">
        <v>0</v>
      </c>
    </row>
    <row r="727" spans="1:16" ht="15" customHeight="1" x14ac:dyDescent="0.3">
      <c r="A727">
        <v>2018</v>
      </c>
      <c r="B727" s="2">
        <v>43418</v>
      </c>
      <c r="C727" t="s">
        <v>389</v>
      </c>
      <c r="D727" t="s">
        <v>517</v>
      </c>
      <c r="F727" t="s">
        <v>20</v>
      </c>
      <c r="G727" t="s">
        <v>38</v>
      </c>
      <c r="H727" t="s">
        <v>147</v>
      </c>
      <c r="I727" t="s">
        <v>49</v>
      </c>
      <c r="J727" t="s">
        <v>123</v>
      </c>
      <c r="K727" s="3">
        <v>326109.58</v>
      </c>
      <c r="O727" s="4">
        <v>0</v>
      </c>
      <c r="P727" s="3">
        <v>0</v>
      </c>
    </row>
    <row r="728" spans="1:16" ht="15" customHeight="1" x14ac:dyDescent="0.3">
      <c r="A728">
        <v>2018</v>
      </c>
      <c r="B728" s="2">
        <v>43420</v>
      </c>
      <c r="C728" t="s">
        <v>389</v>
      </c>
      <c r="D728" t="s">
        <v>360</v>
      </c>
      <c r="F728" t="s">
        <v>20</v>
      </c>
      <c r="G728" t="s">
        <v>38</v>
      </c>
      <c r="H728" t="s">
        <v>39</v>
      </c>
      <c r="I728" t="s">
        <v>23</v>
      </c>
      <c r="J728" t="s">
        <v>27</v>
      </c>
      <c r="K728" s="3">
        <v>1033.93</v>
      </c>
      <c r="O728" s="4">
        <v>0</v>
      </c>
      <c r="P728" s="3">
        <v>0</v>
      </c>
    </row>
    <row r="729" spans="1:16" ht="15" customHeight="1" x14ac:dyDescent="0.3">
      <c r="A729">
        <v>2018</v>
      </c>
      <c r="B729" s="2">
        <v>43420</v>
      </c>
      <c r="C729" t="s">
        <v>389</v>
      </c>
      <c r="D729" t="s">
        <v>360</v>
      </c>
      <c r="F729" t="s">
        <v>20</v>
      </c>
      <c r="G729" t="s">
        <v>38</v>
      </c>
      <c r="H729" t="s">
        <v>39</v>
      </c>
      <c r="I729" t="s">
        <v>23</v>
      </c>
      <c r="J729" t="s">
        <v>27</v>
      </c>
      <c r="K729" s="3">
        <v>117.26</v>
      </c>
      <c r="O729" s="4">
        <v>0</v>
      </c>
      <c r="P729" s="3">
        <v>0</v>
      </c>
    </row>
    <row r="730" spans="1:16" ht="15" customHeight="1" x14ac:dyDescent="0.3">
      <c r="A730">
        <v>2018</v>
      </c>
      <c r="B730" s="2">
        <v>43424</v>
      </c>
      <c r="C730" t="s">
        <v>389</v>
      </c>
      <c r="D730" t="s">
        <v>205</v>
      </c>
      <c r="F730" t="s">
        <v>20</v>
      </c>
      <c r="G730" t="s">
        <v>21</v>
      </c>
      <c r="H730" t="s">
        <v>22</v>
      </c>
      <c r="I730" t="s">
        <v>23</v>
      </c>
      <c r="J730" t="s">
        <v>27</v>
      </c>
      <c r="K730" s="3">
        <v>614</v>
      </c>
      <c r="O730" s="4">
        <v>0</v>
      </c>
      <c r="P730" s="3">
        <v>0</v>
      </c>
    </row>
    <row r="731" spans="1:16" ht="15" customHeight="1" x14ac:dyDescent="0.3">
      <c r="A731">
        <v>2018</v>
      </c>
      <c r="B731" s="2">
        <v>43426</v>
      </c>
      <c r="C731" t="s">
        <v>389</v>
      </c>
      <c r="D731" t="s">
        <v>360</v>
      </c>
      <c r="F731" t="s">
        <v>20</v>
      </c>
      <c r="G731" t="s">
        <v>38</v>
      </c>
      <c r="H731" t="s">
        <v>39</v>
      </c>
      <c r="I731" t="s">
        <v>141</v>
      </c>
      <c r="J731" t="s">
        <v>123</v>
      </c>
      <c r="K731" s="3">
        <v>3908</v>
      </c>
      <c r="O731" s="4">
        <v>0</v>
      </c>
      <c r="P731" s="3">
        <v>0</v>
      </c>
    </row>
    <row r="732" spans="1:16" ht="15" customHeight="1" x14ac:dyDescent="0.3">
      <c r="A732">
        <v>2018</v>
      </c>
      <c r="B732" s="2">
        <v>43427</v>
      </c>
      <c r="C732" t="s">
        <v>389</v>
      </c>
      <c r="D732" t="s">
        <v>205</v>
      </c>
      <c r="F732" t="s">
        <v>20</v>
      </c>
      <c r="G732" t="s">
        <v>21</v>
      </c>
      <c r="H732" t="s">
        <v>22</v>
      </c>
      <c r="I732" t="s">
        <v>141</v>
      </c>
      <c r="J732" t="s">
        <v>123</v>
      </c>
      <c r="K732" s="3">
        <v>1200</v>
      </c>
      <c r="O732" s="4">
        <v>0</v>
      </c>
      <c r="P732" s="3">
        <v>0</v>
      </c>
    </row>
    <row r="733" spans="1:16" ht="15" customHeight="1" x14ac:dyDescent="0.3">
      <c r="A733">
        <v>2018</v>
      </c>
      <c r="B733" s="2">
        <v>43427</v>
      </c>
      <c r="C733" t="s">
        <v>389</v>
      </c>
      <c r="D733" t="s">
        <v>675</v>
      </c>
      <c r="F733" t="s">
        <v>20</v>
      </c>
      <c r="G733" t="s">
        <v>38</v>
      </c>
      <c r="H733" t="s">
        <v>147</v>
      </c>
      <c r="I733" t="s">
        <v>306</v>
      </c>
      <c r="J733" t="s">
        <v>50</v>
      </c>
      <c r="K733" s="3">
        <v>3796153.46</v>
      </c>
      <c r="O733" s="4">
        <v>0</v>
      </c>
      <c r="P733" s="3">
        <v>0</v>
      </c>
    </row>
    <row r="734" spans="1:16" ht="15" customHeight="1" x14ac:dyDescent="0.3">
      <c r="A734">
        <v>2018</v>
      </c>
      <c r="B734" s="2">
        <v>43430</v>
      </c>
      <c r="C734" t="s">
        <v>389</v>
      </c>
      <c r="D734" t="s">
        <v>155</v>
      </c>
      <c r="F734" t="s">
        <v>20</v>
      </c>
      <c r="G734" t="s">
        <v>38</v>
      </c>
      <c r="H734" t="s">
        <v>39</v>
      </c>
      <c r="I734" t="s">
        <v>49</v>
      </c>
      <c r="J734" t="s">
        <v>50</v>
      </c>
      <c r="K734" s="3">
        <v>1255104.8899999999</v>
      </c>
      <c r="O734" s="4">
        <v>0</v>
      </c>
      <c r="P734" s="3">
        <v>0</v>
      </c>
    </row>
    <row r="735" spans="1:16" ht="15" customHeight="1" x14ac:dyDescent="0.3">
      <c r="A735">
        <v>2018</v>
      </c>
      <c r="B735" s="2">
        <v>43430</v>
      </c>
      <c r="C735" t="s">
        <v>389</v>
      </c>
      <c r="D735" t="s">
        <v>757</v>
      </c>
      <c r="F735" t="s">
        <v>20</v>
      </c>
      <c r="G735" t="s">
        <v>21</v>
      </c>
      <c r="H735" t="s">
        <v>22</v>
      </c>
      <c r="I735" t="s">
        <v>136</v>
      </c>
      <c r="J735" t="s">
        <v>110</v>
      </c>
      <c r="K735" s="3">
        <v>62684.27</v>
      </c>
      <c r="O735" s="4">
        <v>0</v>
      </c>
      <c r="P735" s="3">
        <v>0</v>
      </c>
    </row>
    <row r="736" spans="1:16" ht="15" customHeight="1" x14ac:dyDescent="0.3">
      <c r="A736">
        <v>2018</v>
      </c>
      <c r="B736" s="2">
        <v>43430</v>
      </c>
      <c r="C736" t="s">
        <v>389</v>
      </c>
      <c r="D736" t="s">
        <v>36</v>
      </c>
      <c r="F736" t="s">
        <v>20</v>
      </c>
      <c r="G736" t="s">
        <v>38</v>
      </c>
      <c r="H736" t="s">
        <v>39</v>
      </c>
      <c r="I736" t="s">
        <v>23</v>
      </c>
      <c r="J736" t="s">
        <v>27</v>
      </c>
      <c r="K736" s="3">
        <v>995.67</v>
      </c>
      <c r="O736" s="4">
        <v>0</v>
      </c>
      <c r="P736" s="3">
        <v>0</v>
      </c>
    </row>
    <row r="737" spans="1:16" ht="15" customHeight="1" x14ac:dyDescent="0.3">
      <c r="A737">
        <v>2018</v>
      </c>
      <c r="B737" s="2">
        <v>43431</v>
      </c>
      <c r="C737" t="s">
        <v>389</v>
      </c>
      <c r="D737" t="s">
        <v>45</v>
      </c>
      <c r="F737" t="s">
        <v>20</v>
      </c>
      <c r="G737" t="s">
        <v>38</v>
      </c>
      <c r="H737" t="s">
        <v>39</v>
      </c>
      <c r="I737" t="s">
        <v>306</v>
      </c>
      <c r="J737" t="s">
        <v>50</v>
      </c>
      <c r="K737" s="3">
        <v>38245</v>
      </c>
      <c r="O737" s="4">
        <v>0</v>
      </c>
      <c r="P737" s="3">
        <v>0</v>
      </c>
    </row>
    <row r="738" spans="1:16" ht="15" customHeight="1" x14ac:dyDescent="0.3">
      <c r="A738">
        <v>2018</v>
      </c>
      <c r="B738" s="2">
        <v>43432</v>
      </c>
      <c r="C738" t="s">
        <v>389</v>
      </c>
      <c r="D738" t="s">
        <v>617</v>
      </c>
      <c r="F738" t="s">
        <v>20</v>
      </c>
      <c r="G738" t="s">
        <v>38</v>
      </c>
      <c r="H738" t="s">
        <v>619</v>
      </c>
      <c r="I738" t="s">
        <v>334</v>
      </c>
      <c r="J738" t="s">
        <v>123</v>
      </c>
      <c r="K738" s="3">
        <v>2463.91</v>
      </c>
      <c r="O738" s="4">
        <v>0</v>
      </c>
      <c r="P738" s="3">
        <v>0</v>
      </c>
    </row>
    <row r="739" spans="1:16" ht="15" customHeight="1" x14ac:dyDescent="0.3">
      <c r="A739">
        <v>2018</v>
      </c>
      <c r="B739" s="2">
        <v>43437</v>
      </c>
      <c r="C739" t="s">
        <v>416</v>
      </c>
      <c r="D739" t="s">
        <v>747</v>
      </c>
      <c r="F739" t="s">
        <v>20</v>
      </c>
      <c r="G739" t="s">
        <v>38</v>
      </c>
      <c r="H739" t="s">
        <v>39</v>
      </c>
      <c r="I739" t="s">
        <v>23</v>
      </c>
      <c r="J739" t="s">
        <v>27</v>
      </c>
      <c r="K739" s="3">
        <v>2460</v>
      </c>
      <c r="O739" s="4">
        <v>0</v>
      </c>
      <c r="P739" s="3">
        <v>0</v>
      </c>
    </row>
    <row r="740" spans="1:16" ht="15" customHeight="1" x14ac:dyDescent="0.3">
      <c r="A740">
        <v>2018</v>
      </c>
      <c r="B740" s="2">
        <v>43437</v>
      </c>
      <c r="C740" t="s">
        <v>416</v>
      </c>
      <c r="D740" t="s">
        <v>747</v>
      </c>
      <c r="F740" t="s">
        <v>20</v>
      </c>
      <c r="G740" t="s">
        <v>38</v>
      </c>
      <c r="H740" t="s">
        <v>39</v>
      </c>
      <c r="I740" t="s">
        <v>23</v>
      </c>
      <c r="J740" t="s">
        <v>27</v>
      </c>
      <c r="K740" s="3">
        <v>2160</v>
      </c>
      <c r="O740" s="4">
        <v>0</v>
      </c>
      <c r="P740" s="3">
        <v>0</v>
      </c>
    </row>
    <row r="741" spans="1:16" ht="15" customHeight="1" x14ac:dyDescent="0.3">
      <c r="A741">
        <v>2018</v>
      </c>
      <c r="B741" s="2">
        <v>43445</v>
      </c>
      <c r="C741" t="s">
        <v>416</v>
      </c>
      <c r="D741" t="s">
        <v>232</v>
      </c>
      <c r="F741" t="s">
        <v>20</v>
      </c>
      <c r="G741" t="s">
        <v>21</v>
      </c>
      <c r="H741" t="s">
        <v>101</v>
      </c>
      <c r="I741" t="s">
        <v>141</v>
      </c>
      <c r="J741" t="s">
        <v>123</v>
      </c>
      <c r="K741" s="3">
        <v>1438.75</v>
      </c>
      <c r="O741" s="4">
        <v>0</v>
      </c>
      <c r="P741" s="3">
        <v>0</v>
      </c>
    </row>
    <row r="742" spans="1:16" ht="15" customHeight="1" x14ac:dyDescent="0.3">
      <c r="A742">
        <v>2018</v>
      </c>
      <c r="B742" s="2">
        <v>43445</v>
      </c>
      <c r="C742" t="s">
        <v>416</v>
      </c>
      <c r="D742" t="s">
        <v>485</v>
      </c>
      <c r="F742" t="s">
        <v>20</v>
      </c>
      <c r="G742" t="s">
        <v>38</v>
      </c>
      <c r="H742" t="s">
        <v>39</v>
      </c>
      <c r="I742" t="s">
        <v>306</v>
      </c>
      <c r="J742" t="s">
        <v>110</v>
      </c>
      <c r="K742" s="3">
        <v>17800</v>
      </c>
      <c r="O742" s="4">
        <v>0</v>
      </c>
      <c r="P742" s="3">
        <v>0</v>
      </c>
    </row>
    <row r="743" spans="1:16" ht="15" customHeight="1" x14ac:dyDescent="0.3">
      <c r="A743">
        <v>2018</v>
      </c>
      <c r="B743" s="2">
        <v>43445</v>
      </c>
      <c r="C743" t="s">
        <v>416</v>
      </c>
      <c r="D743" t="s">
        <v>485</v>
      </c>
      <c r="F743" t="s">
        <v>20</v>
      </c>
      <c r="G743" t="s">
        <v>38</v>
      </c>
      <c r="H743" t="s">
        <v>39</v>
      </c>
      <c r="I743" t="s">
        <v>306</v>
      </c>
      <c r="J743" t="s">
        <v>110</v>
      </c>
      <c r="K743" s="3">
        <v>17800</v>
      </c>
      <c r="O743" s="4">
        <v>0</v>
      </c>
      <c r="P743" s="3">
        <v>0</v>
      </c>
    </row>
    <row r="744" spans="1:16" ht="15" customHeight="1" x14ac:dyDescent="0.3">
      <c r="A744">
        <v>2018</v>
      </c>
      <c r="B744" s="2">
        <v>43448</v>
      </c>
      <c r="C744" t="s">
        <v>416</v>
      </c>
      <c r="D744" t="s">
        <v>36</v>
      </c>
      <c r="F744" t="s">
        <v>20</v>
      </c>
      <c r="G744" t="s">
        <v>38</v>
      </c>
      <c r="H744" t="s">
        <v>39</v>
      </c>
      <c r="I744" t="s">
        <v>23</v>
      </c>
      <c r="J744" t="s">
        <v>27</v>
      </c>
      <c r="K744" s="3">
        <v>3048</v>
      </c>
      <c r="O744" s="4">
        <v>0</v>
      </c>
      <c r="P744" s="3">
        <v>0</v>
      </c>
    </row>
    <row r="745" spans="1:16" ht="15" customHeight="1" x14ac:dyDescent="0.3">
      <c r="A745">
        <v>2018</v>
      </c>
      <c r="B745" s="2">
        <v>43448</v>
      </c>
      <c r="C745" t="s">
        <v>416</v>
      </c>
      <c r="D745" t="s">
        <v>36</v>
      </c>
      <c r="F745" t="s">
        <v>20</v>
      </c>
      <c r="G745" t="s">
        <v>38</v>
      </c>
      <c r="H745" t="s">
        <v>39</v>
      </c>
      <c r="I745" t="s">
        <v>23</v>
      </c>
      <c r="J745" t="s">
        <v>27</v>
      </c>
      <c r="K745" s="3">
        <v>218.57</v>
      </c>
      <c r="O745" s="4">
        <v>0</v>
      </c>
      <c r="P745" s="3">
        <v>0</v>
      </c>
    </row>
    <row r="746" spans="1:16" ht="15" customHeight="1" x14ac:dyDescent="0.3">
      <c r="A746">
        <v>2018</v>
      </c>
      <c r="B746" s="2">
        <v>43452</v>
      </c>
      <c r="C746" t="s">
        <v>416</v>
      </c>
      <c r="D746" t="s">
        <v>758</v>
      </c>
      <c r="F746" t="s">
        <v>20</v>
      </c>
      <c r="G746" t="s">
        <v>38</v>
      </c>
      <c r="H746" t="s">
        <v>89</v>
      </c>
      <c r="I746" t="s">
        <v>23</v>
      </c>
      <c r="J746" t="s">
        <v>110</v>
      </c>
      <c r="K746" s="3">
        <v>28740</v>
      </c>
      <c r="O746" s="4">
        <v>0</v>
      </c>
      <c r="P746" s="3">
        <v>0</v>
      </c>
    </row>
    <row r="747" spans="1:16" ht="15" customHeight="1" x14ac:dyDescent="0.3">
      <c r="A747">
        <v>2018</v>
      </c>
      <c r="B747" s="2">
        <v>43455</v>
      </c>
      <c r="C747" t="s">
        <v>416</v>
      </c>
      <c r="D747" t="s">
        <v>103</v>
      </c>
      <c r="F747" t="s">
        <v>20</v>
      </c>
      <c r="G747" t="s">
        <v>21</v>
      </c>
      <c r="H747" t="s">
        <v>22</v>
      </c>
      <c r="I747" t="s">
        <v>507</v>
      </c>
      <c r="J747" t="s">
        <v>123</v>
      </c>
      <c r="K747" s="3">
        <v>36398.94</v>
      </c>
      <c r="O747" s="4">
        <v>0</v>
      </c>
      <c r="P747" s="3">
        <v>0</v>
      </c>
    </row>
    <row r="748" spans="1:16" ht="15" customHeight="1" x14ac:dyDescent="0.3">
      <c r="A748">
        <v>2018</v>
      </c>
      <c r="B748" s="2">
        <v>43460</v>
      </c>
      <c r="C748" t="s">
        <v>416</v>
      </c>
      <c r="D748" t="s">
        <v>155</v>
      </c>
      <c r="F748" t="s">
        <v>20</v>
      </c>
      <c r="G748" t="s">
        <v>38</v>
      </c>
      <c r="H748" t="s">
        <v>39</v>
      </c>
      <c r="I748" t="s">
        <v>49</v>
      </c>
      <c r="J748" t="s">
        <v>50</v>
      </c>
      <c r="K748" s="3">
        <v>129375.02</v>
      </c>
      <c r="O748" s="4">
        <v>0</v>
      </c>
      <c r="P748" s="3">
        <v>0</v>
      </c>
    </row>
    <row r="749" spans="1:16" ht="15" customHeight="1" x14ac:dyDescent="0.3">
      <c r="A749">
        <v>2018</v>
      </c>
      <c r="B749" s="2">
        <v>43460</v>
      </c>
      <c r="C749" t="s">
        <v>416</v>
      </c>
      <c r="D749" t="s">
        <v>61</v>
      </c>
      <c r="F749" t="s">
        <v>20</v>
      </c>
      <c r="G749" t="s">
        <v>107</v>
      </c>
      <c r="H749" t="s">
        <v>108</v>
      </c>
      <c r="I749" t="s">
        <v>136</v>
      </c>
      <c r="J749" t="s">
        <v>123</v>
      </c>
      <c r="K749" s="3">
        <v>456408</v>
      </c>
      <c r="O749" s="4">
        <v>0</v>
      </c>
      <c r="P749" s="3">
        <v>0</v>
      </c>
    </row>
    <row r="750" spans="1:16" ht="15" customHeight="1" x14ac:dyDescent="0.3">
      <c r="A750">
        <v>2019</v>
      </c>
      <c r="B750" s="2">
        <v>43467</v>
      </c>
      <c r="C750" t="s">
        <v>17</v>
      </c>
      <c r="D750" t="s">
        <v>155</v>
      </c>
      <c r="F750" t="s">
        <v>20</v>
      </c>
      <c r="G750" t="s">
        <v>38</v>
      </c>
      <c r="H750" t="s">
        <v>39</v>
      </c>
      <c r="I750" t="s">
        <v>122</v>
      </c>
      <c r="J750" t="s">
        <v>759</v>
      </c>
      <c r="K750" s="3">
        <v>216500</v>
      </c>
      <c r="O750" s="4">
        <v>0</v>
      </c>
      <c r="P750" s="3">
        <v>0</v>
      </c>
    </row>
    <row r="751" spans="1:16" ht="15" customHeight="1" x14ac:dyDescent="0.3">
      <c r="A751">
        <v>2019</v>
      </c>
      <c r="B751" s="2">
        <v>43467</v>
      </c>
      <c r="C751" t="s">
        <v>17</v>
      </c>
      <c r="D751" t="s">
        <v>53</v>
      </c>
      <c r="F751" t="s">
        <v>20</v>
      </c>
      <c r="G751" t="s">
        <v>21</v>
      </c>
      <c r="H751" t="s">
        <v>22</v>
      </c>
      <c r="I751" t="s">
        <v>23</v>
      </c>
      <c r="J751" t="s">
        <v>27</v>
      </c>
      <c r="K751" s="3">
        <v>4706.74</v>
      </c>
      <c r="O751" s="4">
        <v>0</v>
      </c>
      <c r="P751" s="3">
        <v>0</v>
      </c>
    </row>
    <row r="752" spans="1:16" ht="15" customHeight="1" x14ac:dyDescent="0.3">
      <c r="A752">
        <v>2019</v>
      </c>
      <c r="B752" s="2">
        <v>43469</v>
      </c>
      <c r="C752" t="s">
        <v>17</v>
      </c>
      <c r="D752" t="s">
        <v>45</v>
      </c>
      <c r="F752" t="s">
        <v>20</v>
      </c>
      <c r="G752" t="s">
        <v>38</v>
      </c>
      <c r="H752" t="s">
        <v>39</v>
      </c>
      <c r="I752" t="s">
        <v>306</v>
      </c>
      <c r="J752" t="s">
        <v>50</v>
      </c>
      <c r="K752" s="3">
        <v>75500</v>
      </c>
      <c r="O752" s="4">
        <v>0</v>
      </c>
      <c r="P752" s="3">
        <v>0</v>
      </c>
    </row>
    <row r="753" spans="1:16" ht="15" customHeight="1" x14ac:dyDescent="0.3">
      <c r="A753">
        <v>2019</v>
      </c>
      <c r="B753" s="2">
        <v>43472</v>
      </c>
      <c r="C753" t="s">
        <v>17</v>
      </c>
      <c r="D753" t="s">
        <v>155</v>
      </c>
      <c r="F753" t="s">
        <v>20</v>
      </c>
      <c r="G753" t="s">
        <v>38</v>
      </c>
      <c r="H753" t="s">
        <v>39</v>
      </c>
      <c r="I753" t="s">
        <v>49</v>
      </c>
      <c r="J753" t="s">
        <v>50</v>
      </c>
      <c r="K753" s="3">
        <v>350000</v>
      </c>
      <c r="O753" s="4">
        <v>0</v>
      </c>
      <c r="P753" s="3">
        <v>0</v>
      </c>
    </row>
    <row r="754" spans="1:16" ht="15" customHeight="1" x14ac:dyDescent="0.3">
      <c r="A754">
        <v>2019</v>
      </c>
      <c r="B754" s="2">
        <v>43472</v>
      </c>
      <c r="C754" t="s">
        <v>17</v>
      </c>
      <c r="D754" t="s">
        <v>155</v>
      </c>
      <c r="F754" t="s">
        <v>20</v>
      </c>
      <c r="G754" t="s">
        <v>38</v>
      </c>
      <c r="H754" t="s">
        <v>39</v>
      </c>
      <c r="I754" t="s">
        <v>23</v>
      </c>
      <c r="J754" t="s">
        <v>27</v>
      </c>
      <c r="K754" s="3">
        <v>750</v>
      </c>
      <c r="O754" s="4">
        <v>0</v>
      </c>
      <c r="P754" s="3">
        <v>0</v>
      </c>
    </row>
    <row r="755" spans="1:16" ht="15" customHeight="1" x14ac:dyDescent="0.3">
      <c r="A755">
        <v>2019</v>
      </c>
      <c r="B755" s="2">
        <v>43489</v>
      </c>
      <c r="C755" t="s">
        <v>17</v>
      </c>
      <c r="D755" t="s">
        <v>760</v>
      </c>
      <c r="F755" t="s">
        <v>20</v>
      </c>
      <c r="G755" t="s">
        <v>107</v>
      </c>
      <c r="H755" t="s">
        <v>108</v>
      </c>
      <c r="I755" t="s">
        <v>306</v>
      </c>
      <c r="J755" t="s">
        <v>123</v>
      </c>
      <c r="K755" s="3">
        <v>44199.199999999997</v>
      </c>
      <c r="O755" s="4">
        <v>0</v>
      </c>
      <c r="P755" s="3">
        <v>0</v>
      </c>
    </row>
    <row r="756" spans="1:16" ht="15" customHeight="1" x14ac:dyDescent="0.3">
      <c r="A756">
        <v>2019</v>
      </c>
      <c r="B756" s="2">
        <v>43494</v>
      </c>
      <c r="C756" t="s">
        <v>17</v>
      </c>
      <c r="D756" t="s">
        <v>155</v>
      </c>
      <c r="F756" t="s">
        <v>20</v>
      </c>
      <c r="G756" t="s">
        <v>38</v>
      </c>
      <c r="H756" t="s">
        <v>39</v>
      </c>
      <c r="I756" t="s">
        <v>23</v>
      </c>
      <c r="J756" t="s">
        <v>27</v>
      </c>
      <c r="K756" s="3">
        <v>3627.71</v>
      </c>
      <c r="O756" s="4">
        <v>0</v>
      </c>
      <c r="P756" s="3">
        <v>0</v>
      </c>
    </row>
    <row r="757" spans="1:16" ht="15" customHeight="1" x14ac:dyDescent="0.3">
      <c r="A757">
        <v>2019</v>
      </c>
      <c r="B757" s="2">
        <v>43494</v>
      </c>
      <c r="C757" t="s">
        <v>17</v>
      </c>
      <c r="D757" t="s">
        <v>360</v>
      </c>
      <c r="F757" t="s">
        <v>20</v>
      </c>
      <c r="G757" t="s">
        <v>38</v>
      </c>
      <c r="H757" t="s">
        <v>39</v>
      </c>
      <c r="I757" t="s">
        <v>23</v>
      </c>
      <c r="J757" t="s">
        <v>27</v>
      </c>
      <c r="K757" s="3">
        <v>178.44</v>
      </c>
      <c r="O757" s="4">
        <v>0</v>
      </c>
      <c r="P757" s="3">
        <v>0</v>
      </c>
    </row>
    <row r="758" spans="1:16" ht="15" customHeight="1" x14ac:dyDescent="0.3">
      <c r="A758">
        <v>2019</v>
      </c>
      <c r="B758" s="2">
        <v>43495</v>
      </c>
      <c r="C758" t="s">
        <v>17</v>
      </c>
      <c r="D758" t="s">
        <v>155</v>
      </c>
      <c r="F758" t="s">
        <v>20</v>
      </c>
      <c r="G758" t="s">
        <v>38</v>
      </c>
      <c r="H758" t="s">
        <v>39</v>
      </c>
      <c r="I758" t="s">
        <v>23</v>
      </c>
      <c r="J758" t="s">
        <v>27</v>
      </c>
      <c r="K758" s="3">
        <v>1200</v>
      </c>
      <c r="O758" s="4">
        <v>0</v>
      </c>
      <c r="P758" s="3">
        <v>0</v>
      </c>
    </row>
    <row r="759" spans="1:16" ht="15" customHeight="1" x14ac:dyDescent="0.3">
      <c r="A759">
        <v>2019</v>
      </c>
      <c r="B759" s="2">
        <v>43496</v>
      </c>
      <c r="C759" t="s">
        <v>17</v>
      </c>
      <c r="D759" t="s">
        <v>155</v>
      </c>
      <c r="F759" t="s">
        <v>20</v>
      </c>
      <c r="G759" t="s">
        <v>38</v>
      </c>
      <c r="H759" t="s">
        <v>39</v>
      </c>
      <c r="I759" t="s">
        <v>23</v>
      </c>
      <c r="J759" t="s">
        <v>27</v>
      </c>
      <c r="K759" s="3">
        <v>170</v>
      </c>
      <c r="O759" s="4">
        <v>0</v>
      </c>
      <c r="P759" s="3">
        <v>0</v>
      </c>
    </row>
    <row r="760" spans="1:16" ht="15" customHeight="1" x14ac:dyDescent="0.3">
      <c r="A760">
        <v>2019</v>
      </c>
      <c r="B760" s="2">
        <v>43501</v>
      </c>
      <c r="C760" t="s">
        <v>71</v>
      </c>
      <c r="D760" t="s">
        <v>761</v>
      </c>
      <c r="F760" t="s">
        <v>20</v>
      </c>
      <c r="G760" t="s">
        <v>21</v>
      </c>
      <c r="H760" t="s">
        <v>22</v>
      </c>
      <c r="I760" t="s">
        <v>178</v>
      </c>
      <c r="J760" t="s">
        <v>123</v>
      </c>
      <c r="K760" s="3">
        <v>72097.52</v>
      </c>
      <c r="O760" s="4">
        <v>0</v>
      </c>
      <c r="P760" s="3">
        <v>0</v>
      </c>
    </row>
    <row r="761" spans="1:16" ht="15" customHeight="1" x14ac:dyDescent="0.3">
      <c r="A761">
        <v>2019</v>
      </c>
      <c r="B761" s="2">
        <v>43503</v>
      </c>
      <c r="C761" t="s">
        <v>71</v>
      </c>
      <c r="D761" t="s">
        <v>103</v>
      </c>
      <c r="F761" t="s">
        <v>20</v>
      </c>
      <c r="G761" t="s">
        <v>21</v>
      </c>
      <c r="H761" t="s">
        <v>22</v>
      </c>
      <c r="I761" t="s">
        <v>23</v>
      </c>
      <c r="J761" t="s">
        <v>27</v>
      </c>
      <c r="K761" s="3">
        <v>4017.86</v>
      </c>
      <c r="O761" s="4">
        <v>0</v>
      </c>
      <c r="P761" s="3">
        <v>0</v>
      </c>
    </row>
    <row r="762" spans="1:16" ht="15" customHeight="1" x14ac:dyDescent="0.3">
      <c r="A762">
        <v>2019</v>
      </c>
      <c r="B762" s="2">
        <v>43508</v>
      </c>
      <c r="C762" t="s">
        <v>71</v>
      </c>
      <c r="D762" t="s">
        <v>103</v>
      </c>
      <c r="F762" t="s">
        <v>20</v>
      </c>
      <c r="G762" t="s">
        <v>21</v>
      </c>
      <c r="H762" t="s">
        <v>22</v>
      </c>
      <c r="I762" t="s">
        <v>49</v>
      </c>
      <c r="J762" t="s">
        <v>50</v>
      </c>
      <c r="K762" s="3">
        <v>9089.3799999999992</v>
      </c>
      <c r="O762" s="4">
        <v>0</v>
      </c>
      <c r="P762" s="3">
        <v>0</v>
      </c>
    </row>
    <row r="763" spans="1:16" ht="15" customHeight="1" x14ac:dyDescent="0.3">
      <c r="A763">
        <v>2019</v>
      </c>
      <c r="B763" s="2">
        <v>43510</v>
      </c>
      <c r="C763" t="s">
        <v>71</v>
      </c>
      <c r="D763" t="s">
        <v>751</v>
      </c>
      <c r="F763" t="s">
        <v>20</v>
      </c>
      <c r="G763" t="s">
        <v>21</v>
      </c>
      <c r="H763" t="s">
        <v>22</v>
      </c>
      <c r="I763" t="s">
        <v>538</v>
      </c>
      <c r="J763" t="s">
        <v>123</v>
      </c>
      <c r="K763" s="3">
        <v>6163.26</v>
      </c>
      <c r="O763" s="4">
        <v>0</v>
      </c>
      <c r="P763" s="3">
        <v>0</v>
      </c>
    </row>
    <row r="764" spans="1:16" ht="15" customHeight="1" x14ac:dyDescent="0.3">
      <c r="A764">
        <v>2019</v>
      </c>
      <c r="B764" s="2">
        <v>43514</v>
      </c>
      <c r="C764" t="s">
        <v>71</v>
      </c>
      <c r="D764" t="s">
        <v>155</v>
      </c>
      <c r="F764" t="s">
        <v>20</v>
      </c>
      <c r="G764" t="s">
        <v>38</v>
      </c>
      <c r="H764" t="s">
        <v>39</v>
      </c>
      <c r="I764" t="s">
        <v>49</v>
      </c>
      <c r="J764" t="s">
        <v>50</v>
      </c>
      <c r="K764" s="3">
        <v>117450</v>
      </c>
      <c r="O764" s="4">
        <v>0</v>
      </c>
      <c r="P764" s="3">
        <v>0</v>
      </c>
    </row>
    <row r="765" spans="1:16" ht="15" customHeight="1" x14ac:dyDescent="0.3">
      <c r="A765">
        <v>2019</v>
      </c>
      <c r="B765" s="2">
        <v>43515</v>
      </c>
      <c r="C765" t="s">
        <v>71</v>
      </c>
      <c r="D765" t="s">
        <v>534</v>
      </c>
      <c r="F765" t="s">
        <v>20</v>
      </c>
      <c r="G765" t="s">
        <v>21</v>
      </c>
      <c r="H765" t="s">
        <v>22</v>
      </c>
      <c r="I765" t="s">
        <v>136</v>
      </c>
      <c r="J765" t="s">
        <v>123</v>
      </c>
      <c r="K765" s="3">
        <v>19971.88</v>
      </c>
      <c r="O765" s="4">
        <v>0</v>
      </c>
      <c r="P765" s="3">
        <v>0</v>
      </c>
    </row>
    <row r="766" spans="1:16" ht="15" customHeight="1" x14ac:dyDescent="0.3">
      <c r="A766">
        <v>2019</v>
      </c>
      <c r="B766" s="2">
        <v>43518</v>
      </c>
      <c r="C766" t="s">
        <v>71</v>
      </c>
      <c r="D766" t="s">
        <v>36</v>
      </c>
      <c r="F766" t="s">
        <v>20</v>
      </c>
      <c r="G766" t="s">
        <v>38</v>
      </c>
      <c r="H766" t="s">
        <v>39</v>
      </c>
      <c r="I766" t="s">
        <v>23</v>
      </c>
      <c r="J766" t="s">
        <v>27</v>
      </c>
      <c r="K766" s="3">
        <v>357.86</v>
      </c>
      <c r="O766" s="4">
        <v>0</v>
      </c>
      <c r="P766" s="3">
        <v>0</v>
      </c>
    </row>
    <row r="767" spans="1:16" ht="15" customHeight="1" x14ac:dyDescent="0.3">
      <c r="A767">
        <v>2019</v>
      </c>
      <c r="B767" s="2">
        <v>43518</v>
      </c>
      <c r="C767" t="s">
        <v>71</v>
      </c>
      <c r="D767" t="s">
        <v>69</v>
      </c>
      <c r="F767" t="s">
        <v>20</v>
      </c>
      <c r="G767" t="s">
        <v>38</v>
      </c>
      <c r="H767" t="s">
        <v>147</v>
      </c>
      <c r="I767" t="s">
        <v>334</v>
      </c>
      <c r="J767" t="s">
        <v>50</v>
      </c>
      <c r="K767" s="3">
        <v>670000</v>
      </c>
      <c r="O767" s="4">
        <v>0</v>
      </c>
      <c r="P767" s="3">
        <v>0</v>
      </c>
    </row>
    <row r="768" spans="1:16" ht="15" customHeight="1" x14ac:dyDescent="0.3">
      <c r="A768">
        <v>2019</v>
      </c>
      <c r="B768" s="2">
        <v>43521</v>
      </c>
      <c r="C768" t="s">
        <v>71</v>
      </c>
      <c r="D768" t="s">
        <v>745</v>
      </c>
      <c r="F768" t="s">
        <v>20</v>
      </c>
      <c r="G768" t="s">
        <v>107</v>
      </c>
      <c r="H768" t="s">
        <v>108</v>
      </c>
      <c r="I768" t="s">
        <v>23</v>
      </c>
      <c r="J768" t="s">
        <v>27</v>
      </c>
      <c r="K768" s="3">
        <v>310</v>
      </c>
      <c r="O768" s="4">
        <v>0</v>
      </c>
      <c r="P768" s="3">
        <v>0</v>
      </c>
    </row>
    <row r="769" spans="1:16" ht="15" customHeight="1" x14ac:dyDescent="0.3">
      <c r="A769">
        <v>2019</v>
      </c>
      <c r="B769" s="2">
        <v>43522</v>
      </c>
      <c r="C769" t="s">
        <v>71</v>
      </c>
      <c r="D769" t="s">
        <v>155</v>
      </c>
      <c r="F769" t="s">
        <v>20</v>
      </c>
      <c r="G769" t="s">
        <v>38</v>
      </c>
      <c r="H769" t="s">
        <v>39</v>
      </c>
      <c r="I769" t="s">
        <v>23</v>
      </c>
      <c r="J769" t="s">
        <v>27</v>
      </c>
      <c r="K769" s="3">
        <v>3740</v>
      </c>
      <c r="O769" s="4">
        <v>0</v>
      </c>
      <c r="P769" s="3">
        <v>0</v>
      </c>
    </row>
    <row r="770" spans="1:16" ht="15" customHeight="1" x14ac:dyDescent="0.3">
      <c r="A770">
        <v>2019</v>
      </c>
      <c r="B770" s="2">
        <v>43523</v>
      </c>
      <c r="C770" t="s">
        <v>71</v>
      </c>
      <c r="D770" t="s">
        <v>155</v>
      </c>
      <c r="F770" t="s">
        <v>20</v>
      </c>
      <c r="G770" t="s">
        <v>38</v>
      </c>
      <c r="H770" t="s">
        <v>39</v>
      </c>
      <c r="I770" t="s">
        <v>23</v>
      </c>
      <c r="J770" t="s">
        <v>27</v>
      </c>
      <c r="K770" s="3">
        <v>870</v>
      </c>
      <c r="O770" s="4">
        <v>0</v>
      </c>
      <c r="P770" s="3">
        <v>0</v>
      </c>
    </row>
    <row r="771" spans="1:16" ht="15" customHeight="1" x14ac:dyDescent="0.3">
      <c r="A771">
        <v>2019</v>
      </c>
      <c r="B771" s="2">
        <v>43529</v>
      </c>
      <c r="C771" t="s">
        <v>137</v>
      </c>
      <c r="D771" t="s">
        <v>36</v>
      </c>
      <c r="F771" t="s">
        <v>20</v>
      </c>
      <c r="G771" t="s">
        <v>38</v>
      </c>
      <c r="H771" t="s">
        <v>39</v>
      </c>
      <c r="I771" t="s">
        <v>23</v>
      </c>
      <c r="J771" t="s">
        <v>27</v>
      </c>
      <c r="K771" s="3">
        <v>5700</v>
      </c>
      <c r="O771" s="4">
        <v>0</v>
      </c>
      <c r="P771" s="3">
        <v>0</v>
      </c>
    </row>
    <row r="772" spans="1:16" ht="15" customHeight="1" x14ac:dyDescent="0.3">
      <c r="A772">
        <v>2019</v>
      </c>
      <c r="B772" s="2">
        <v>43530</v>
      </c>
      <c r="C772" t="s">
        <v>137</v>
      </c>
      <c r="D772" t="s">
        <v>520</v>
      </c>
      <c r="E772" t="s">
        <v>542</v>
      </c>
      <c r="F772" t="s">
        <v>20</v>
      </c>
      <c r="G772" t="s">
        <v>107</v>
      </c>
      <c r="H772" t="s">
        <v>522</v>
      </c>
      <c r="I772" t="s">
        <v>49</v>
      </c>
      <c r="J772" t="s">
        <v>123</v>
      </c>
      <c r="K772" s="3">
        <v>133979.59</v>
      </c>
      <c r="O772" s="4">
        <v>0</v>
      </c>
      <c r="P772" s="3">
        <v>0</v>
      </c>
    </row>
    <row r="773" spans="1:16" ht="15" customHeight="1" x14ac:dyDescent="0.3">
      <c r="A773">
        <v>2019</v>
      </c>
      <c r="B773" s="2">
        <v>43530</v>
      </c>
      <c r="C773" t="s">
        <v>137</v>
      </c>
      <c r="D773" t="s">
        <v>45</v>
      </c>
      <c r="F773" t="s">
        <v>20</v>
      </c>
      <c r="G773" t="s">
        <v>38</v>
      </c>
      <c r="H773" t="s">
        <v>39</v>
      </c>
      <c r="I773" t="s">
        <v>306</v>
      </c>
      <c r="J773" t="s">
        <v>50</v>
      </c>
      <c r="K773" s="3">
        <v>1274940.21</v>
      </c>
      <c r="O773" s="4">
        <v>0</v>
      </c>
      <c r="P773" s="3">
        <v>0</v>
      </c>
    </row>
    <row r="774" spans="1:16" ht="15" customHeight="1" x14ac:dyDescent="0.3">
      <c r="A774">
        <v>2019</v>
      </c>
      <c r="B774" s="2">
        <v>43531</v>
      </c>
      <c r="C774" t="s">
        <v>137</v>
      </c>
      <c r="D774" t="s">
        <v>47</v>
      </c>
      <c r="F774" t="s">
        <v>20</v>
      </c>
      <c r="G774" t="s">
        <v>38</v>
      </c>
      <c r="H774" t="s">
        <v>39</v>
      </c>
      <c r="I774" t="s">
        <v>23</v>
      </c>
      <c r="J774" t="s">
        <v>27</v>
      </c>
      <c r="K774" s="3">
        <v>1350</v>
      </c>
      <c r="O774" s="4">
        <v>0</v>
      </c>
      <c r="P774" s="3">
        <v>0</v>
      </c>
    </row>
    <row r="775" spans="1:16" ht="15" customHeight="1" x14ac:dyDescent="0.3">
      <c r="A775">
        <v>2019</v>
      </c>
      <c r="B775" s="2">
        <v>43531</v>
      </c>
      <c r="C775" t="s">
        <v>137</v>
      </c>
      <c r="D775" t="s">
        <v>761</v>
      </c>
      <c r="F775" t="s">
        <v>20</v>
      </c>
      <c r="G775" t="s">
        <v>21</v>
      </c>
      <c r="H775" t="s">
        <v>22</v>
      </c>
      <c r="I775" t="s">
        <v>23</v>
      </c>
      <c r="J775" t="s">
        <v>27</v>
      </c>
      <c r="K775" s="3">
        <v>4999</v>
      </c>
      <c r="O775" s="4">
        <v>0</v>
      </c>
      <c r="P775" s="3">
        <v>0</v>
      </c>
    </row>
    <row r="776" spans="1:16" ht="15" customHeight="1" x14ac:dyDescent="0.3">
      <c r="A776">
        <v>2019</v>
      </c>
      <c r="B776" s="2">
        <v>43532</v>
      </c>
      <c r="C776" t="s">
        <v>137</v>
      </c>
      <c r="D776" t="s">
        <v>155</v>
      </c>
      <c r="F776" t="s">
        <v>20</v>
      </c>
      <c r="G776" t="s">
        <v>38</v>
      </c>
      <c r="H776" t="s">
        <v>39</v>
      </c>
      <c r="I776" t="s">
        <v>49</v>
      </c>
      <c r="J776" t="s">
        <v>50</v>
      </c>
      <c r="K776" s="3">
        <v>27000</v>
      </c>
      <c r="O776" s="4">
        <v>0</v>
      </c>
      <c r="P776" s="3">
        <v>0</v>
      </c>
    </row>
    <row r="777" spans="1:16" ht="15" customHeight="1" x14ac:dyDescent="0.3">
      <c r="A777">
        <v>2019</v>
      </c>
      <c r="B777" s="2">
        <v>43533</v>
      </c>
      <c r="C777" t="s">
        <v>137</v>
      </c>
      <c r="D777" t="s">
        <v>762</v>
      </c>
      <c r="F777" t="s">
        <v>20</v>
      </c>
      <c r="G777" t="s">
        <v>38</v>
      </c>
      <c r="H777" t="s">
        <v>89</v>
      </c>
      <c r="I777" t="s">
        <v>306</v>
      </c>
      <c r="J777" t="s">
        <v>123</v>
      </c>
      <c r="K777" s="3">
        <v>1050000</v>
      </c>
      <c r="O777" s="4">
        <v>0</v>
      </c>
      <c r="P777" s="3">
        <v>0</v>
      </c>
    </row>
    <row r="778" spans="1:16" ht="15" customHeight="1" x14ac:dyDescent="0.3">
      <c r="A778">
        <v>2019</v>
      </c>
      <c r="B778" s="2">
        <v>43536</v>
      </c>
      <c r="C778" t="s">
        <v>137</v>
      </c>
      <c r="D778" t="s">
        <v>155</v>
      </c>
      <c r="F778" t="s">
        <v>20</v>
      </c>
      <c r="G778" t="s">
        <v>38</v>
      </c>
      <c r="H778" t="s">
        <v>39</v>
      </c>
      <c r="I778" t="s">
        <v>23</v>
      </c>
      <c r="J778" t="s">
        <v>27</v>
      </c>
      <c r="K778" s="3">
        <v>1050</v>
      </c>
      <c r="O778" s="4">
        <v>0</v>
      </c>
      <c r="P778" s="3">
        <v>0</v>
      </c>
    </row>
    <row r="779" spans="1:16" ht="15" customHeight="1" x14ac:dyDescent="0.3">
      <c r="A779">
        <v>2019</v>
      </c>
      <c r="B779" s="2">
        <v>43536</v>
      </c>
      <c r="C779" t="s">
        <v>137</v>
      </c>
      <c r="D779" t="s">
        <v>36</v>
      </c>
      <c r="F779" t="s">
        <v>20</v>
      </c>
      <c r="G779" t="s">
        <v>38</v>
      </c>
      <c r="H779" t="s">
        <v>39</v>
      </c>
      <c r="I779" t="s">
        <v>23</v>
      </c>
      <c r="J779" t="s">
        <v>27</v>
      </c>
      <c r="K779" s="3">
        <v>6507.35</v>
      </c>
      <c r="O779" s="4">
        <v>0</v>
      </c>
      <c r="P779" s="3">
        <v>0</v>
      </c>
    </row>
    <row r="780" spans="1:16" ht="15" customHeight="1" x14ac:dyDescent="0.3">
      <c r="A780">
        <v>2019</v>
      </c>
      <c r="B780" s="2">
        <v>43542</v>
      </c>
      <c r="C780" t="s">
        <v>137</v>
      </c>
      <c r="D780" t="s">
        <v>763</v>
      </c>
      <c r="F780" t="s">
        <v>20</v>
      </c>
      <c r="G780" t="s">
        <v>21</v>
      </c>
      <c r="H780" t="s">
        <v>764</v>
      </c>
      <c r="I780" t="s">
        <v>306</v>
      </c>
      <c r="J780" t="s">
        <v>123</v>
      </c>
      <c r="K780" s="3">
        <v>350000</v>
      </c>
      <c r="O780" s="4">
        <v>0</v>
      </c>
      <c r="P780" s="3">
        <v>0</v>
      </c>
    </row>
    <row r="781" spans="1:16" ht="15" customHeight="1" x14ac:dyDescent="0.3">
      <c r="A781">
        <v>2019</v>
      </c>
      <c r="B781" s="2">
        <v>43544</v>
      </c>
      <c r="C781" t="s">
        <v>137</v>
      </c>
      <c r="D781" t="s">
        <v>744</v>
      </c>
      <c r="F781" t="s">
        <v>20</v>
      </c>
      <c r="G781" t="s">
        <v>38</v>
      </c>
      <c r="H781" t="s">
        <v>147</v>
      </c>
      <c r="I781" t="s">
        <v>23</v>
      </c>
      <c r="J781" t="s">
        <v>27</v>
      </c>
      <c r="K781" s="3">
        <v>2445.52</v>
      </c>
      <c r="O781" s="4">
        <v>0</v>
      </c>
      <c r="P781" s="3">
        <v>0</v>
      </c>
    </row>
    <row r="782" spans="1:16" ht="15" customHeight="1" x14ac:dyDescent="0.3">
      <c r="A782">
        <v>2019</v>
      </c>
      <c r="B782" s="2">
        <v>43545</v>
      </c>
      <c r="C782" t="s">
        <v>137</v>
      </c>
      <c r="D782" t="s">
        <v>762</v>
      </c>
      <c r="F782" t="s">
        <v>20</v>
      </c>
      <c r="G782" t="s">
        <v>38</v>
      </c>
      <c r="H782" t="s">
        <v>89</v>
      </c>
      <c r="I782" t="s">
        <v>23</v>
      </c>
      <c r="J782" t="s">
        <v>27</v>
      </c>
      <c r="K782" s="3">
        <v>5908.75</v>
      </c>
      <c r="O782" s="4">
        <v>0</v>
      </c>
      <c r="P782" s="3">
        <v>0</v>
      </c>
    </row>
    <row r="783" spans="1:16" ht="15" customHeight="1" x14ac:dyDescent="0.3">
      <c r="A783">
        <v>2019</v>
      </c>
      <c r="B783" s="2">
        <v>43549</v>
      </c>
      <c r="C783" t="s">
        <v>137</v>
      </c>
      <c r="D783" t="s">
        <v>155</v>
      </c>
      <c r="F783" t="s">
        <v>20</v>
      </c>
      <c r="G783" t="s">
        <v>38</v>
      </c>
      <c r="H783" t="s">
        <v>39</v>
      </c>
      <c r="I783" t="s">
        <v>136</v>
      </c>
      <c r="J783" t="s">
        <v>50</v>
      </c>
      <c r="K783" s="3">
        <v>150000</v>
      </c>
      <c r="O783" s="4">
        <v>0</v>
      </c>
      <c r="P783" s="3">
        <v>0</v>
      </c>
    </row>
    <row r="784" spans="1:16" ht="15" customHeight="1" x14ac:dyDescent="0.3">
      <c r="A784">
        <v>2019</v>
      </c>
      <c r="B784" s="2">
        <v>43549</v>
      </c>
      <c r="C784" t="s">
        <v>137</v>
      </c>
      <c r="D784" t="s">
        <v>155</v>
      </c>
      <c r="F784" t="s">
        <v>20</v>
      </c>
      <c r="G784" t="s">
        <v>38</v>
      </c>
      <c r="H784" t="s">
        <v>39</v>
      </c>
      <c r="I784" t="s">
        <v>136</v>
      </c>
      <c r="J784" t="s">
        <v>759</v>
      </c>
      <c r="K784" s="3">
        <v>40000</v>
      </c>
      <c r="O784" s="4">
        <v>0</v>
      </c>
      <c r="P784" s="3">
        <v>0</v>
      </c>
    </row>
    <row r="785" spans="1:16" ht="15" customHeight="1" x14ac:dyDescent="0.3">
      <c r="A785">
        <v>2019</v>
      </c>
      <c r="B785" s="2">
        <v>43549</v>
      </c>
      <c r="C785" t="s">
        <v>137</v>
      </c>
      <c r="D785" t="s">
        <v>83</v>
      </c>
      <c r="F785" t="s">
        <v>20</v>
      </c>
      <c r="G785" t="s">
        <v>21</v>
      </c>
      <c r="H785" t="s">
        <v>22</v>
      </c>
      <c r="I785" t="s">
        <v>136</v>
      </c>
      <c r="J785" t="s">
        <v>50</v>
      </c>
      <c r="K785" s="3">
        <v>26977.29</v>
      </c>
      <c r="O785" s="4">
        <v>0</v>
      </c>
      <c r="P785" s="3">
        <v>0</v>
      </c>
    </row>
    <row r="786" spans="1:16" ht="15" customHeight="1" x14ac:dyDescent="0.3">
      <c r="A786">
        <v>2019</v>
      </c>
      <c r="B786" s="2">
        <v>43550</v>
      </c>
      <c r="C786" t="s">
        <v>137</v>
      </c>
      <c r="D786" t="s">
        <v>83</v>
      </c>
      <c r="F786" t="s">
        <v>20</v>
      </c>
      <c r="G786" t="s">
        <v>21</v>
      </c>
      <c r="H786" t="s">
        <v>22</v>
      </c>
      <c r="I786" t="s">
        <v>23</v>
      </c>
      <c r="J786" t="s">
        <v>27</v>
      </c>
      <c r="K786" s="3">
        <v>1056.58</v>
      </c>
      <c r="O786" s="4">
        <v>0</v>
      </c>
      <c r="P786" s="3">
        <v>0</v>
      </c>
    </row>
    <row r="787" spans="1:16" ht="15" customHeight="1" x14ac:dyDescent="0.3">
      <c r="A787">
        <v>2019</v>
      </c>
      <c r="B787" s="2">
        <v>43552</v>
      </c>
      <c r="C787" t="s">
        <v>137</v>
      </c>
      <c r="D787" t="s">
        <v>301</v>
      </c>
      <c r="E787" t="s">
        <v>765</v>
      </c>
      <c r="F787" t="s">
        <v>20</v>
      </c>
      <c r="G787" t="s">
        <v>38</v>
      </c>
      <c r="H787" t="s">
        <v>147</v>
      </c>
      <c r="I787" t="s">
        <v>178</v>
      </c>
      <c r="J787" t="s">
        <v>50</v>
      </c>
      <c r="K787" s="3">
        <v>341509.44</v>
      </c>
      <c r="O787" s="4">
        <v>0</v>
      </c>
      <c r="P787" s="3">
        <v>0</v>
      </c>
    </row>
    <row r="788" spans="1:16" ht="15" customHeight="1" x14ac:dyDescent="0.3">
      <c r="A788">
        <v>2019</v>
      </c>
      <c r="B788" s="2">
        <v>43558</v>
      </c>
      <c r="C788" t="s">
        <v>169</v>
      </c>
      <c r="D788" t="s">
        <v>83</v>
      </c>
      <c r="F788" t="s">
        <v>20</v>
      </c>
      <c r="G788" t="s">
        <v>21</v>
      </c>
      <c r="H788" t="s">
        <v>22</v>
      </c>
      <c r="I788" t="s">
        <v>136</v>
      </c>
      <c r="J788" t="s">
        <v>50</v>
      </c>
      <c r="K788" s="3">
        <v>26770.73</v>
      </c>
      <c r="O788" s="4">
        <v>0</v>
      </c>
      <c r="P788" s="3">
        <v>0</v>
      </c>
    </row>
    <row r="789" spans="1:16" ht="15" customHeight="1" x14ac:dyDescent="0.3">
      <c r="A789">
        <v>2019</v>
      </c>
      <c r="B789" s="2">
        <v>43559</v>
      </c>
      <c r="C789" t="s">
        <v>169</v>
      </c>
      <c r="D789" t="s">
        <v>32</v>
      </c>
      <c r="F789" t="s">
        <v>20</v>
      </c>
      <c r="G789" t="s">
        <v>21</v>
      </c>
      <c r="H789" t="s">
        <v>22</v>
      </c>
      <c r="I789" t="s">
        <v>141</v>
      </c>
      <c r="J789" t="s">
        <v>123</v>
      </c>
      <c r="K789" s="3">
        <v>465061.29</v>
      </c>
      <c r="O789" s="4">
        <v>0</v>
      </c>
      <c r="P789" s="3">
        <v>0</v>
      </c>
    </row>
    <row r="790" spans="1:16" ht="15" customHeight="1" x14ac:dyDescent="0.3">
      <c r="A790">
        <v>2019</v>
      </c>
      <c r="B790" s="2">
        <v>43563</v>
      </c>
      <c r="C790" t="s">
        <v>169</v>
      </c>
      <c r="D790" t="s">
        <v>155</v>
      </c>
      <c r="F790" t="s">
        <v>20</v>
      </c>
      <c r="G790" t="s">
        <v>38</v>
      </c>
      <c r="H790" t="s">
        <v>39</v>
      </c>
      <c r="I790" t="s">
        <v>306</v>
      </c>
      <c r="J790" t="s">
        <v>766</v>
      </c>
      <c r="K790" s="3">
        <v>17085.310000000001</v>
      </c>
      <c r="O790" s="4">
        <v>0</v>
      </c>
      <c r="P790" s="3">
        <v>0</v>
      </c>
    </row>
    <row r="791" spans="1:16" ht="15" customHeight="1" x14ac:dyDescent="0.3">
      <c r="A791">
        <v>2019</v>
      </c>
      <c r="B791" s="2">
        <v>43563</v>
      </c>
      <c r="C791" t="s">
        <v>169</v>
      </c>
      <c r="D791" t="s">
        <v>155</v>
      </c>
      <c r="F791" t="s">
        <v>20</v>
      </c>
      <c r="G791" t="s">
        <v>38</v>
      </c>
      <c r="H791" t="s">
        <v>39</v>
      </c>
      <c r="I791" t="s">
        <v>23</v>
      </c>
      <c r="J791" t="s">
        <v>27</v>
      </c>
      <c r="K791" s="3">
        <v>10656.47</v>
      </c>
      <c r="O791" s="4">
        <v>0</v>
      </c>
      <c r="P791" s="3">
        <v>0</v>
      </c>
    </row>
    <row r="792" spans="1:16" ht="15" customHeight="1" x14ac:dyDescent="0.3">
      <c r="A792">
        <v>2019</v>
      </c>
      <c r="B792" s="2">
        <v>43563</v>
      </c>
      <c r="C792" t="s">
        <v>169</v>
      </c>
      <c r="D792" t="s">
        <v>30</v>
      </c>
      <c r="F792" t="s">
        <v>20</v>
      </c>
      <c r="G792" t="s">
        <v>21</v>
      </c>
      <c r="H792" t="s">
        <v>22</v>
      </c>
      <c r="I792" t="s">
        <v>23</v>
      </c>
      <c r="J792" t="s">
        <v>27</v>
      </c>
      <c r="K792" s="3">
        <v>2686.67</v>
      </c>
      <c r="O792" s="4">
        <v>0</v>
      </c>
      <c r="P792" s="3">
        <v>0</v>
      </c>
    </row>
    <row r="793" spans="1:16" ht="15" customHeight="1" x14ac:dyDescent="0.3">
      <c r="A793">
        <v>2019</v>
      </c>
      <c r="B793" s="2">
        <v>43563</v>
      </c>
      <c r="C793" t="s">
        <v>169</v>
      </c>
      <c r="D793" t="s">
        <v>313</v>
      </c>
      <c r="F793" t="s">
        <v>20</v>
      </c>
      <c r="G793" t="s">
        <v>21</v>
      </c>
      <c r="H793" t="s">
        <v>22</v>
      </c>
      <c r="I793" t="s">
        <v>23</v>
      </c>
      <c r="J793" t="s">
        <v>27</v>
      </c>
      <c r="K793" s="3">
        <v>500</v>
      </c>
      <c r="O793" s="4">
        <v>0</v>
      </c>
      <c r="P793" s="3">
        <v>0</v>
      </c>
    </row>
    <row r="794" spans="1:16" ht="15" customHeight="1" x14ac:dyDescent="0.3">
      <c r="A794">
        <v>2019</v>
      </c>
      <c r="B794" s="2">
        <v>43563</v>
      </c>
      <c r="C794" t="s">
        <v>169</v>
      </c>
      <c r="D794" t="s">
        <v>644</v>
      </c>
      <c r="F794" t="s">
        <v>20</v>
      </c>
      <c r="G794" t="s">
        <v>107</v>
      </c>
      <c r="H794" t="s">
        <v>522</v>
      </c>
      <c r="I794" t="s">
        <v>136</v>
      </c>
      <c r="J794" t="s">
        <v>123</v>
      </c>
      <c r="K794" s="3">
        <v>91663.03</v>
      </c>
      <c r="O794" s="4">
        <v>0</v>
      </c>
      <c r="P794" s="3">
        <v>0</v>
      </c>
    </row>
    <row r="795" spans="1:16" ht="15" customHeight="1" x14ac:dyDescent="0.3">
      <c r="A795">
        <v>2019</v>
      </c>
      <c r="B795" s="2">
        <v>43565</v>
      </c>
      <c r="C795" t="s">
        <v>169</v>
      </c>
      <c r="D795" t="s">
        <v>675</v>
      </c>
      <c r="F795" t="s">
        <v>20</v>
      </c>
      <c r="G795" t="s">
        <v>38</v>
      </c>
      <c r="H795" t="s">
        <v>147</v>
      </c>
      <c r="I795" t="s">
        <v>306</v>
      </c>
      <c r="J795" t="s">
        <v>50</v>
      </c>
      <c r="K795" s="3">
        <v>48993.59</v>
      </c>
      <c r="O795" s="4">
        <v>0</v>
      </c>
      <c r="P795" s="3">
        <v>0</v>
      </c>
    </row>
    <row r="796" spans="1:16" ht="15" customHeight="1" x14ac:dyDescent="0.3">
      <c r="A796">
        <v>2019</v>
      </c>
      <c r="B796" s="2">
        <v>43566</v>
      </c>
      <c r="C796" t="s">
        <v>169</v>
      </c>
      <c r="D796" t="s">
        <v>155</v>
      </c>
      <c r="F796" t="s">
        <v>20</v>
      </c>
      <c r="G796" t="s">
        <v>38</v>
      </c>
      <c r="H796" t="s">
        <v>39</v>
      </c>
      <c r="I796" t="s">
        <v>136</v>
      </c>
      <c r="J796" t="s">
        <v>766</v>
      </c>
      <c r="K796" s="3">
        <v>5985</v>
      </c>
      <c r="O796" s="4">
        <v>0</v>
      </c>
      <c r="P796" s="3">
        <v>0</v>
      </c>
    </row>
    <row r="797" spans="1:16" ht="15" customHeight="1" x14ac:dyDescent="0.3">
      <c r="A797">
        <v>2019</v>
      </c>
      <c r="B797" s="2">
        <v>43570</v>
      </c>
      <c r="C797" t="s">
        <v>169</v>
      </c>
      <c r="D797" t="s">
        <v>767</v>
      </c>
      <c r="F797" t="s">
        <v>20</v>
      </c>
      <c r="G797" t="s">
        <v>38</v>
      </c>
      <c r="H797" t="s">
        <v>619</v>
      </c>
      <c r="I797" t="s">
        <v>136</v>
      </c>
      <c r="J797" t="s">
        <v>123</v>
      </c>
      <c r="K797" s="3">
        <v>384214.27</v>
      </c>
      <c r="O797" s="4">
        <v>0</v>
      </c>
      <c r="P797" s="3">
        <v>0</v>
      </c>
    </row>
    <row r="798" spans="1:16" ht="15" customHeight="1" x14ac:dyDescent="0.3">
      <c r="A798">
        <v>2019</v>
      </c>
      <c r="B798" s="2">
        <v>43571</v>
      </c>
      <c r="C798" t="s">
        <v>169</v>
      </c>
      <c r="D798" t="s">
        <v>751</v>
      </c>
      <c r="F798" t="s">
        <v>20</v>
      </c>
      <c r="G798" t="s">
        <v>21</v>
      </c>
      <c r="H798" t="s">
        <v>22</v>
      </c>
      <c r="I798" t="s">
        <v>23</v>
      </c>
      <c r="J798" t="s">
        <v>27</v>
      </c>
      <c r="K798" s="3">
        <v>445</v>
      </c>
      <c r="O798" s="4">
        <v>0</v>
      </c>
      <c r="P798" s="3">
        <v>0</v>
      </c>
    </row>
    <row r="799" spans="1:16" ht="15" customHeight="1" x14ac:dyDescent="0.3">
      <c r="A799">
        <v>2019</v>
      </c>
      <c r="B799" s="2">
        <v>43572</v>
      </c>
      <c r="C799" t="s">
        <v>169</v>
      </c>
      <c r="D799" t="s">
        <v>485</v>
      </c>
      <c r="F799" t="s">
        <v>20</v>
      </c>
      <c r="G799" t="s">
        <v>38</v>
      </c>
      <c r="H799" t="s">
        <v>39</v>
      </c>
      <c r="I799" t="s">
        <v>178</v>
      </c>
      <c r="J799" t="s">
        <v>123</v>
      </c>
      <c r="K799" s="3">
        <v>276648.87</v>
      </c>
      <c r="O799" s="4">
        <v>0</v>
      </c>
      <c r="P799" s="3">
        <v>0</v>
      </c>
    </row>
    <row r="800" spans="1:16" ht="15" customHeight="1" x14ac:dyDescent="0.3">
      <c r="A800">
        <v>2019</v>
      </c>
      <c r="B800" s="2">
        <v>43572</v>
      </c>
      <c r="C800" t="s">
        <v>169</v>
      </c>
      <c r="D800" t="s">
        <v>750</v>
      </c>
      <c r="F800" t="s">
        <v>20</v>
      </c>
      <c r="G800" t="s">
        <v>38</v>
      </c>
      <c r="H800" t="s">
        <v>39</v>
      </c>
      <c r="I800" t="s">
        <v>306</v>
      </c>
      <c r="J800" t="s">
        <v>123</v>
      </c>
      <c r="K800" s="3">
        <v>508178.68</v>
      </c>
      <c r="O800" s="4">
        <v>0</v>
      </c>
      <c r="P800" s="3">
        <v>0</v>
      </c>
    </row>
    <row r="801" spans="1:16" ht="15" customHeight="1" x14ac:dyDescent="0.3">
      <c r="A801">
        <v>2019</v>
      </c>
      <c r="B801" s="2">
        <v>43579</v>
      </c>
      <c r="C801" t="s">
        <v>169</v>
      </c>
      <c r="D801" t="s">
        <v>155</v>
      </c>
      <c r="F801" t="s">
        <v>20</v>
      </c>
      <c r="G801" t="s">
        <v>38</v>
      </c>
      <c r="H801" t="s">
        <v>39</v>
      </c>
      <c r="I801" t="s">
        <v>23</v>
      </c>
      <c r="J801" t="s">
        <v>27</v>
      </c>
      <c r="K801" s="3">
        <v>605</v>
      </c>
      <c r="O801" s="4">
        <v>0</v>
      </c>
      <c r="P801" s="3">
        <v>0</v>
      </c>
    </row>
    <row r="802" spans="1:16" ht="15" customHeight="1" x14ac:dyDescent="0.3">
      <c r="A802">
        <v>2019</v>
      </c>
      <c r="B802" s="2">
        <v>43580</v>
      </c>
      <c r="C802" t="s">
        <v>169</v>
      </c>
      <c r="D802" t="s">
        <v>155</v>
      </c>
      <c r="F802" t="s">
        <v>20</v>
      </c>
      <c r="G802" t="s">
        <v>38</v>
      </c>
      <c r="H802" t="s">
        <v>39</v>
      </c>
      <c r="I802" t="s">
        <v>49</v>
      </c>
      <c r="J802" t="s">
        <v>50</v>
      </c>
      <c r="K802" s="3">
        <v>17817.13</v>
      </c>
      <c r="O802" s="4">
        <v>0</v>
      </c>
      <c r="P802" s="3">
        <v>0</v>
      </c>
    </row>
    <row r="803" spans="1:16" ht="15" customHeight="1" x14ac:dyDescent="0.3">
      <c r="A803">
        <v>2019</v>
      </c>
      <c r="B803" s="2">
        <v>43587</v>
      </c>
      <c r="C803" t="s">
        <v>190</v>
      </c>
      <c r="D803" t="s">
        <v>211</v>
      </c>
      <c r="F803" t="s">
        <v>20</v>
      </c>
      <c r="G803" t="s">
        <v>107</v>
      </c>
      <c r="H803" t="s">
        <v>522</v>
      </c>
      <c r="I803" t="s">
        <v>23</v>
      </c>
      <c r="J803" t="s">
        <v>27</v>
      </c>
      <c r="K803" s="3">
        <v>10742.91</v>
      </c>
      <c r="O803" s="4">
        <v>0</v>
      </c>
      <c r="P803" s="3">
        <v>0</v>
      </c>
    </row>
    <row r="804" spans="1:16" ht="15" customHeight="1" x14ac:dyDescent="0.3">
      <c r="A804">
        <v>2019</v>
      </c>
      <c r="B804" s="2">
        <v>43588</v>
      </c>
      <c r="C804" t="s">
        <v>190</v>
      </c>
      <c r="D804" t="s">
        <v>762</v>
      </c>
      <c r="E804" t="s">
        <v>38</v>
      </c>
      <c r="F804" t="s">
        <v>20</v>
      </c>
      <c r="G804" t="s">
        <v>38</v>
      </c>
      <c r="H804" t="s">
        <v>89</v>
      </c>
      <c r="I804" t="s">
        <v>306</v>
      </c>
      <c r="J804" t="s">
        <v>123</v>
      </c>
      <c r="K804" s="3">
        <v>14132</v>
      </c>
      <c r="O804" s="4">
        <v>0</v>
      </c>
      <c r="P804" s="3">
        <v>0</v>
      </c>
    </row>
    <row r="805" spans="1:16" ht="15" customHeight="1" x14ac:dyDescent="0.3">
      <c r="A805">
        <v>2019</v>
      </c>
      <c r="B805" s="2">
        <v>43592</v>
      </c>
      <c r="C805" t="s">
        <v>190</v>
      </c>
      <c r="D805" t="s">
        <v>155</v>
      </c>
      <c r="F805" t="s">
        <v>20</v>
      </c>
      <c r="G805" t="s">
        <v>38</v>
      </c>
      <c r="H805" t="s">
        <v>39</v>
      </c>
      <c r="I805" t="s">
        <v>23</v>
      </c>
      <c r="J805" t="s">
        <v>27</v>
      </c>
      <c r="K805" s="3">
        <v>1650</v>
      </c>
      <c r="O805" s="4">
        <v>0</v>
      </c>
      <c r="P805" s="3">
        <v>0</v>
      </c>
    </row>
    <row r="806" spans="1:16" ht="15" customHeight="1" x14ac:dyDescent="0.3">
      <c r="A806">
        <v>2019</v>
      </c>
      <c r="B806" s="2">
        <v>43592</v>
      </c>
      <c r="C806" t="s">
        <v>190</v>
      </c>
      <c r="D806" t="s">
        <v>155</v>
      </c>
      <c r="F806" t="s">
        <v>20</v>
      </c>
      <c r="G806" t="s">
        <v>38</v>
      </c>
      <c r="H806" t="s">
        <v>39</v>
      </c>
      <c r="I806" t="s">
        <v>23</v>
      </c>
      <c r="J806" t="s">
        <v>27</v>
      </c>
      <c r="K806" s="3">
        <v>805.3</v>
      </c>
      <c r="O806" s="4">
        <v>0</v>
      </c>
      <c r="P806" s="3">
        <v>0</v>
      </c>
    </row>
    <row r="807" spans="1:16" ht="15" customHeight="1" x14ac:dyDescent="0.3">
      <c r="A807">
        <v>2019</v>
      </c>
      <c r="B807" s="2">
        <v>43592</v>
      </c>
      <c r="C807" t="s">
        <v>190</v>
      </c>
      <c r="D807" t="s">
        <v>155</v>
      </c>
      <c r="F807" t="s">
        <v>20</v>
      </c>
      <c r="G807" t="s">
        <v>38</v>
      </c>
      <c r="H807" t="s">
        <v>39</v>
      </c>
      <c r="I807" t="s">
        <v>49</v>
      </c>
      <c r="J807" t="s">
        <v>50</v>
      </c>
      <c r="K807" s="3">
        <v>23500</v>
      </c>
      <c r="O807" s="4">
        <v>0</v>
      </c>
      <c r="P807" s="3">
        <v>0</v>
      </c>
    </row>
    <row r="808" spans="1:16" ht="15" customHeight="1" x14ac:dyDescent="0.3">
      <c r="A808">
        <v>2019</v>
      </c>
      <c r="B808" s="2">
        <v>43594</v>
      </c>
      <c r="C808" t="s">
        <v>190</v>
      </c>
      <c r="D808" t="s">
        <v>155</v>
      </c>
      <c r="F808" t="s">
        <v>20</v>
      </c>
      <c r="G808" t="s">
        <v>38</v>
      </c>
      <c r="H808" t="s">
        <v>39</v>
      </c>
      <c r="I808" t="s">
        <v>49</v>
      </c>
      <c r="J808" t="s">
        <v>50</v>
      </c>
      <c r="K808" s="3">
        <v>23835.71</v>
      </c>
      <c r="O808" s="4">
        <v>0</v>
      </c>
      <c r="P808" s="3">
        <v>0</v>
      </c>
    </row>
    <row r="809" spans="1:16" ht="15" customHeight="1" x14ac:dyDescent="0.3">
      <c r="A809">
        <v>2019</v>
      </c>
      <c r="B809" s="2">
        <v>43600</v>
      </c>
      <c r="C809" t="s">
        <v>190</v>
      </c>
      <c r="D809" t="s">
        <v>485</v>
      </c>
      <c r="F809" t="s">
        <v>20</v>
      </c>
      <c r="G809" t="s">
        <v>38</v>
      </c>
      <c r="H809" t="s">
        <v>39</v>
      </c>
      <c r="I809" t="s">
        <v>306</v>
      </c>
      <c r="J809" t="s">
        <v>123</v>
      </c>
      <c r="K809" s="3">
        <v>570158.31999999995</v>
      </c>
      <c r="O809" s="4">
        <v>0</v>
      </c>
      <c r="P809" s="3">
        <v>0</v>
      </c>
    </row>
    <row r="810" spans="1:16" ht="15" customHeight="1" x14ac:dyDescent="0.3">
      <c r="A810">
        <v>2019</v>
      </c>
      <c r="B810" s="2">
        <v>43600</v>
      </c>
      <c r="C810" t="s">
        <v>190</v>
      </c>
      <c r="D810" t="s">
        <v>762</v>
      </c>
      <c r="F810" t="s">
        <v>20</v>
      </c>
      <c r="G810" t="s">
        <v>38</v>
      </c>
      <c r="H810" t="s">
        <v>89</v>
      </c>
      <c r="I810" t="s">
        <v>306</v>
      </c>
      <c r="J810" t="s">
        <v>123</v>
      </c>
      <c r="K810" s="3">
        <v>172980.99</v>
      </c>
      <c r="O810" s="4">
        <v>0</v>
      </c>
      <c r="P810" s="3">
        <v>0</v>
      </c>
    </row>
    <row r="811" spans="1:16" ht="15" customHeight="1" x14ac:dyDescent="0.3">
      <c r="A811">
        <v>2019</v>
      </c>
      <c r="B811" s="2">
        <v>43600</v>
      </c>
      <c r="C811" t="s">
        <v>190</v>
      </c>
      <c r="D811" t="s">
        <v>69</v>
      </c>
      <c r="F811" t="s">
        <v>20</v>
      </c>
      <c r="G811" t="s">
        <v>38</v>
      </c>
      <c r="H811" t="s">
        <v>147</v>
      </c>
      <c r="I811" t="s">
        <v>23</v>
      </c>
      <c r="J811" t="s">
        <v>27</v>
      </c>
      <c r="K811" s="3">
        <v>4729.32</v>
      </c>
      <c r="O811" s="4">
        <v>0</v>
      </c>
      <c r="P811" s="3">
        <v>0</v>
      </c>
    </row>
    <row r="812" spans="1:16" ht="15" customHeight="1" x14ac:dyDescent="0.3">
      <c r="A812">
        <v>2019</v>
      </c>
      <c r="B812" s="2">
        <v>43600</v>
      </c>
      <c r="C812" t="s">
        <v>190</v>
      </c>
      <c r="D812" t="s">
        <v>761</v>
      </c>
      <c r="F812" t="s">
        <v>20</v>
      </c>
      <c r="G812" t="s">
        <v>21</v>
      </c>
      <c r="H812" t="s">
        <v>22</v>
      </c>
      <c r="I812" t="s">
        <v>136</v>
      </c>
      <c r="J812" t="s">
        <v>110</v>
      </c>
      <c r="K812" s="3">
        <v>55000</v>
      </c>
      <c r="O812" s="4">
        <v>0</v>
      </c>
      <c r="P812" s="3">
        <v>0</v>
      </c>
    </row>
    <row r="813" spans="1:16" ht="15" customHeight="1" x14ac:dyDescent="0.3">
      <c r="A813">
        <v>2019</v>
      </c>
      <c r="B813" s="2">
        <v>43601</v>
      </c>
      <c r="C813" t="s">
        <v>190</v>
      </c>
      <c r="D813" t="s">
        <v>763</v>
      </c>
      <c r="F813" t="s">
        <v>20</v>
      </c>
      <c r="G813" t="s">
        <v>21</v>
      </c>
      <c r="H813" t="s">
        <v>764</v>
      </c>
      <c r="I813" t="s">
        <v>23</v>
      </c>
      <c r="J813" t="s">
        <v>27</v>
      </c>
      <c r="K813" s="3">
        <v>2439.42</v>
      </c>
      <c r="O813" s="4">
        <v>0</v>
      </c>
      <c r="P813" s="3">
        <v>0</v>
      </c>
    </row>
    <row r="814" spans="1:16" ht="15" customHeight="1" x14ac:dyDescent="0.3">
      <c r="A814">
        <v>2019</v>
      </c>
      <c r="B814" s="2">
        <v>43601</v>
      </c>
      <c r="C814" t="s">
        <v>190</v>
      </c>
      <c r="D814" t="s">
        <v>763</v>
      </c>
      <c r="F814" t="s">
        <v>20</v>
      </c>
      <c r="G814" t="s">
        <v>21</v>
      </c>
      <c r="H814" t="s">
        <v>764</v>
      </c>
      <c r="I814" t="s">
        <v>23</v>
      </c>
      <c r="J814" t="s">
        <v>27</v>
      </c>
      <c r="K814" s="3">
        <v>230</v>
      </c>
      <c r="O814" s="4">
        <v>0</v>
      </c>
      <c r="P814" s="3">
        <v>0</v>
      </c>
    </row>
    <row r="815" spans="1:16" ht="15" customHeight="1" x14ac:dyDescent="0.3">
      <c r="A815">
        <v>2019</v>
      </c>
      <c r="B815" s="2">
        <v>43605</v>
      </c>
      <c r="C815" t="s">
        <v>190</v>
      </c>
      <c r="D815" t="s">
        <v>36</v>
      </c>
      <c r="F815" t="s">
        <v>20</v>
      </c>
      <c r="G815" t="s">
        <v>38</v>
      </c>
      <c r="H815" t="s">
        <v>39</v>
      </c>
      <c r="I815" t="s">
        <v>23</v>
      </c>
      <c r="J815" t="s">
        <v>27</v>
      </c>
      <c r="K815" s="3">
        <v>6837.5</v>
      </c>
      <c r="O815" s="4">
        <v>0</v>
      </c>
      <c r="P815" s="3">
        <v>0</v>
      </c>
    </row>
    <row r="816" spans="1:16" ht="15" customHeight="1" x14ac:dyDescent="0.3">
      <c r="A816">
        <v>2019</v>
      </c>
      <c r="B816" s="2">
        <v>43606</v>
      </c>
      <c r="C816" t="s">
        <v>190</v>
      </c>
      <c r="D816" t="s">
        <v>155</v>
      </c>
      <c r="F816" t="s">
        <v>20</v>
      </c>
      <c r="G816" t="s">
        <v>38</v>
      </c>
      <c r="H816" t="s">
        <v>39</v>
      </c>
      <c r="I816" t="s">
        <v>23</v>
      </c>
      <c r="J816" t="s">
        <v>27</v>
      </c>
      <c r="K816" s="3">
        <v>327.7</v>
      </c>
      <c r="O816" s="4">
        <v>0</v>
      </c>
      <c r="P816" s="3">
        <v>0</v>
      </c>
    </row>
    <row r="817" spans="1:16" ht="15" customHeight="1" x14ac:dyDescent="0.3">
      <c r="A817">
        <v>2019</v>
      </c>
      <c r="B817" s="2">
        <v>43606</v>
      </c>
      <c r="C817" t="s">
        <v>190</v>
      </c>
      <c r="D817" t="s">
        <v>283</v>
      </c>
      <c r="F817" t="s">
        <v>20</v>
      </c>
      <c r="G817" t="s">
        <v>38</v>
      </c>
      <c r="H817" t="s">
        <v>89</v>
      </c>
      <c r="I817" t="s">
        <v>23</v>
      </c>
      <c r="J817" t="s">
        <v>27</v>
      </c>
      <c r="K817" s="3">
        <v>2167</v>
      </c>
      <c r="O817" s="4">
        <v>0</v>
      </c>
      <c r="P817" s="3">
        <v>0</v>
      </c>
    </row>
    <row r="818" spans="1:16" ht="15" customHeight="1" x14ac:dyDescent="0.3">
      <c r="A818">
        <v>2019</v>
      </c>
      <c r="B818" s="2">
        <v>43607</v>
      </c>
      <c r="C818" t="s">
        <v>190</v>
      </c>
      <c r="D818" t="s">
        <v>155</v>
      </c>
      <c r="F818" t="s">
        <v>20</v>
      </c>
      <c r="G818" t="s">
        <v>38</v>
      </c>
      <c r="H818" t="s">
        <v>39</v>
      </c>
      <c r="I818" t="s">
        <v>49</v>
      </c>
      <c r="J818" t="s">
        <v>50</v>
      </c>
      <c r="K818" s="3">
        <v>20000</v>
      </c>
      <c r="O818" s="4">
        <v>0</v>
      </c>
      <c r="P818" s="3">
        <v>0</v>
      </c>
    </row>
    <row r="819" spans="1:16" ht="15" customHeight="1" x14ac:dyDescent="0.3">
      <c r="A819">
        <v>2019</v>
      </c>
      <c r="B819" s="2">
        <v>43608</v>
      </c>
      <c r="C819" t="s">
        <v>190</v>
      </c>
      <c r="D819" t="s">
        <v>762</v>
      </c>
      <c r="F819" t="s">
        <v>20</v>
      </c>
      <c r="G819" t="s">
        <v>38</v>
      </c>
      <c r="H819" t="s">
        <v>89</v>
      </c>
      <c r="I819" t="s">
        <v>306</v>
      </c>
      <c r="J819" t="s">
        <v>123</v>
      </c>
      <c r="K819" s="3">
        <v>36748</v>
      </c>
      <c r="O819" s="4">
        <v>0</v>
      </c>
      <c r="P819" s="3">
        <v>0</v>
      </c>
    </row>
    <row r="820" spans="1:16" ht="15" customHeight="1" x14ac:dyDescent="0.3">
      <c r="A820">
        <v>2019</v>
      </c>
      <c r="B820" s="2">
        <v>43614</v>
      </c>
      <c r="C820" t="s">
        <v>190</v>
      </c>
      <c r="D820" t="s">
        <v>768</v>
      </c>
      <c r="F820" t="s">
        <v>20</v>
      </c>
      <c r="G820" t="s">
        <v>38</v>
      </c>
      <c r="H820" t="s">
        <v>39</v>
      </c>
      <c r="I820" t="s">
        <v>136</v>
      </c>
      <c r="J820" t="s">
        <v>123</v>
      </c>
      <c r="K820" s="3">
        <v>1000000</v>
      </c>
      <c r="O820" s="4">
        <v>0</v>
      </c>
      <c r="P820" s="3">
        <v>0</v>
      </c>
    </row>
    <row r="821" spans="1:16" ht="15" customHeight="1" x14ac:dyDescent="0.3">
      <c r="A821">
        <v>2019</v>
      </c>
      <c r="B821" s="2">
        <v>43614</v>
      </c>
      <c r="C821" t="s">
        <v>190</v>
      </c>
      <c r="D821" t="s">
        <v>750</v>
      </c>
      <c r="F821" t="s">
        <v>20</v>
      </c>
      <c r="G821" t="s">
        <v>38</v>
      </c>
      <c r="H821" t="s">
        <v>39</v>
      </c>
      <c r="I821" t="s">
        <v>23</v>
      </c>
      <c r="J821" t="s">
        <v>27</v>
      </c>
      <c r="K821" s="3">
        <v>11342.45</v>
      </c>
      <c r="O821" s="4">
        <v>0</v>
      </c>
      <c r="P821" s="3">
        <v>0</v>
      </c>
    </row>
    <row r="822" spans="1:16" ht="15" customHeight="1" x14ac:dyDescent="0.3">
      <c r="A822">
        <v>2019</v>
      </c>
      <c r="B822" s="2">
        <v>43619</v>
      </c>
      <c r="C822" t="s">
        <v>218</v>
      </c>
      <c r="D822" t="s">
        <v>155</v>
      </c>
      <c r="F822" t="s">
        <v>20</v>
      </c>
      <c r="G822" t="s">
        <v>38</v>
      </c>
      <c r="H822" t="s">
        <v>39</v>
      </c>
      <c r="I822" t="s">
        <v>23</v>
      </c>
      <c r="J822" t="s">
        <v>27</v>
      </c>
      <c r="K822" s="3">
        <v>1279.1300000000001</v>
      </c>
      <c r="O822" s="4">
        <v>0</v>
      </c>
      <c r="P822" s="3">
        <v>0</v>
      </c>
    </row>
    <row r="823" spans="1:16" ht="15" customHeight="1" x14ac:dyDescent="0.3">
      <c r="A823">
        <v>2019</v>
      </c>
      <c r="B823" s="2">
        <v>43619</v>
      </c>
      <c r="C823" t="s">
        <v>218</v>
      </c>
      <c r="D823" t="s">
        <v>763</v>
      </c>
      <c r="F823" t="s">
        <v>20</v>
      </c>
      <c r="G823" t="s">
        <v>21</v>
      </c>
      <c r="H823" t="s">
        <v>764</v>
      </c>
      <c r="I823" t="s">
        <v>23</v>
      </c>
      <c r="J823" t="s">
        <v>27</v>
      </c>
      <c r="K823" s="3">
        <v>3243.75</v>
      </c>
      <c r="O823" s="4">
        <v>0</v>
      </c>
      <c r="P823" s="3">
        <v>0</v>
      </c>
    </row>
    <row r="824" spans="1:16" ht="15" customHeight="1" x14ac:dyDescent="0.3">
      <c r="A824">
        <v>2019</v>
      </c>
      <c r="B824" s="2">
        <v>43622</v>
      </c>
      <c r="C824" t="s">
        <v>218</v>
      </c>
      <c r="D824" t="s">
        <v>768</v>
      </c>
      <c r="F824" t="s">
        <v>20</v>
      </c>
      <c r="G824" t="s">
        <v>38</v>
      </c>
      <c r="H824" t="s">
        <v>39</v>
      </c>
      <c r="I824" t="s">
        <v>136</v>
      </c>
      <c r="J824" t="s">
        <v>123</v>
      </c>
      <c r="K824" s="3">
        <v>12287.86</v>
      </c>
      <c r="O824" s="4">
        <v>0</v>
      </c>
      <c r="P824" s="3">
        <v>0</v>
      </c>
    </row>
    <row r="825" spans="1:16" ht="15" customHeight="1" x14ac:dyDescent="0.3">
      <c r="A825">
        <v>2019</v>
      </c>
      <c r="B825" s="2">
        <v>43622</v>
      </c>
      <c r="C825" t="s">
        <v>218</v>
      </c>
      <c r="D825" t="s">
        <v>69</v>
      </c>
      <c r="F825" t="s">
        <v>20</v>
      </c>
      <c r="G825" t="s">
        <v>38</v>
      </c>
      <c r="H825" t="s">
        <v>147</v>
      </c>
      <c r="I825" t="s">
        <v>23</v>
      </c>
      <c r="J825" t="s">
        <v>27</v>
      </c>
      <c r="K825" s="3">
        <v>6795.81</v>
      </c>
      <c r="O825" s="4">
        <v>0</v>
      </c>
      <c r="P825" s="3">
        <v>0</v>
      </c>
    </row>
    <row r="826" spans="1:16" ht="15" customHeight="1" x14ac:dyDescent="0.3">
      <c r="A826">
        <v>2019</v>
      </c>
      <c r="B826" s="2">
        <v>43627</v>
      </c>
      <c r="C826" t="s">
        <v>218</v>
      </c>
      <c r="D826" t="s">
        <v>155</v>
      </c>
      <c r="F826" t="s">
        <v>20</v>
      </c>
      <c r="G826" t="s">
        <v>38</v>
      </c>
      <c r="H826" t="s">
        <v>39</v>
      </c>
      <c r="I826" t="s">
        <v>49</v>
      </c>
      <c r="J826" t="s">
        <v>50</v>
      </c>
      <c r="K826" s="3">
        <v>32631.75</v>
      </c>
      <c r="O826" s="4">
        <v>0</v>
      </c>
      <c r="P826" s="3">
        <v>0</v>
      </c>
    </row>
    <row r="827" spans="1:16" ht="15" customHeight="1" x14ac:dyDescent="0.3">
      <c r="A827">
        <v>2019</v>
      </c>
      <c r="B827" s="2">
        <v>43629</v>
      </c>
      <c r="C827" t="s">
        <v>218</v>
      </c>
      <c r="D827" t="s">
        <v>283</v>
      </c>
      <c r="F827" t="s">
        <v>20</v>
      </c>
      <c r="G827" t="s">
        <v>38</v>
      </c>
      <c r="H827" t="s">
        <v>89</v>
      </c>
      <c r="I827" t="s">
        <v>141</v>
      </c>
      <c r="J827" t="s">
        <v>123</v>
      </c>
      <c r="K827" s="3">
        <v>683236.29</v>
      </c>
      <c r="O827" s="4">
        <v>0</v>
      </c>
      <c r="P827" s="3">
        <v>0</v>
      </c>
    </row>
    <row r="828" spans="1:16" ht="15" customHeight="1" x14ac:dyDescent="0.3">
      <c r="A828">
        <v>2019</v>
      </c>
      <c r="B828" s="2">
        <v>43635</v>
      </c>
      <c r="C828" t="s">
        <v>218</v>
      </c>
      <c r="D828" t="s">
        <v>155</v>
      </c>
      <c r="F828" t="s">
        <v>20</v>
      </c>
      <c r="G828" t="s">
        <v>38</v>
      </c>
      <c r="H828" t="s">
        <v>39</v>
      </c>
      <c r="I828" t="s">
        <v>23</v>
      </c>
      <c r="J828" t="s">
        <v>27</v>
      </c>
      <c r="K828" s="3">
        <v>7810</v>
      </c>
      <c r="O828" s="4">
        <v>0</v>
      </c>
      <c r="P828" s="3">
        <v>0</v>
      </c>
    </row>
    <row r="829" spans="1:16" ht="15" customHeight="1" x14ac:dyDescent="0.3">
      <c r="A829">
        <v>2019</v>
      </c>
      <c r="B829" s="2">
        <v>43637</v>
      </c>
      <c r="C829" t="s">
        <v>218</v>
      </c>
      <c r="D829" t="s">
        <v>40</v>
      </c>
      <c r="F829" t="s">
        <v>20</v>
      </c>
      <c r="G829" t="s">
        <v>21</v>
      </c>
      <c r="H829" t="s">
        <v>22</v>
      </c>
      <c r="I829" t="s">
        <v>136</v>
      </c>
      <c r="J829" t="s">
        <v>123</v>
      </c>
      <c r="K829" s="3">
        <v>205357</v>
      </c>
      <c r="O829" s="4">
        <v>0</v>
      </c>
      <c r="P829" s="3">
        <v>0</v>
      </c>
    </row>
    <row r="830" spans="1:16" ht="15" customHeight="1" x14ac:dyDescent="0.3">
      <c r="A830">
        <v>2019</v>
      </c>
      <c r="B830" s="2">
        <v>43637</v>
      </c>
      <c r="C830" t="s">
        <v>218</v>
      </c>
      <c r="D830" t="s">
        <v>40</v>
      </c>
      <c r="F830" t="s">
        <v>20</v>
      </c>
      <c r="G830" t="s">
        <v>21</v>
      </c>
      <c r="H830" t="s">
        <v>22</v>
      </c>
      <c r="I830" t="s">
        <v>136</v>
      </c>
      <c r="J830" t="s">
        <v>123</v>
      </c>
      <c r="K830" s="3">
        <v>311928.38</v>
      </c>
      <c r="O830" s="4">
        <v>0</v>
      </c>
      <c r="P830" s="3">
        <v>0</v>
      </c>
    </row>
    <row r="831" spans="1:16" ht="15" customHeight="1" x14ac:dyDescent="0.3">
      <c r="A831">
        <v>2019</v>
      </c>
      <c r="B831" s="2">
        <v>43637</v>
      </c>
      <c r="C831" t="s">
        <v>218</v>
      </c>
      <c r="D831" t="s">
        <v>40</v>
      </c>
      <c r="F831" t="s">
        <v>20</v>
      </c>
      <c r="G831" t="s">
        <v>21</v>
      </c>
      <c r="H831" t="s">
        <v>22</v>
      </c>
      <c r="I831" t="s">
        <v>136</v>
      </c>
      <c r="J831" t="s">
        <v>123</v>
      </c>
      <c r="K831" s="3">
        <v>237458.02</v>
      </c>
      <c r="O831" s="4">
        <v>0</v>
      </c>
      <c r="P831" s="3">
        <v>0</v>
      </c>
    </row>
    <row r="832" spans="1:16" ht="15" customHeight="1" x14ac:dyDescent="0.3">
      <c r="A832">
        <v>2019</v>
      </c>
      <c r="B832" s="2">
        <v>43637</v>
      </c>
      <c r="C832" t="s">
        <v>218</v>
      </c>
      <c r="D832" t="s">
        <v>40</v>
      </c>
      <c r="F832" t="s">
        <v>20</v>
      </c>
      <c r="G832" t="s">
        <v>21</v>
      </c>
      <c r="H832" t="s">
        <v>22</v>
      </c>
      <c r="I832" t="s">
        <v>136</v>
      </c>
      <c r="J832" t="s">
        <v>123</v>
      </c>
      <c r="K832" s="3">
        <v>99032.4</v>
      </c>
      <c r="O832" s="4">
        <v>0</v>
      </c>
      <c r="P832" s="3">
        <v>0</v>
      </c>
    </row>
    <row r="833" spans="1:16" ht="15" customHeight="1" x14ac:dyDescent="0.3">
      <c r="A833">
        <v>2019</v>
      </c>
      <c r="B833" s="2">
        <v>43640</v>
      </c>
      <c r="C833" t="s">
        <v>218</v>
      </c>
      <c r="D833" t="s">
        <v>767</v>
      </c>
      <c r="F833" t="s">
        <v>20</v>
      </c>
      <c r="G833" t="s">
        <v>38</v>
      </c>
      <c r="H833" t="s">
        <v>619</v>
      </c>
      <c r="I833" t="s">
        <v>23</v>
      </c>
      <c r="J833" t="s">
        <v>27</v>
      </c>
      <c r="K833" s="3">
        <v>4153.26</v>
      </c>
      <c r="O833" s="4">
        <v>0</v>
      </c>
      <c r="P833" s="3">
        <v>0</v>
      </c>
    </row>
    <row r="834" spans="1:16" ht="15" customHeight="1" x14ac:dyDescent="0.3">
      <c r="A834">
        <v>2019</v>
      </c>
      <c r="B834" s="2">
        <v>43643</v>
      </c>
      <c r="C834" t="s">
        <v>218</v>
      </c>
      <c r="D834" t="s">
        <v>749</v>
      </c>
      <c r="F834" t="s">
        <v>20</v>
      </c>
      <c r="G834" t="s">
        <v>38</v>
      </c>
      <c r="H834" t="s">
        <v>39</v>
      </c>
      <c r="I834" t="s">
        <v>141</v>
      </c>
      <c r="J834" t="s">
        <v>50</v>
      </c>
      <c r="K834" s="3">
        <v>1017520.04</v>
      </c>
      <c r="O834" s="4">
        <v>0</v>
      </c>
      <c r="P834" s="3">
        <v>0</v>
      </c>
    </row>
    <row r="835" spans="1:16" ht="15" customHeight="1" x14ac:dyDescent="0.3">
      <c r="A835">
        <v>2019</v>
      </c>
      <c r="B835" s="2">
        <v>43647</v>
      </c>
      <c r="C835" t="s">
        <v>262</v>
      </c>
      <c r="D835" t="s">
        <v>364</v>
      </c>
      <c r="F835" t="s">
        <v>20</v>
      </c>
      <c r="G835" t="s">
        <v>21</v>
      </c>
      <c r="H835" t="s">
        <v>101</v>
      </c>
      <c r="I835" t="s">
        <v>141</v>
      </c>
      <c r="J835" t="s">
        <v>50</v>
      </c>
      <c r="K835" s="3">
        <v>145003.71</v>
      </c>
      <c r="O835" s="4">
        <v>0</v>
      </c>
      <c r="P835" s="3">
        <v>0</v>
      </c>
    </row>
    <row r="836" spans="1:16" ht="15" customHeight="1" x14ac:dyDescent="0.3">
      <c r="A836">
        <v>2019</v>
      </c>
      <c r="B836" s="2">
        <v>43661</v>
      </c>
      <c r="C836" t="s">
        <v>262</v>
      </c>
      <c r="D836" t="s">
        <v>768</v>
      </c>
      <c r="F836" t="s">
        <v>20</v>
      </c>
      <c r="G836" t="s">
        <v>38</v>
      </c>
      <c r="H836" t="s">
        <v>39</v>
      </c>
      <c r="I836" t="s">
        <v>141</v>
      </c>
      <c r="J836" t="s">
        <v>123</v>
      </c>
      <c r="K836" s="3">
        <v>100000</v>
      </c>
      <c r="O836" s="4">
        <v>0</v>
      </c>
      <c r="P836" s="3">
        <v>0</v>
      </c>
    </row>
    <row r="837" spans="1:16" ht="15" customHeight="1" x14ac:dyDescent="0.3">
      <c r="A837">
        <v>2019</v>
      </c>
      <c r="B837" s="2">
        <v>43662</v>
      </c>
      <c r="C837" t="s">
        <v>262</v>
      </c>
      <c r="D837" t="s">
        <v>761</v>
      </c>
      <c r="F837" t="s">
        <v>20</v>
      </c>
      <c r="G837" t="s">
        <v>21</v>
      </c>
      <c r="H837" t="s">
        <v>22</v>
      </c>
      <c r="I837" t="s">
        <v>23</v>
      </c>
      <c r="J837" t="s">
        <v>766</v>
      </c>
      <c r="K837" s="3">
        <v>719.66</v>
      </c>
      <c r="O837" s="4">
        <v>0</v>
      </c>
      <c r="P837" s="3">
        <v>0</v>
      </c>
    </row>
    <row r="838" spans="1:16" ht="15" customHeight="1" x14ac:dyDescent="0.3">
      <c r="A838">
        <v>2019</v>
      </c>
      <c r="B838" s="2">
        <v>43663</v>
      </c>
      <c r="C838" t="s">
        <v>262</v>
      </c>
      <c r="D838" t="s">
        <v>763</v>
      </c>
      <c r="F838" t="s">
        <v>20</v>
      </c>
      <c r="G838" t="s">
        <v>21</v>
      </c>
      <c r="H838" t="s">
        <v>764</v>
      </c>
      <c r="I838" t="s">
        <v>23</v>
      </c>
      <c r="J838" t="s">
        <v>766</v>
      </c>
      <c r="K838" s="3">
        <v>717.66</v>
      </c>
      <c r="O838" s="4">
        <v>0</v>
      </c>
      <c r="P838" s="3">
        <v>0</v>
      </c>
    </row>
    <row r="839" spans="1:16" ht="15" customHeight="1" x14ac:dyDescent="0.3">
      <c r="A839">
        <v>2019</v>
      </c>
      <c r="B839" s="2">
        <v>43664</v>
      </c>
      <c r="C839" t="s">
        <v>262</v>
      </c>
      <c r="D839" t="s">
        <v>534</v>
      </c>
      <c r="F839" t="s">
        <v>20</v>
      </c>
      <c r="G839" t="s">
        <v>21</v>
      </c>
      <c r="H839" t="s">
        <v>22</v>
      </c>
      <c r="I839" t="s">
        <v>23</v>
      </c>
      <c r="J839" t="s">
        <v>766</v>
      </c>
      <c r="K839" s="3">
        <v>3238.24</v>
      </c>
      <c r="O839" s="4">
        <v>0</v>
      </c>
      <c r="P839" s="3">
        <v>0</v>
      </c>
    </row>
    <row r="840" spans="1:16" ht="15" customHeight="1" x14ac:dyDescent="0.3">
      <c r="A840">
        <v>2019</v>
      </c>
      <c r="B840" s="2">
        <v>43670</v>
      </c>
      <c r="C840" t="s">
        <v>262</v>
      </c>
      <c r="D840" t="s">
        <v>485</v>
      </c>
      <c r="F840" t="s">
        <v>20</v>
      </c>
      <c r="G840" t="s">
        <v>38</v>
      </c>
      <c r="H840" t="s">
        <v>39</v>
      </c>
      <c r="I840" t="s">
        <v>23</v>
      </c>
      <c r="J840" t="s">
        <v>766</v>
      </c>
      <c r="K840" s="3">
        <v>1671.43</v>
      </c>
      <c r="O840" s="4">
        <v>0</v>
      </c>
      <c r="P840" s="3">
        <v>0</v>
      </c>
    </row>
    <row r="841" spans="1:16" ht="15" customHeight="1" x14ac:dyDescent="0.3">
      <c r="A841">
        <v>2019</v>
      </c>
      <c r="B841" s="2">
        <v>43671</v>
      </c>
      <c r="C841" t="s">
        <v>262</v>
      </c>
      <c r="D841" t="s">
        <v>364</v>
      </c>
      <c r="F841" t="s">
        <v>20</v>
      </c>
      <c r="G841" t="s">
        <v>21</v>
      </c>
      <c r="H841" t="s">
        <v>101</v>
      </c>
      <c r="I841" t="s">
        <v>141</v>
      </c>
      <c r="J841" t="s">
        <v>50</v>
      </c>
      <c r="K841" s="3">
        <v>398790.24</v>
      </c>
      <c r="O841" s="4">
        <v>0</v>
      </c>
      <c r="P841" s="3">
        <v>0</v>
      </c>
    </row>
    <row r="842" spans="1:16" ht="15" customHeight="1" x14ac:dyDescent="0.3">
      <c r="A842">
        <v>2019</v>
      </c>
      <c r="B842" s="2">
        <v>43671</v>
      </c>
      <c r="C842" t="s">
        <v>262</v>
      </c>
      <c r="D842" t="s">
        <v>364</v>
      </c>
      <c r="F842" t="s">
        <v>20</v>
      </c>
      <c r="G842" t="s">
        <v>21</v>
      </c>
      <c r="H842" t="s">
        <v>101</v>
      </c>
      <c r="I842" t="s">
        <v>141</v>
      </c>
      <c r="J842" t="s">
        <v>50</v>
      </c>
      <c r="K842" s="3">
        <v>30100</v>
      </c>
      <c r="O842" s="4">
        <v>0</v>
      </c>
      <c r="P842" s="3">
        <v>0</v>
      </c>
    </row>
    <row r="843" spans="1:16" ht="15" customHeight="1" x14ac:dyDescent="0.3">
      <c r="A843">
        <v>2019</v>
      </c>
      <c r="B843" s="2">
        <v>43671</v>
      </c>
      <c r="C843" t="s">
        <v>262</v>
      </c>
      <c r="D843" t="s">
        <v>364</v>
      </c>
      <c r="F843" t="s">
        <v>20</v>
      </c>
      <c r="G843" t="s">
        <v>21</v>
      </c>
      <c r="H843" t="s">
        <v>101</v>
      </c>
      <c r="I843" t="s">
        <v>23</v>
      </c>
      <c r="J843" t="s">
        <v>50</v>
      </c>
      <c r="K843" s="3">
        <v>7796.6</v>
      </c>
      <c r="O843" s="4">
        <v>0</v>
      </c>
      <c r="P843" s="3">
        <v>0</v>
      </c>
    </row>
    <row r="844" spans="1:16" ht="15" customHeight="1" x14ac:dyDescent="0.3">
      <c r="A844">
        <v>2019</v>
      </c>
      <c r="B844" s="2">
        <v>43671</v>
      </c>
      <c r="C844" t="s">
        <v>262</v>
      </c>
      <c r="D844" t="s">
        <v>769</v>
      </c>
      <c r="F844" t="s">
        <v>20</v>
      </c>
      <c r="G844" t="s">
        <v>21</v>
      </c>
      <c r="H844" t="s">
        <v>101</v>
      </c>
      <c r="I844" t="s">
        <v>136</v>
      </c>
      <c r="J844" t="s">
        <v>123</v>
      </c>
      <c r="K844" s="3">
        <v>211190.78</v>
      </c>
      <c r="O844" s="4">
        <v>0</v>
      </c>
      <c r="P844" s="3">
        <v>0</v>
      </c>
    </row>
    <row r="845" spans="1:16" ht="15" customHeight="1" x14ac:dyDescent="0.3">
      <c r="A845">
        <v>2019</v>
      </c>
      <c r="B845" s="2">
        <v>43676</v>
      </c>
      <c r="C845" t="s">
        <v>262</v>
      </c>
      <c r="D845" t="s">
        <v>761</v>
      </c>
      <c r="F845" t="s">
        <v>20</v>
      </c>
      <c r="G845" t="s">
        <v>21</v>
      </c>
      <c r="H845" t="s">
        <v>22</v>
      </c>
      <c r="I845" t="s">
        <v>23</v>
      </c>
      <c r="J845" t="s">
        <v>766</v>
      </c>
      <c r="K845" s="3">
        <v>1677.48</v>
      </c>
      <c r="O845" s="4">
        <v>0</v>
      </c>
      <c r="P845" s="3">
        <v>0</v>
      </c>
    </row>
    <row r="846" spans="1:16" ht="15" customHeight="1" x14ac:dyDescent="0.3">
      <c r="A846">
        <v>2019</v>
      </c>
      <c r="B846" s="2">
        <v>43682</v>
      </c>
      <c r="C846" t="s">
        <v>291</v>
      </c>
      <c r="D846" t="s">
        <v>675</v>
      </c>
      <c r="F846" t="s">
        <v>20</v>
      </c>
      <c r="G846" t="s">
        <v>38</v>
      </c>
      <c r="H846" t="s">
        <v>147</v>
      </c>
      <c r="I846" t="s">
        <v>306</v>
      </c>
      <c r="J846" t="s">
        <v>50</v>
      </c>
      <c r="K846" s="3">
        <v>14298.5</v>
      </c>
      <c r="O846" s="4">
        <v>0</v>
      </c>
      <c r="P846" s="3">
        <v>0</v>
      </c>
    </row>
    <row r="847" spans="1:16" ht="15" customHeight="1" x14ac:dyDescent="0.3">
      <c r="A847">
        <v>2019</v>
      </c>
      <c r="B847" s="2">
        <v>43690</v>
      </c>
      <c r="C847" t="s">
        <v>291</v>
      </c>
      <c r="D847" t="s">
        <v>61</v>
      </c>
      <c r="F847" t="s">
        <v>20</v>
      </c>
      <c r="G847" t="s">
        <v>21</v>
      </c>
      <c r="H847" t="s">
        <v>22</v>
      </c>
      <c r="I847" t="s">
        <v>23</v>
      </c>
      <c r="J847" t="s">
        <v>27</v>
      </c>
      <c r="K847" s="3">
        <v>53253.91</v>
      </c>
      <c r="O847" s="4">
        <v>0</v>
      </c>
      <c r="P847" s="3">
        <v>0</v>
      </c>
    </row>
    <row r="848" spans="1:16" ht="15" customHeight="1" x14ac:dyDescent="0.3">
      <c r="A848">
        <v>2019</v>
      </c>
      <c r="B848" s="2">
        <v>43690</v>
      </c>
      <c r="C848" t="s">
        <v>291</v>
      </c>
      <c r="D848" t="s">
        <v>61</v>
      </c>
      <c r="F848" t="s">
        <v>20</v>
      </c>
      <c r="G848" t="s">
        <v>21</v>
      </c>
      <c r="H848" t="s">
        <v>22</v>
      </c>
      <c r="I848" t="s">
        <v>23</v>
      </c>
      <c r="J848" t="s">
        <v>27</v>
      </c>
      <c r="K848" s="3">
        <v>48762.81</v>
      </c>
      <c r="O848" s="4">
        <v>0</v>
      </c>
      <c r="P848" s="3">
        <v>0</v>
      </c>
    </row>
    <row r="849" spans="1:16" ht="15" customHeight="1" x14ac:dyDescent="0.3">
      <c r="A849">
        <v>2019</v>
      </c>
      <c r="B849" s="2">
        <v>43690</v>
      </c>
      <c r="C849" t="s">
        <v>291</v>
      </c>
      <c r="D849" t="s">
        <v>61</v>
      </c>
      <c r="F849" t="s">
        <v>20</v>
      </c>
      <c r="G849" t="s">
        <v>21</v>
      </c>
      <c r="H849" t="s">
        <v>22</v>
      </c>
      <c r="I849" t="s">
        <v>23</v>
      </c>
      <c r="J849" t="s">
        <v>27</v>
      </c>
      <c r="K849" s="3">
        <v>31303.14</v>
      </c>
      <c r="O849" s="4">
        <v>0</v>
      </c>
      <c r="P849" s="3">
        <v>0</v>
      </c>
    </row>
    <row r="850" spans="1:16" ht="15" customHeight="1" x14ac:dyDescent="0.3">
      <c r="A850">
        <v>2019</v>
      </c>
      <c r="B850" s="2">
        <v>43690</v>
      </c>
      <c r="C850" t="s">
        <v>291</v>
      </c>
      <c r="D850" t="s">
        <v>61</v>
      </c>
      <c r="F850" t="s">
        <v>20</v>
      </c>
      <c r="G850" t="s">
        <v>21</v>
      </c>
      <c r="H850" t="s">
        <v>22</v>
      </c>
      <c r="I850" t="s">
        <v>23</v>
      </c>
      <c r="J850" t="s">
        <v>27</v>
      </c>
      <c r="K850" s="3">
        <v>29780.02</v>
      </c>
      <c r="O850" s="4">
        <v>0</v>
      </c>
      <c r="P850" s="3">
        <v>0</v>
      </c>
    </row>
    <row r="851" spans="1:16" ht="15" customHeight="1" x14ac:dyDescent="0.3">
      <c r="A851">
        <v>2019</v>
      </c>
      <c r="B851" s="2">
        <v>43690</v>
      </c>
      <c r="C851" t="s">
        <v>291</v>
      </c>
      <c r="D851" t="s">
        <v>83</v>
      </c>
      <c r="F851" t="s">
        <v>20</v>
      </c>
      <c r="G851" t="s">
        <v>21</v>
      </c>
      <c r="H851" t="s">
        <v>22</v>
      </c>
      <c r="I851" t="s">
        <v>23</v>
      </c>
      <c r="J851" t="s">
        <v>27</v>
      </c>
      <c r="K851" s="3">
        <v>6157.14</v>
      </c>
      <c r="O851" s="4">
        <v>0</v>
      </c>
      <c r="P851" s="3">
        <v>0</v>
      </c>
    </row>
    <row r="852" spans="1:16" ht="15" customHeight="1" x14ac:dyDescent="0.3">
      <c r="A852">
        <v>2019</v>
      </c>
      <c r="B852" s="2">
        <v>43691</v>
      </c>
      <c r="C852" t="s">
        <v>291</v>
      </c>
      <c r="D852" t="s">
        <v>768</v>
      </c>
      <c r="F852" t="s">
        <v>20</v>
      </c>
      <c r="G852" t="s">
        <v>38</v>
      </c>
      <c r="H852" t="s">
        <v>39</v>
      </c>
      <c r="I852" t="s">
        <v>23</v>
      </c>
      <c r="J852" t="s">
        <v>27</v>
      </c>
      <c r="K852" s="3">
        <v>12287.86</v>
      </c>
      <c r="O852" s="4">
        <v>0</v>
      </c>
      <c r="P852" s="3">
        <v>0</v>
      </c>
    </row>
    <row r="853" spans="1:16" ht="15" customHeight="1" x14ac:dyDescent="0.3">
      <c r="A853">
        <v>2019</v>
      </c>
      <c r="B853" s="2">
        <v>43691</v>
      </c>
      <c r="C853" t="s">
        <v>291</v>
      </c>
      <c r="D853" t="s">
        <v>675</v>
      </c>
      <c r="F853" t="s">
        <v>20</v>
      </c>
      <c r="G853" t="s">
        <v>38</v>
      </c>
      <c r="H853" t="s">
        <v>147</v>
      </c>
      <c r="I853" t="s">
        <v>306</v>
      </c>
      <c r="J853" t="s">
        <v>50</v>
      </c>
      <c r="K853" s="3">
        <v>30617.06</v>
      </c>
      <c r="O853" s="4">
        <v>0</v>
      </c>
      <c r="P853" s="3">
        <v>0</v>
      </c>
    </row>
    <row r="854" spans="1:16" ht="15" customHeight="1" x14ac:dyDescent="0.3">
      <c r="A854">
        <v>2019</v>
      </c>
      <c r="B854" s="2">
        <v>43697</v>
      </c>
      <c r="C854" t="s">
        <v>291</v>
      </c>
      <c r="D854" t="s">
        <v>763</v>
      </c>
      <c r="F854" t="s">
        <v>20</v>
      </c>
      <c r="G854" t="s">
        <v>21</v>
      </c>
      <c r="H854" t="s">
        <v>764</v>
      </c>
      <c r="I854" t="s">
        <v>23</v>
      </c>
      <c r="J854" t="s">
        <v>766</v>
      </c>
      <c r="K854" s="3">
        <v>7903.69</v>
      </c>
      <c r="O854" s="4">
        <v>0</v>
      </c>
      <c r="P854" s="3">
        <v>0</v>
      </c>
    </row>
    <row r="855" spans="1:16" ht="15" customHeight="1" x14ac:dyDescent="0.3">
      <c r="A855">
        <v>2019</v>
      </c>
      <c r="B855" s="2">
        <v>43705</v>
      </c>
      <c r="C855" t="s">
        <v>291</v>
      </c>
      <c r="D855" t="s">
        <v>675</v>
      </c>
      <c r="F855" t="s">
        <v>20</v>
      </c>
      <c r="G855" t="s">
        <v>38</v>
      </c>
      <c r="H855" t="s">
        <v>147</v>
      </c>
      <c r="I855" t="s">
        <v>306</v>
      </c>
      <c r="J855" t="s">
        <v>50</v>
      </c>
      <c r="K855" s="3">
        <v>8180</v>
      </c>
      <c r="O855" s="4">
        <v>0</v>
      </c>
      <c r="P855" s="3">
        <v>0</v>
      </c>
    </row>
    <row r="856" spans="1:16" ht="15" customHeight="1" x14ac:dyDescent="0.3">
      <c r="A856">
        <v>2019</v>
      </c>
      <c r="B856" s="2">
        <v>43706</v>
      </c>
      <c r="C856" t="s">
        <v>291</v>
      </c>
      <c r="D856" t="s">
        <v>83</v>
      </c>
      <c r="F856" t="s">
        <v>20</v>
      </c>
      <c r="G856" t="s">
        <v>21</v>
      </c>
      <c r="H856" t="s">
        <v>22</v>
      </c>
      <c r="I856" t="s">
        <v>23</v>
      </c>
      <c r="J856" t="s">
        <v>27</v>
      </c>
      <c r="K856" s="3">
        <v>64803.02</v>
      </c>
      <c r="O856" s="4">
        <v>0</v>
      </c>
      <c r="P856" s="3">
        <v>0</v>
      </c>
    </row>
    <row r="857" spans="1:16" ht="15" customHeight="1" x14ac:dyDescent="0.3">
      <c r="A857">
        <v>2019</v>
      </c>
      <c r="B857" s="2">
        <v>43712</v>
      </c>
      <c r="C857" t="s">
        <v>325</v>
      </c>
      <c r="D857" t="s">
        <v>69</v>
      </c>
      <c r="F857" t="s">
        <v>20</v>
      </c>
      <c r="G857" t="s">
        <v>38</v>
      </c>
      <c r="H857" t="s">
        <v>147</v>
      </c>
      <c r="I857" t="s">
        <v>23</v>
      </c>
      <c r="J857" t="s">
        <v>27</v>
      </c>
      <c r="K857" s="3">
        <v>10000</v>
      </c>
      <c r="O857" s="4">
        <v>0</v>
      </c>
      <c r="P857" s="3">
        <v>0</v>
      </c>
    </row>
    <row r="858" spans="1:16" ht="15" customHeight="1" x14ac:dyDescent="0.3">
      <c r="A858">
        <v>2019</v>
      </c>
      <c r="B858" s="2">
        <v>43720</v>
      </c>
      <c r="C858" t="s">
        <v>325</v>
      </c>
      <c r="D858" t="s">
        <v>756</v>
      </c>
      <c r="F858" t="s">
        <v>20</v>
      </c>
      <c r="G858" t="s">
        <v>38</v>
      </c>
      <c r="H858" t="s">
        <v>89</v>
      </c>
      <c r="I858" t="s">
        <v>23</v>
      </c>
      <c r="J858" t="s">
        <v>766</v>
      </c>
      <c r="K858" s="3">
        <v>19380</v>
      </c>
      <c r="O858" s="4">
        <v>0</v>
      </c>
      <c r="P858" s="3">
        <v>0</v>
      </c>
    </row>
    <row r="859" spans="1:16" ht="15" customHeight="1" x14ac:dyDescent="0.3">
      <c r="A859">
        <v>2019</v>
      </c>
      <c r="B859" s="2">
        <v>43721</v>
      </c>
      <c r="C859" t="s">
        <v>325</v>
      </c>
      <c r="D859" t="s">
        <v>751</v>
      </c>
      <c r="F859" t="s">
        <v>20</v>
      </c>
      <c r="G859" t="s">
        <v>21</v>
      </c>
      <c r="H859" t="s">
        <v>22</v>
      </c>
      <c r="I859" t="s">
        <v>538</v>
      </c>
      <c r="J859" t="s">
        <v>123</v>
      </c>
      <c r="K859" s="3">
        <v>47996.445454545501</v>
      </c>
      <c r="O859" s="4">
        <v>0</v>
      </c>
      <c r="P859" s="3">
        <v>0</v>
      </c>
    </row>
    <row r="860" spans="1:16" ht="15" customHeight="1" x14ac:dyDescent="0.3">
      <c r="A860">
        <v>2019</v>
      </c>
      <c r="B860" s="2">
        <v>43721</v>
      </c>
      <c r="C860" t="s">
        <v>325</v>
      </c>
      <c r="D860" t="s">
        <v>69</v>
      </c>
      <c r="F860" t="s">
        <v>20</v>
      </c>
      <c r="G860" t="s">
        <v>38</v>
      </c>
      <c r="H860" t="s">
        <v>147</v>
      </c>
      <c r="I860" t="s">
        <v>23</v>
      </c>
      <c r="J860" t="s">
        <v>766</v>
      </c>
      <c r="K860" s="3">
        <v>6436.2</v>
      </c>
      <c r="O860" s="4">
        <v>0</v>
      </c>
      <c r="P860" s="3">
        <v>0</v>
      </c>
    </row>
    <row r="861" spans="1:16" ht="15" customHeight="1" x14ac:dyDescent="0.3">
      <c r="A861">
        <v>2019</v>
      </c>
      <c r="B861" s="2">
        <v>43725</v>
      </c>
      <c r="C861" t="s">
        <v>325</v>
      </c>
      <c r="D861" t="s">
        <v>520</v>
      </c>
      <c r="E861" t="s">
        <v>542</v>
      </c>
      <c r="F861" t="s">
        <v>20</v>
      </c>
      <c r="G861" t="s">
        <v>107</v>
      </c>
      <c r="H861" t="s">
        <v>522</v>
      </c>
      <c r="I861" t="s">
        <v>49</v>
      </c>
      <c r="J861" t="s">
        <v>123</v>
      </c>
      <c r="K861" s="3">
        <v>133979.57</v>
      </c>
      <c r="O861" s="4">
        <v>0</v>
      </c>
      <c r="P861" s="3">
        <v>0</v>
      </c>
    </row>
    <row r="862" spans="1:16" ht="15" customHeight="1" x14ac:dyDescent="0.3">
      <c r="A862">
        <v>2019</v>
      </c>
      <c r="B862" s="2">
        <v>43732</v>
      </c>
      <c r="C862" t="s">
        <v>325</v>
      </c>
      <c r="D862" t="s">
        <v>155</v>
      </c>
      <c r="F862" t="s">
        <v>20</v>
      </c>
      <c r="G862" t="s">
        <v>38</v>
      </c>
      <c r="H862" t="s">
        <v>39</v>
      </c>
      <c r="I862" t="s">
        <v>23</v>
      </c>
      <c r="J862" t="s">
        <v>766</v>
      </c>
      <c r="K862" s="3">
        <v>9800</v>
      </c>
      <c r="O862" s="4">
        <v>0</v>
      </c>
      <c r="P862" s="3">
        <v>0</v>
      </c>
    </row>
    <row r="863" spans="1:16" ht="15" customHeight="1" x14ac:dyDescent="0.3">
      <c r="A863">
        <v>2019</v>
      </c>
      <c r="B863" s="2">
        <v>43733</v>
      </c>
      <c r="C863" t="s">
        <v>325</v>
      </c>
      <c r="D863" t="s">
        <v>770</v>
      </c>
      <c r="F863" t="s">
        <v>20</v>
      </c>
      <c r="G863" t="s">
        <v>21</v>
      </c>
      <c r="H863" t="s">
        <v>22</v>
      </c>
      <c r="I863" t="s">
        <v>23</v>
      </c>
      <c r="J863" t="s">
        <v>27</v>
      </c>
      <c r="K863" s="3">
        <v>1338.85</v>
      </c>
      <c r="O863" s="4">
        <v>0</v>
      </c>
      <c r="P863" s="3">
        <v>0</v>
      </c>
    </row>
    <row r="864" spans="1:16" ht="15" customHeight="1" x14ac:dyDescent="0.3">
      <c r="A864">
        <v>2019</v>
      </c>
      <c r="B864" s="2">
        <v>43733</v>
      </c>
      <c r="C864" t="s">
        <v>325</v>
      </c>
      <c r="D864" t="s">
        <v>747</v>
      </c>
      <c r="F864" t="s">
        <v>20</v>
      </c>
      <c r="G864" t="s">
        <v>38</v>
      </c>
      <c r="H864" t="s">
        <v>39</v>
      </c>
      <c r="I864" t="s">
        <v>23</v>
      </c>
      <c r="J864" t="s">
        <v>27</v>
      </c>
      <c r="K864" s="3">
        <v>3268</v>
      </c>
      <c r="O864" s="4">
        <v>0</v>
      </c>
      <c r="P864" s="3">
        <v>0</v>
      </c>
    </row>
    <row r="865" spans="1:16" ht="15" customHeight="1" x14ac:dyDescent="0.3">
      <c r="A865">
        <v>2019</v>
      </c>
      <c r="B865" s="2">
        <v>43739</v>
      </c>
      <c r="C865" t="s">
        <v>357</v>
      </c>
      <c r="D865" t="s">
        <v>485</v>
      </c>
      <c r="F865" t="s">
        <v>20</v>
      </c>
      <c r="G865" t="s">
        <v>38</v>
      </c>
      <c r="H865" t="s">
        <v>39</v>
      </c>
      <c r="I865" t="s">
        <v>23</v>
      </c>
      <c r="J865" t="s">
        <v>766</v>
      </c>
      <c r="K865" s="3">
        <v>5470</v>
      </c>
      <c r="O865" s="4">
        <v>0</v>
      </c>
      <c r="P865" s="3">
        <v>0</v>
      </c>
    </row>
    <row r="866" spans="1:16" ht="15" customHeight="1" x14ac:dyDescent="0.3">
      <c r="A866">
        <v>2019</v>
      </c>
      <c r="B866" s="2">
        <v>43745</v>
      </c>
      <c r="C866" t="s">
        <v>357</v>
      </c>
      <c r="D866" t="s">
        <v>749</v>
      </c>
      <c r="F866" t="s">
        <v>20</v>
      </c>
      <c r="G866" t="s">
        <v>38</v>
      </c>
      <c r="H866" t="s">
        <v>39</v>
      </c>
      <c r="I866" t="s">
        <v>141</v>
      </c>
      <c r="J866" t="s">
        <v>766</v>
      </c>
      <c r="K866" s="3">
        <v>3227.67</v>
      </c>
      <c r="O866" s="4">
        <v>0</v>
      </c>
      <c r="P866" s="3">
        <v>0</v>
      </c>
    </row>
    <row r="867" spans="1:16" ht="15" customHeight="1" x14ac:dyDescent="0.3">
      <c r="A867">
        <v>2019</v>
      </c>
      <c r="B867" s="2">
        <v>43747</v>
      </c>
      <c r="C867" t="s">
        <v>357</v>
      </c>
      <c r="D867" t="s">
        <v>301</v>
      </c>
      <c r="F867" t="s">
        <v>20</v>
      </c>
      <c r="G867" t="s">
        <v>38</v>
      </c>
      <c r="H867" t="s">
        <v>147</v>
      </c>
      <c r="I867" t="s">
        <v>23</v>
      </c>
      <c r="J867" t="s">
        <v>766</v>
      </c>
      <c r="K867" s="3">
        <v>4900</v>
      </c>
      <c r="O867" s="4">
        <v>0</v>
      </c>
      <c r="P867" s="3">
        <v>0</v>
      </c>
    </row>
    <row r="868" spans="1:16" ht="15" customHeight="1" x14ac:dyDescent="0.3">
      <c r="A868">
        <v>2019</v>
      </c>
      <c r="B868" s="2">
        <v>43747</v>
      </c>
      <c r="C868" t="s">
        <v>357</v>
      </c>
      <c r="D868" t="s">
        <v>675</v>
      </c>
      <c r="F868" t="s">
        <v>20</v>
      </c>
      <c r="G868" t="s">
        <v>38</v>
      </c>
      <c r="H868" t="s">
        <v>147</v>
      </c>
      <c r="I868" t="s">
        <v>306</v>
      </c>
      <c r="J868" t="s">
        <v>766</v>
      </c>
      <c r="K868" s="3">
        <v>1280</v>
      </c>
      <c r="O868" s="4">
        <v>0</v>
      </c>
      <c r="P868" s="3">
        <v>0</v>
      </c>
    </row>
    <row r="869" spans="1:16" ht="15" customHeight="1" x14ac:dyDescent="0.3">
      <c r="A869">
        <v>2019</v>
      </c>
      <c r="B869" s="2">
        <v>43747</v>
      </c>
      <c r="C869" t="s">
        <v>357</v>
      </c>
      <c r="D869" t="s">
        <v>364</v>
      </c>
      <c r="F869" t="s">
        <v>20</v>
      </c>
      <c r="G869" t="s">
        <v>21</v>
      </c>
      <c r="H869" t="s">
        <v>101</v>
      </c>
      <c r="I869" t="s">
        <v>23</v>
      </c>
      <c r="J869" t="s">
        <v>766</v>
      </c>
      <c r="K869" s="3">
        <v>4507.6899999999996</v>
      </c>
      <c r="O869" s="4">
        <v>0</v>
      </c>
      <c r="P869" s="3">
        <v>0</v>
      </c>
    </row>
    <row r="870" spans="1:16" ht="15" customHeight="1" x14ac:dyDescent="0.3">
      <c r="A870">
        <v>2019</v>
      </c>
      <c r="B870" s="2">
        <v>43747</v>
      </c>
      <c r="C870" t="s">
        <v>357</v>
      </c>
      <c r="D870" t="s">
        <v>364</v>
      </c>
      <c r="F870" t="s">
        <v>20</v>
      </c>
      <c r="G870" t="s">
        <v>21</v>
      </c>
      <c r="H870" t="s">
        <v>101</v>
      </c>
      <c r="I870" t="s">
        <v>23</v>
      </c>
      <c r="J870" t="s">
        <v>766</v>
      </c>
      <c r="K870" s="3">
        <v>181</v>
      </c>
      <c r="O870" s="4">
        <v>0</v>
      </c>
      <c r="P870" s="3">
        <v>0</v>
      </c>
    </row>
    <row r="871" spans="1:16" ht="15" customHeight="1" x14ac:dyDescent="0.3">
      <c r="A871">
        <v>2019</v>
      </c>
      <c r="B871" s="2">
        <v>43767</v>
      </c>
      <c r="C871" t="s">
        <v>357</v>
      </c>
      <c r="D871" t="s">
        <v>485</v>
      </c>
      <c r="F871" t="s">
        <v>20</v>
      </c>
      <c r="G871" t="s">
        <v>38</v>
      </c>
      <c r="H871" t="s">
        <v>39</v>
      </c>
      <c r="I871" t="s">
        <v>23</v>
      </c>
      <c r="J871" t="s">
        <v>766</v>
      </c>
      <c r="K871" s="3">
        <v>165</v>
      </c>
      <c r="O871" s="4">
        <v>0</v>
      </c>
      <c r="P871" s="3">
        <v>0</v>
      </c>
    </row>
    <row r="872" spans="1:16" ht="15" customHeight="1" x14ac:dyDescent="0.3">
      <c r="A872">
        <v>2019</v>
      </c>
      <c r="B872" s="2">
        <v>43769</v>
      </c>
      <c r="C872" t="s">
        <v>357</v>
      </c>
      <c r="D872" t="s">
        <v>485</v>
      </c>
      <c r="F872" t="s">
        <v>20</v>
      </c>
      <c r="G872" t="s">
        <v>38</v>
      </c>
      <c r="H872" t="s">
        <v>39</v>
      </c>
      <c r="I872" t="s">
        <v>23</v>
      </c>
      <c r="J872" t="s">
        <v>766</v>
      </c>
      <c r="K872" s="3">
        <v>1052.2</v>
      </c>
      <c r="O872" s="4">
        <v>0</v>
      </c>
      <c r="P872" s="3">
        <v>0</v>
      </c>
    </row>
    <row r="873" spans="1:16" ht="15" customHeight="1" x14ac:dyDescent="0.3">
      <c r="A873">
        <v>2019</v>
      </c>
      <c r="B873" s="2">
        <v>43774</v>
      </c>
      <c r="C873" t="s">
        <v>389</v>
      </c>
      <c r="D873" t="s">
        <v>771</v>
      </c>
      <c r="F873" t="s">
        <v>20</v>
      </c>
      <c r="G873" t="s">
        <v>38</v>
      </c>
      <c r="H873" t="s">
        <v>108</v>
      </c>
      <c r="I873" t="s">
        <v>23</v>
      </c>
      <c r="J873" t="s">
        <v>27</v>
      </c>
      <c r="K873" s="3">
        <v>11341.73</v>
      </c>
      <c r="O873" s="4">
        <v>0</v>
      </c>
      <c r="P873" s="3">
        <v>0</v>
      </c>
    </row>
    <row r="874" spans="1:16" ht="15" customHeight="1" x14ac:dyDescent="0.3">
      <c r="A874">
        <v>2019</v>
      </c>
      <c r="B874" s="2">
        <v>43774</v>
      </c>
      <c r="C874" t="s">
        <v>389</v>
      </c>
      <c r="D874" t="s">
        <v>700</v>
      </c>
      <c r="F874" t="s">
        <v>20</v>
      </c>
      <c r="G874" t="s">
        <v>107</v>
      </c>
      <c r="H874" t="s">
        <v>39</v>
      </c>
      <c r="I874" t="s">
        <v>306</v>
      </c>
      <c r="J874" t="s">
        <v>123</v>
      </c>
      <c r="K874" s="3">
        <v>289686.68</v>
      </c>
      <c r="O874" s="4">
        <v>0</v>
      </c>
      <c r="P874" s="3">
        <v>0</v>
      </c>
    </row>
    <row r="875" spans="1:16" ht="15" customHeight="1" x14ac:dyDescent="0.3">
      <c r="A875">
        <v>2019</v>
      </c>
      <c r="B875" s="2">
        <v>43780</v>
      </c>
      <c r="C875" t="s">
        <v>389</v>
      </c>
      <c r="D875" t="s">
        <v>751</v>
      </c>
      <c r="F875" t="s">
        <v>20</v>
      </c>
      <c r="G875" t="s">
        <v>21</v>
      </c>
      <c r="H875" t="s">
        <v>22</v>
      </c>
      <c r="I875" t="s">
        <v>538</v>
      </c>
      <c r="J875" t="s">
        <v>123</v>
      </c>
      <c r="K875" s="3">
        <v>60056.839393939401</v>
      </c>
      <c r="O875" s="4">
        <v>0</v>
      </c>
      <c r="P875" s="3">
        <v>0</v>
      </c>
    </row>
    <row r="876" spans="1:16" ht="15" customHeight="1" x14ac:dyDescent="0.3">
      <c r="A876">
        <v>2019</v>
      </c>
      <c r="B876" s="2">
        <v>43781</v>
      </c>
      <c r="C876" t="s">
        <v>389</v>
      </c>
      <c r="D876" t="s">
        <v>520</v>
      </c>
      <c r="E876" t="s">
        <v>542</v>
      </c>
      <c r="F876" t="s">
        <v>20</v>
      </c>
      <c r="G876" t="s">
        <v>107</v>
      </c>
      <c r="H876" t="s">
        <v>522</v>
      </c>
      <c r="I876" t="s">
        <v>23</v>
      </c>
      <c r="J876" t="s">
        <v>766</v>
      </c>
      <c r="K876" s="3">
        <v>6999.27</v>
      </c>
      <c r="O876" s="4">
        <v>0</v>
      </c>
      <c r="P876" s="3">
        <v>0</v>
      </c>
    </row>
    <row r="877" spans="1:16" ht="15" customHeight="1" x14ac:dyDescent="0.3">
      <c r="A877">
        <v>2019</v>
      </c>
      <c r="B877" s="2">
        <v>43781</v>
      </c>
      <c r="C877" t="s">
        <v>389</v>
      </c>
      <c r="D877" t="s">
        <v>485</v>
      </c>
      <c r="F877" t="s">
        <v>20</v>
      </c>
      <c r="G877" t="s">
        <v>38</v>
      </c>
      <c r="H877" t="s">
        <v>39</v>
      </c>
      <c r="I877" t="s">
        <v>23</v>
      </c>
      <c r="J877" t="s">
        <v>766</v>
      </c>
      <c r="K877" s="3">
        <v>368</v>
      </c>
      <c r="O877" s="4">
        <v>0</v>
      </c>
      <c r="P877" s="3">
        <v>0</v>
      </c>
    </row>
    <row r="878" spans="1:16" ht="15" customHeight="1" x14ac:dyDescent="0.3">
      <c r="A878">
        <v>2019</v>
      </c>
      <c r="B878" s="2">
        <v>43781</v>
      </c>
      <c r="C878" t="s">
        <v>389</v>
      </c>
      <c r="D878" t="s">
        <v>485</v>
      </c>
      <c r="F878" t="s">
        <v>20</v>
      </c>
      <c r="G878" t="s">
        <v>38</v>
      </c>
      <c r="H878" t="s">
        <v>39</v>
      </c>
      <c r="I878" t="s">
        <v>23</v>
      </c>
      <c r="J878" t="s">
        <v>766</v>
      </c>
      <c r="K878" s="3">
        <v>260</v>
      </c>
      <c r="O878" s="4">
        <v>0</v>
      </c>
      <c r="P878" s="3">
        <v>0</v>
      </c>
    </row>
    <row r="879" spans="1:16" ht="15" customHeight="1" x14ac:dyDescent="0.3">
      <c r="A879">
        <v>2019</v>
      </c>
      <c r="B879" s="2">
        <v>43789</v>
      </c>
      <c r="C879" t="s">
        <v>389</v>
      </c>
      <c r="D879" t="s">
        <v>772</v>
      </c>
      <c r="F879" t="s">
        <v>20</v>
      </c>
      <c r="G879" t="s">
        <v>107</v>
      </c>
      <c r="H879" t="s">
        <v>108</v>
      </c>
      <c r="I879" t="s">
        <v>23</v>
      </c>
      <c r="J879" t="s">
        <v>766</v>
      </c>
      <c r="K879" s="3">
        <v>11261.17</v>
      </c>
      <c r="O879" s="4">
        <v>0</v>
      </c>
      <c r="P879" s="3">
        <v>0</v>
      </c>
    </row>
    <row r="880" spans="1:16" ht="15" customHeight="1" x14ac:dyDescent="0.3">
      <c r="A880">
        <v>2019</v>
      </c>
      <c r="B880" s="2">
        <v>43789</v>
      </c>
      <c r="C880" t="s">
        <v>389</v>
      </c>
      <c r="D880" t="s">
        <v>772</v>
      </c>
      <c r="F880" t="s">
        <v>20</v>
      </c>
      <c r="G880" t="s">
        <v>107</v>
      </c>
      <c r="H880" t="s">
        <v>108</v>
      </c>
      <c r="I880" t="s">
        <v>23</v>
      </c>
      <c r="J880" t="s">
        <v>766</v>
      </c>
      <c r="K880" s="3">
        <v>15229.01</v>
      </c>
      <c r="O880" s="4">
        <v>0</v>
      </c>
      <c r="P880" s="3">
        <v>0</v>
      </c>
    </row>
    <row r="881" spans="1:16" ht="15" customHeight="1" x14ac:dyDescent="0.3">
      <c r="A881">
        <v>2019</v>
      </c>
      <c r="B881" s="2">
        <v>43794</v>
      </c>
      <c r="C881" t="s">
        <v>389</v>
      </c>
      <c r="D881" t="s">
        <v>767</v>
      </c>
      <c r="F881" t="s">
        <v>20</v>
      </c>
      <c r="G881" t="s">
        <v>107</v>
      </c>
      <c r="H881" t="s">
        <v>39</v>
      </c>
      <c r="I881" t="s">
        <v>136</v>
      </c>
      <c r="J881" t="s">
        <v>123</v>
      </c>
      <c r="K881" s="3">
        <v>119700.11</v>
      </c>
      <c r="O881" s="4">
        <v>0</v>
      </c>
      <c r="P881" s="3">
        <v>0</v>
      </c>
    </row>
    <row r="882" spans="1:16" ht="15" customHeight="1" x14ac:dyDescent="0.3">
      <c r="A882">
        <v>2019</v>
      </c>
      <c r="B882" s="2">
        <v>43808</v>
      </c>
      <c r="C882" t="s">
        <v>416</v>
      </c>
      <c r="D882" t="s">
        <v>155</v>
      </c>
      <c r="F882" t="s">
        <v>20</v>
      </c>
      <c r="G882" t="s">
        <v>38</v>
      </c>
      <c r="H882" t="s">
        <v>39</v>
      </c>
      <c r="I882" t="s">
        <v>23</v>
      </c>
      <c r="J882" t="s">
        <v>766</v>
      </c>
      <c r="K882" s="3">
        <v>8700</v>
      </c>
      <c r="O882" s="4">
        <v>0</v>
      </c>
      <c r="P882" s="3">
        <v>0</v>
      </c>
    </row>
    <row r="883" spans="1:16" ht="15" customHeight="1" x14ac:dyDescent="0.3">
      <c r="A883">
        <v>2019</v>
      </c>
      <c r="B883" s="2">
        <v>43808</v>
      </c>
      <c r="C883" t="s">
        <v>416</v>
      </c>
      <c r="D883" t="s">
        <v>746</v>
      </c>
      <c r="F883" t="s">
        <v>20</v>
      </c>
      <c r="G883" t="s">
        <v>21</v>
      </c>
      <c r="H883" t="s">
        <v>22</v>
      </c>
      <c r="I883" t="s">
        <v>141</v>
      </c>
      <c r="J883" t="s">
        <v>766</v>
      </c>
      <c r="K883" s="3">
        <v>15200</v>
      </c>
      <c r="O883" s="4">
        <v>0</v>
      </c>
      <c r="P883" s="3">
        <v>0</v>
      </c>
    </row>
    <row r="884" spans="1:16" ht="15" customHeight="1" x14ac:dyDescent="0.3">
      <c r="A884">
        <v>2019</v>
      </c>
      <c r="B884" s="2">
        <v>43808</v>
      </c>
      <c r="C884" t="s">
        <v>416</v>
      </c>
      <c r="D884" t="s">
        <v>103</v>
      </c>
      <c r="F884" t="s">
        <v>20</v>
      </c>
      <c r="G884" t="s">
        <v>21</v>
      </c>
      <c r="H884" t="s">
        <v>22</v>
      </c>
      <c r="I884" t="s">
        <v>23</v>
      </c>
      <c r="J884" t="s">
        <v>766</v>
      </c>
      <c r="K884" s="3">
        <v>8933.7999999999993</v>
      </c>
      <c r="O884" s="4">
        <v>0</v>
      </c>
      <c r="P884" s="3">
        <v>0</v>
      </c>
    </row>
    <row r="885" spans="1:16" ht="15" customHeight="1" x14ac:dyDescent="0.3">
      <c r="A885">
        <v>2019</v>
      </c>
      <c r="B885" s="2">
        <v>43810</v>
      </c>
      <c r="C885" t="s">
        <v>416</v>
      </c>
      <c r="D885" t="s">
        <v>364</v>
      </c>
      <c r="F885" t="s">
        <v>20</v>
      </c>
      <c r="G885" t="s">
        <v>21</v>
      </c>
      <c r="H885" t="s">
        <v>101</v>
      </c>
      <c r="I885" t="s">
        <v>23</v>
      </c>
      <c r="J885" t="s">
        <v>766</v>
      </c>
      <c r="K885" s="3">
        <v>7490.88</v>
      </c>
      <c r="O885" s="4">
        <v>0</v>
      </c>
      <c r="P885" s="3">
        <v>0</v>
      </c>
    </row>
    <row r="886" spans="1:16" ht="15" customHeight="1" x14ac:dyDescent="0.3">
      <c r="A886">
        <v>2019</v>
      </c>
      <c r="B886" s="2">
        <v>43815</v>
      </c>
      <c r="C886" t="s">
        <v>416</v>
      </c>
      <c r="D886" t="s">
        <v>155</v>
      </c>
      <c r="F886" t="s">
        <v>20</v>
      </c>
      <c r="G886" t="s">
        <v>38</v>
      </c>
      <c r="H886" t="s">
        <v>39</v>
      </c>
      <c r="I886" t="s">
        <v>49</v>
      </c>
      <c r="J886" t="s">
        <v>759</v>
      </c>
      <c r="K886" s="3">
        <v>491778.84</v>
      </c>
      <c r="O886" s="4">
        <v>0</v>
      </c>
      <c r="P886" s="3">
        <v>0</v>
      </c>
    </row>
    <row r="887" spans="1:16" ht="15" customHeight="1" x14ac:dyDescent="0.3">
      <c r="A887">
        <v>2019</v>
      </c>
      <c r="B887" s="2">
        <v>43815</v>
      </c>
      <c r="C887" t="s">
        <v>416</v>
      </c>
      <c r="D887" t="s">
        <v>531</v>
      </c>
      <c r="F887" t="s">
        <v>20</v>
      </c>
      <c r="G887" t="s">
        <v>38</v>
      </c>
      <c r="H887" t="s">
        <v>39</v>
      </c>
      <c r="I887" t="s">
        <v>23</v>
      </c>
      <c r="J887" t="s">
        <v>766</v>
      </c>
      <c r="K887" s="3">
        <v>10240</v>
      </c>
      <c r="O887" s="4">
        <v>0</v>
      </c>
      <c r="P887" s="3">
        <v>0</v>
      </c>
    </row>
    <row r="888" spans="1:16" ht="15" customHeight="1" x14ac:dyDescent="0.3">
      <c r="A888">
        <v>2020</v>
      </c>
      <c r="B888" s="2">
        <v>43837</v>
      </c>
      <c r="C888" t="s">
        <v>17</v>
      </c>
      <c r="D888" t="s">
        <v>155</v>
      </c>
      <c r="F888" t="s">
        <v>20</v>
      </c>
      <c r="G888" t="s">
        <v>38</v>
      </c>
      <c r="H888" t="s">
        <v>39</v>
      </c>
      <c r="I888" t="s">
        <v>23</v>
      </c>
      <c r="J888" t="s">
        <v>766</v>
      </c>
      <c r="K888" s="3">
        <v>920</v>
      </c>
      <c r="O888" s="4">
        <v>0</v>
      </c>
      <c r="P888" s="3">
        <v>0</v>
      </c>
    </row>
    <row r="889" spans="1:16" ht="15" customHeight="1" x14ac:dyDescent="0.3">
      <c r="A889">
        <v>2020</v>
      </c>
      <c r="B889" s="2">
        <v>43843</v>
      </c>
      <c r="C889" t="s">
        <v>17</v>
      </c>
      <c r="D889" t="s">
        <v>45</v>
      </c>
      <c r="F889" t="s">
        <v>20</v>
      </c>
      <c r="G889" t="s">
        <v>38</v>
      </c>
      <c r="H889" t="s">
        <v>39</v>
      </c>
      <c r="I889" t="s">
        <v>136</v>
      </c>
      <c r="J889" t="s">
        <v>50</v>
      </c>
      <c r="K889" s="3">
        <v>85109.1</v>
      </c>
      <c r="O889" s="4">
        <v>0</v>
      </c>
      <c r="P889" s="3">
        <v>0</v>
      </c>
    </row>
    <row r="890" spans="1:16" ht="15" customHeight="1" x14ac:dyDescent="0.3">
      <c r="A890">
        <v>2020</v>
      </c>
      <c r="B890" s="2">
        <v>43843</v>
      </c>
      <c r="C890" t="s">
        <v>17</v>
      </c>
      <c r="D890" t="s">
        <v>45</v>
      </c>
      <c r="F890" t="s">
        <v>20</v>
      </c>
      <c r="G890" t="s">
        <v>38</v>
      </c>
      <c r="H890" t="s">
        <v>39</v>
      </c>
      <c r="I890" t="s">
        <v>136</v>
      </c>
      <c r="J890" t="s">
        <v>50</v>
      </c>
      <c r="K890" s="3">
        <v>70880.350000000006</v>
      </c>
      <c r="O890" s="4">
        <v>0</v>
      </c>
      <c r="P890" s="3">
        <v>0</v>
      </c>
    </row>
    <row r="891" spans="1:16" ht="15" customHeight="1" x14ac:dyDescent="0.3">
      <c r="A891">
        <v>2020</v>
      </c>
      <c r="B891" s="2">
        <v>43845</v>
      </c>
      <c r="C891" t="s">
        <v>17</v>
      </c>
      <c r="D891" t="s">
        <v>773</v>
      </c>
      <c r="F891" t="s">
        <v>20</v>
      </c>
      <c r="G891" t="s">
        <v>38</v>
      </c>
      <c r="H891" t="s">
        <v>39</v>
      </c>
      <c r="I891" t="s">
        <v>136</v>
      </c>
      <c r="J891" t="s">
        <v>766</v>
      </c>
      <c r="K891" s="3">
        <v>1134</v>
      </c>
      <c r="O891" s="4">
        <v>0</v>
      </c>
      <c r="P891" s="3">
        <v>0</v>
      </c>
    </row>
    <row r="892" spans="1:16" ht="15" customHeight="1" x14ac:dyDescent="0.3">
      <c r="A892">
        <v>2020</v>
      </c>
      <c r="B892" s="2">
        <v>43860</v>
      </c>
      <c r="C892" t="s">
        <v>17</v>
      </c>
      <c r="D892" t="s">
        <v>773</v>
      </c>
      <c r="F892" t="s">
        <v>20</v>
      </c>
      <c r="G892" t="s">
        <v>38</v>
      </c>
      <c r="H892" t="s">
        <v>39</v>
      </c>
      <c r="I892" t="s">
        <v>136</v>
      </c>
      <c r="J892" t="s">
        <v>766</v>
      </c>
      <c r="K892" s="3">
        <v>4506.34</v>
      </c>
      <c r="O892" s="4">
        <v>0</v>
      </c>
      <c r="P892" s="3">
        <v>0</v>
      </c>
    </row>
    <row r="893" spans="1:16" ht="15" customHeight="1" x14ac:dyDescent="0.3">
      <c r="A893">
        <v>2020</v>
      </c>
      <c r="B893" s="2">
        <v>43864</v>
      </c>
      <c r="C893" t="s">
        <v>71</v>
      </c>
      <c r="D893" t="s">
        <v>762</v>
      </c>
      <c r="F893" t="s">
        <v>20</v>
      </c>
      <c r="G893" t="s">
        <v>38</v>
      </c>
      <c r="H893" t="s">
        <v>89</v>
      </c>
      <c r="I893" t="s">
        <v>23</v>
      </c>
      <c r="J893" t="s">
        <v>766</v>
      </c>
      <c r="K893" s="3">
        <v>963.29</v>
      </c>
      <c r="O893" s="4">
        <v>0</v>
      </c>
      <c r="P893" s="3">
        <v>0</v>
      </c>
    </row>
    <row r="894" spans="1:16" ht="15" customHeight="1" x14ac:dyDescent="0.3">
      <c r="A894">
        <v>2020</v>
      </c>
      <c r="B894" s="2">
        <v>43864</v>
      </c>
      <c r="C894" t="s">
        <v>71</v>
      </c>
      <c r="D894" t="s">
        <v>767</v>
      </c>
      <c r="F894" t="s">
        <v>20</v>
      </c>
      <c r="G894" t="s">
        <v>107</v>
      </c>
      <c r="H894" t="s">
        <v>39</v>
      </c>
      <c r="I894" t="s">
        <v>23</v>
      </c>
      <c r="J894" t="s">
        <v>766</v>
      </c>
      <c r="K894" s="3">
        <v>2240</v>
      </c>
      <c r="O894" s="4">
        <v>0</v>
      </c>
      <c r="P894" s="3">
        <v>0</v>
      </c>
    </row>
    <row r="895" spans="1:16" ht="15" customHeight="1" x14ac:dyDescent="0.3">
      <c r="A895">
        <v>2020</v>
      </c>
      <c r="B895" s="2">
        <v>43867</v>
      </c>
      <c r="C895" t="s">
        <v>71</v>
      </c>
      <c r="D895" t="s">
        <v>155</v>
      </c>
      <c r="F895" t="s">
        <v>20</v>
      </c>
      <c r="G895" t="s">
        <v>38</v>
      </c>
      <c r="H895" t="s">
        <v>39</v>
      </c>
      <c r="I895" t="s">
        <v>23</v>
      </c>
      <c r="J895" t="s">
        <v>766</v>
      </c>
      <c r="K895" s="3">
        <v>2321.63</v>
      </c>
      <c r="O895" s="4">
        <v>0</v>
      </c>
      <c r="P895" s="3">
        <v>0</v>
      </c>
    </row>
    <row r="896" spans="1:16" ht="15" customHeight="1" x14ac:dyDescent="0.3">
      <c r="A896">
        <v>2020</v>
      </c>
      <c r="B896" s="2">
        <v>43868</v>
      </c>
      <c r="C896" t="s">
        <v>71</v>
      </c>
      <c r="D896" t="s">
        <v>774</v>
      </c>
      <c r="F896" t="s">
        <v>20</v>
      </c>
      <c r="G896" t="s">
        <v>38</v>
      </c>
      <c r="H896" t="s">
        <v>147</v>
      </c>
      <c r="I896" t="s">
        <v>306</v>
      </c>
      <c r="J896" t="s">
        <v>50</v>
      </c>
      <c r="K896" s="3">
        <v>109945</v>
      </c>
      <c r="O896" s="4">
        <v>0</v>
      </c>
      <c r="P896" s="3">
        <v>0</v>
      </c>
    </row>
    <row r="897" spans="1:16" ht="15" customHeight="1" x14ac:dyDescent="0.3">
      <c r="A897">
        <v>2020</v>
      </c>
      <c r="B897" s="2">
        <v>43868</v>
      </c>
      <c r="C897" t="s">
        <v>71</v>
      </c>
      <c r="D897" t="s">
        <v>105</v>
      </c>
      <c r="F897" t="s">
        <v>20</v>
      </c>
      <c r="G897" t="s">
        <v>107</v>
      </c>
      <c r="H897" t="s">
        <v>108</v>
      </c>
      <c r="I897" t="s">
        <v>109</v>
      </c>
      <c r="J897" t="s">
        <v>123</v>
      </c>
      <c r="K897" s="3">
        <v>14261.83</v>
      </c>
      <c r="O897" s="4">
        <v>0</v>
      </c>
      <c r="P897" s="3">
        <v>0</v>
      </c>
    </row>
    <row r="898" spans="1:16" ht="15" customHeight="1" x14ac:dyDescent="0.3">
      <c r="A898">
        <v>2020</v>
      </c>
      <c r="B898" s="2">
        <v>43873</v>
      </c>
      <c r="C898" t="s">
        <v>71</v>
      </c>
      <c r="D898" t="s">
        <v>155</v>
      </c>
      <c r="F898" t="s">
        <v>20</v>
      </c>
      <c r="G898" t="s">
        <v>38</v>
      </c>
      <c r="H898" t="s">
        <v>39</v>
      </c>
      <c r="I898" t="s">
        <v>23</v>
      </c>
      <c r="J898" t="s">
        <v>766</v>
      </c>
      <c r="K898" s="3">
        <v>1262.94</v>
      </c>
      <c r="O898" s="4">
        <v>0</v>
      </c>
      <c r="P898" s="3">
        <v>0</v>
      </c>
    </row>
    <row r="899" spans="1:16" ht="15" customHeight="1" x14ac:dyDescent="0.3">
      <c r="A899">
        <v>2020</v>
      </c>
      <c r="B899" s="2">
        <v>43873</v>
      </c>
      <c r="C899" t="s">
        <v>71</v>
      </c>
      <c r="D899" t="s">
        <v>301</v>
      </c>
      <c r="F899" t="s">
        <v>20</v>
      </c>
      <c r="G899" t="s">
        <v>38</v>
      </c>
      <c r="H899" t="s">
        <v>147</v>
      </c>
      <c r="I899" t="s">
        <v>23</v>
      </c>
      <c r="J899" t="s">
        <v>766</v>
      </c>
      <c r="K899" s="3">
        <v>714.28</v>
      </c>
      <c r="O899" s="4">
        <v>0</v>
      </c>
      <c r="P899" s="3">
        <v>0</v>
      </c>
    </row>
    <row r="900" spans="1:16" ht="15" customHeight="1" x14ac:dyDescent="0.3">
      <c r="A900">
        <v>2020</v>
      </c>
      <c r="B900" s="2">
        <v>43875</v>
      </c>
      <c r="C900" t="s">
        <v>71</v>
      </c>
      <c r="D900" t="s">
        <v>700</v>
      </c>
      <c r="F900" t="s">
        <v>20</v>
      </c>
      <c r="G900" t="s">
        <v>107</v>
      </c>
      <c r="H900" t="s">
        <v>39</v>
      </c>
      <c r="I900" t="s">
        <v>23</v>
      </c>
      <c r="J900" t="s">
        <v>766</v>
      </c>
      <c r="K900" s="3">
        <v>1426.92</v>
      </c>
      <c r="O900" s="4">
        <v>0</v>
      </c>
      <c r="P900" s="3">
        <v>0</v>
      </c>
    </row>
    <row r="901" spans="1:16" ht="15" customHeight="1" x14ac:dyDescent="0.3">
      <c r="A901">
        <v>2020</v>
      </c>
      <c r="B901" s="2">
        <v>43875</v>
      </c>
      <c r="C901" t="s">
        <v>71</v>
      </c>
      <c r="D901" t="s">
        <v>745</v>
      </c>
      <c r="F901" t="s">
        <v>20</v>
      </c>
      <c r="G901" t="s">
        <v>107</v>
      </c>
      <c r="H901" t="s">
        <v>108</v>
      </c>
      <c r="I901" t="s">
        <v>136</v>
      </c>
      <c r="J901" t="s">
        <v>123</v>
      </c>
      <c r="K901" s="3">
        <v>129202.51</v>
      </c>
      <c r="O901" s="4">
        <v>0</v>
      </c>
      <c r="P901" s="3">
        <v>0</v>
      </c>
    </row>
    <row r="902" spans="1:16" ht="15" customHeight="1" x14ac:dyDescent="0.3">
      <c r="A902">
        <v>2020</v>
      </c>
      <c r="B902" s="2">
        <v>43880</v>
      </c>
      <c r="C902" t="s">
        <v>71</v>
      </c>
      <c r="D902" t="s">
        <v>750</v>
      </c>
      <c r="F902" t="s">
        <v>20</v>
      </c>
      <c r="G902" t="s">
        <v>38</v>
      </c>
      <c r="H902" t="s">
        <v>39</v>
      </c>
      <c r="I902" t="s">
        <v>23</v>
      </c>
      <c r="J902" t="s">
        <v>766</v>
      </c>
      <c r="K902" s="3">
        <v>666.25</v>
      </c>
      <c r="O902" s="4">
        <v>0</v>
      </c>
      <c r="P902" s="3">
        <v>0</v>
      </c>
    </row>
    <row r="903" spans="1:16" ht="15" customHeight="1" x14ac:dyDescent="0.3">
      <c r="A903">
        <v>2020</v>
      </c>
      <c r="B903" s="2">
        <v>43885</v>
      </c>
      <c r="C903" t="s">
        <v>71</v>
      </c>
      <c r="D903" t="s">
        <v>36</v>
      </c>
      <c r="F903" t="s">
        <v>20</v>
      </c>
      <c r="G903" t="s">
        <v>38</v>
      </c>
      <c r="H903" t="s">
        <v>39</v>
      </c>
      <c r="I903" t="s">
        <v>141</v>
      </c>
      <c r="J903" t="s">
        <v>123</v>
      </c>
      <c r="K903" s="3">
        <v>129426.64</v>
      </c>
      <c r="O903" s="4">
        <v>0</v>
      </c>
      <c r="P903" s="3">
        <v>0</v>
      </c>
    </row>
    <row r="904" spans="1:16" ht="15" customHeight="1" x14ac:dyDescent="0.3">
      <c r="A904">
        <v>2020</v>
      </c>
      <c r="B904" s="2">
        <v>43892</v>
      </c>
      <c r="C904" t="s">
        <v>137</v>
      </c>
      <c r="D904" t="s">
        <v>155</v>
      </c>
      <c r="F904" t="s">
        <v>20</v>
      </c>
      <c r="G904" t="s">
        <v>38</v>
      </c>
      <c r="H904" t="s">
        <v>39</v>
      </c>
      <c r="I904" t="s">
        <v>23</v>
      </c>
      <c r="J904" t="s">
        <v>766</v>
      </c>
      <c r="K904" s="3">
        <v>3000</v>
      </c>
      <c r="O904" s="4">
        <v>0</v>
      </c>
      <c r="P904" s="3">
        <v>0</v>
      </c>
    </row>
    <row r="905" spans="1:16" ht="15" customHeight="1" x14ac:dyDescent="0.3">
      <c r="A905">
        <v>2020</v>
      </c>
      <c r="B905" s="2">
        <v>43892</v>
      </c>
      <c r="C905" t="s">
        <v>137</v>
      </c>
      <c r="D905" t="s">
        <v>700</v>
      </c>
      <c r="F905" t="s">
        <v>20</v>
      </c>
      <c r="G905" t="s">
        <v>107</v>
      </c>
      <c r="H905" t="s">
        <v>39</v>
      </c>
      <c r="I905" t="s">
        <v>23</v>
      </c>
      <c r="J905" t="s">
        <v>766</v>
      </c>
      <c r="K905" s="3">
        <v>640</v>
      </c>
      <c r="O905" s="4">
        <v>0</v>
      </c>
      <c r="P905" s="3">
        <v>0</v>
      </c>
    </row>
    <row r="906" spans="1:16" ht="15" customHeight="1" x14ac:dyDescent="0.3">
      <c r="A906">
        <v>2020</v>
      </c>
      <c r="B906" s="2">
        <v>43892</v>
      </c>
      <c r="C906" t="s">
        <v>137</v>
      </c>
      <c r="D906" t="s">
        <v>675</v>
      </c>
      <c r="F906" t="s">
        <v>20</v>
      </c>
      <c r="G906" t="s">
        <v>38</v>
      </c>
      <c r="H906" t="s">
        <v>147</v>
      </c>
      <c r="I906" t="s">
        <v>306</v>
      </c>
      <c r="J906" t="s">
        <v>50</v>
      </c>
      <c r="K906" s="3">
        <v>4720380.62</v>
      </c>
      <c r="O906" s="4">
        <v>0</v>
      </c>
      <c r="P906" s="3">
        <v>0</v>
      </c>
    </row>
    <row r="907" spans="1:16" ht="15" customHeight="1" x14ac:dyDescent="0.3">
      <c r="A907">
        <v>2020</v>
      </c>
      <c r="B907" s="2">
        <v>43895</v>
      </c>
      <c r="C907" t="s">
        <v>137</v>
      </c>
      <c r="D907" t="s">
        <v>775</v>
      </c>
      <c r="F907" t="s">
        <v>20</v>
      </c>
      <c r="G907" t="s">
        <v>21</v>
      </c>
      <c r="H907" t="s">
        <v>22</v>
      </c>
      <c r="I907" t="s">
        <v>306</v>
      </c>
      <c r="J907" t="s">
        <v>50</v>
      </c>
      <c r="K907" s="3">
        <v>1174904.73</v>
      </c>
      <c r="O907" s="4">
        <v>0</v>
      </c>
      <c r="P907" s="3">
        <v>0</v>
      </c>
    </row>
    <row r="908" spans="1:16" ht="15" customHeight="1" x14ac:dyDescent="0.3">
      <c r="A908">
        <v>2020</v>
      </c>
      <c r="B908" s="2">
        <v>43896</v>
      </c>
      <c r="C908" t="s">
        <v>137</v>
      </c>
      <c r="D908" t="s">
        <v>775</v>
      </c>
      <c r="F908" t="s">
        <v>20</v>
      </c>
      <c r="G908" t="s">
        <v>21</v>
      </c>
      <c r="H908" t="s">
        <v>22</v>
      </c>
      <c r="I908" t="s">
        <v>306</v>
      </c>
      <c r="J908" t="s">
        <v>50</v>
      </c>
      <c r="K908" s="3">
        <v>1286915.82</v>
      </c>
      <c r="O908" s="4">
        <v>0</v>
      </c>
      <c r="P908" s="3">
        <v>0</v>
      </c>
    </row>
    <row r="909" spans="1:16" ht="15" customHeight="1" x14ac:dyDescent="0.3">
      <c r="A909">
        <v>2020</v>
      </c>
      <c r="B909" s="2">
        <v>43896</v>
      </c>
      <c r="C909" t="s">
        <v>137</v>
      </c>
      <c r="D909" t="s">
        <v>279</v>
      </c>
      <c r="F909" t="s">
        <v>20</v>
      </c>
      <c r="G909" t="s">
        <v>21</v>
      </c>
      <c r="H909" t="s">
        <v>22</v>
      </c>
      <c r="I909" t="s">
        <v>306</v>
      </c>
      <c r="J909" t="s">
        <v>50</v>
      </c>
      <c r="K909" s="3">
        <v>835717.51</v>
      </c>
      <c r="O909" s="4">
        <v>0</v>
      </c>
      <c r="P909" s="3">
        <v>0</v>
      </c>
    </row>
    <row r="910" spans="1:16" ht="15" customHeight="1" x14ac:dyDescent="0.3">
      <c r="A910">
        <v>2020</v>
      </c>
      <c r="B910" s="2">
        <v>43900</v>
      </c>
      <c r="C910" t="s">
        <v>137</v>
      </c>
      <c r="D910" t="s">
        <v>301</v>
      </c>
      <c r="F910" t="s">
        <v>20</v>
      </c>
      <c r="G910" t="s">
        <v>21</v>
      </c>
      <c r="H910" t="s">
        <v>22</v>
      </c>
      <c r="I910" t="s">
        <v>23</v>
      </c>
      <c r="J910" t="s">
        <v>766</v>
      </c>
      <c r="K910" s="3">
        <v>848.21</v>
      </c>
      <c r="O910" s="4">
        <v>0</v>
      </c>
      <c r="P910" s="3">
        <v>0</v>
      </c>
    </row>
    <row r="911" spans="1:16" ht="15" customHeight="1" x14ac:dyDescent="0.3">
      <c r="A911">
        <v>2020</v>
      </c>
      <c r="B911" s="2">
        <v>43901</v>
      </c>
      <c r="C911" t="s">
        <v>137</v>
      </c>
      <c r="D911" t="s">
        <v>45</v>
      </c>
      <c r="F911" t="s">
        <v>20</v>
      </c>
      <c r="G911" t="s">
        <v>38</v>
      </c>
      <c r="H911" t="s">
        <v>39</v>
      </c>
      <c r="I911" t="s">
        <v>23</v>
      </c>
      <c r="J911" t="s">
        <v>766</v>
      </c>
      <c r="K911" s="3">
        <v>10947.64</v>
      </c>
      <c r="O911" s="4">
        <v>0</v>
      </c>
      <c r="P911" s="3">
        <v>0</v>
      </c>
    </row>
    <row r="912" spans="1:16" ht="15" customHeight="1" x14ac:dyDescent="0.3">
      <c r="A912">
        <v>2020</v>
      </c>
      <c r="B912" s="2">
        <v>43903</v>
      </c>
      <c r="C912" t="s">
        <v>137</v>
      </c>
      <c r="D912" t="s">
        <v>776</v>
      </c>
      <c r="F912" t="s">
        <v>20</v>
      </c>
      <c r="G912" t="s">
        <v>38</v>
      </c>
      <c r="H912" t="s">
        <v>147</v>
      </c>
      <c r="I912" t="s">
        <v>136</v>
      </c>
      <c r="J912" t="s">
        <v>50</v>
      </c>
      <c r="K912" s="3">
        <v>588027</v>
      </c>
      <c r="O912" s="4">
        <v>0</v>
      </c>
      <c r="P912" s="3">
        <v>0</v>
      </c>
    </row>
    <row r="913" spans="1:16" ht="15" customHeight="1" x14ac:dyDescent="0.3">
      <c r="A913">
        <v>2020</v>
      </c>
      <c r="B913" s="2">
        <v>43922</v>
      </c>
      <c r="C913" t="s">
        <v>169</v>
      </c>
      <c r="D913" t="s">
        <v>675</v>
      </c>
      <c r="F913" t="s">
        <v>20</v>
      </c>
      <c r="G913" t="s">
        <v>38</v>
      </c>
      <c r="H913" t="s">
        <v>147</v>
      </c>
      <c r="I913" t="s">
        <v>178</v>
      </c>
      <c r="J913" t="s">
        <v>50</v>
      </c>
      <c r="K913" s="3">
        <v>357337.82</v>
      </c>
      <c r="O913" s="4">
        <v>0</v>
      </c>
      <c r="P913" s="3">
        <v>0</v>
      </c>
    </row>
    <row r="914" spans="1:16" ht="15" customHeight="1" x14ac:dyDescent="0.3">
      <c r="A914">
        <v>2020</v>
      </c>
      <c r="B914" s="2">
        <v>43927</v>
      </c>
      <c r="C914" t="s">
        <v>169</v>
      </c>
      <c r="D914" t="s">
        <v>155</v>
      </c>
      <c r="F914" t="s">
        <v>20</v>
      </c>
      <c r="G914" t="s">
        <v>38</v>
      </c>
      <c r="H914" t="s">
        <v>39</v>
      </c>
      <c r="I914" t="s">
        <v>49</v>
      </c>
      <c r="J914" t="s">
        <v>759</v>
      </c>
      <c r="K914" s="3">
        <v>72500.06</v>
      </c>
      <c r="O914" s="4">
        <v>0</v>
      </c>
      <c r="P914" s="3">
        <v>0</v>
      </c>
    </row>
    <row r="915" spans="1:16" ht="15" customHeight="1" x14ac:dyDescent="0.3">
      <c r="A915">
        <v>2020</v>
      </c>
      <c r="B915" s="2">
        <v>43927</v>
      </c>
      <c r="C915" t="s">
        <v>169</v>
      </c>
      <c r="D915" t="s">
        <v>69</v>
      </c>
      <c r="F915" t="s">
        <v>20</v>
      </c>
      <c r="G915" t="s">
        <v>21</v>
      </c>
      <c r="H915" t="s">
        <v>22</v>
      </c>
      <c r="I915" t="s">
        <v>136</v>
      </c>
      <c r="J915" t="s">
        <v>123</v>
      </c>
      <c r="K915" s="3">
        <v>87746.22</v>
      </c>
      <c r="O915" s="4">
        <v>0</v>
      </c>
      <c r="P915" s="3">
        <v>0</v>
      </c>
    </row>
    <row r="916" spans="1:16" ht="15" customHeight="1" x14ac:dyDescent="0.3">
      <c r="A916">
        <v>2020</v>
      </c>
      <c r="B916" s="2">
        <v>43945</v>
      </c>
      <c r="C916" t="s">
        <v>169</v>
      </c>
      <c r="D916" t="s">
        <v>279</v>
      </c>
      <c r="F916" t="s">
        <v>20</v>
      </c>
      <c r="G916" t="s">
        <v>21</v>
      </c>
      <c r="H916" t="s">
        <v>22</v>
      </c>
      <c r="I916" t="s">
        <v>23</v>
      </c>
      <c r="J916" t="s">
        <v>50</v>
      </c>
      <c r="K916" s="3">
        <v>7551.61</v>
      </c>
      <c r="O916" s="4">
        <v>0</v>
      </c>
      <c r="P916" s="3">
        <v>0</v>
      </c>
    </row>
    <row r="917" spans="1:16" ht="15" customHeight="1" x14ac:dyDescent="0.3">
      <c r="A917">
        <v>2020</v>
      </c>
      <c r="B917" s="2">
        <v>43945</v>
      </c>
      <c r="C917" t="s">
        <v>169</v>
      </c>
      <c r="D917" t="s">
        <v>279</v>
      </c>
      <c r="F917" t="s">
        <v>20</v>
      </c>
      <c r="G917" t="s">
        <v>21</v>
      </c>
      <c r="H917" t="s">
        <v>22</v>
      </c>
      <c r="I917" t="s">
        <v>23</v>
      </c>
      <c r="J917" t="s">
        <v>50</v>
      </c>
      <c r="K917" s="3">
        <v>528</v>
      </c>
      <c r="O917" s="4">
        <v>0</v>
      </c>
      <c r="P917" s="3">
        <v>0</v>
      </c>
    </row>
    <row r="918" spans="1:16" ht="15" customHeight="1" x14ac:dyDescent="0.3">
      <c r="A918">
        <v>2020</v>
      </c>
      <c r="B918" s="2">
        <v>43962</v>
      </c>
      <c r="C918" t="s">
        <v>190</v>
      </c>
      <c r="D918" t="s">
        <v>750</v>
      </c>
      <c r="F918" t="s">
        <v>20</v>
      </c>
      <c r="G918" t="s">
        <v>38</v>
      </c>
      <c r="H918" t="s">
        <v>39</v>
      </c>
      <c r="I918" t="s">
        <v>306</v>
      </c>
      <c r="J918" t="s">
        <v>110</v>
      </c>
      <c r="K918" s="3">
        <v>8012.35</v>
      </c>
      <c r="O918" s="4">
        <v>0</v>
      </c>
      <c r="P918" s="3">
        <v>0</v>
      </c>
    </row>
    <row r="919" spans="1:16" ht="15" customHeight="1" x14ac:dyDescent="0.3">
      <c r="A919">
        <v>2020</v>
      </c>
      <c r="B919" s="2">
        <v>43966</v>
      </c>
      <c r="C919" t="s">
        <v>190</v>
      </c>
      <c r="D919" t="s">
        <v>485</v>
      </c>
      <c r="F919" t="s">
        <v>20</v>
      </c>
      <c r="G919" t="s">
        <v>38</v>
      </c>
      <c r="H919" t="s">
        <v>39</v>
      </c>
      <c r="I919" t="s">
        <v>306</v>
      </c>
      <c r="J919" t="s">
        <v>110</v>
      </c>
      <c r="K919" s="3">
        <v>2474.3000000000002</v>
      </c>
      <c r="O919" s="4">
        <v>0</v>
      </c>
      <c r="P919" s="3">
        <v>0</v>
      </c>
    </row>
    <row r="920" spans="1:16" ht="15" customHeight="1" x14ac:dyDescent="0.3">
      <c r="A920">
        <v>2020</v>
      </c>
      <c r="B920" s="2">
        <v>43972</v>
      </c>
      <c r="C920" t="s">
        <v>190</v>
      </c>
      <c r="D920" t="s">
        <v>774</v>
      </c>
      <c r="F920" t="s">
        <v>20</v>
      </c>
      <c r="G920" t="s">
        <v>38</v>
      </c>
      <c r="H920" t="s">
        <v>147</v>
      </c>
      <c r="I920" t="s">
        <v>306</v>
      </c>
      <c r="J920" t="s">
        <v>50</v>
      </c>
      <c r="K920" s="3">
        <v>228190.69</v>
      </c>
      <c r="O920" s="4">
        <v>0</v>
      </c>
      <c r="P920" s="3">
        <v>0</v>
      </c>
    </row>
    <row r="921" spans="1:16" ht="15" customHeight="1" x14ac:dyDescent="0.3">
      <c r="A921">
        <v>2020</v>
      </c>
      <c r="B921" s="2">
        <v>43973</v>
      </c>
      <c r="C921" t="s">
        <v>190</v>
      </c>
      <c r="D921" t="s">
        <v>747</v>
      </c>
      <c r="F921" t="s">
        <v>20</v>
      </c>
      <c r="G921" t="s">
        <v>38</v>
      </c>
      <c r="H921" t="s">
        <v>39</v>
      </c>
      <c r="I921" t="s">
        <v>306</v>
      </c>
      <c r="J921" t="s">
        <v>110</v>
      </c>
      <c r="K921" s="3">
        <v>3700</v>
      </c>
      <c r="O921" s="4">
        <v>0</v>
      </c>
      <c r="P921" s="3">
        <v>0</v>
      </c>
    </row>
    <row r="922" spans="1:16" ht="15" customHeight="1" x14ac:dyDescent="0.3">
      <c r="A922">
        <v>2020</v>
      </c>
      <c r="B922" s="2">
        <v>43976</v>
      </c>
      <c r="C922" t="s">
        <v>190</v>
      </c>
      <c r="D922" t="s">
        <v>56</v>
      </c>
      <c r="F922" t="s">
        <v>20</v>
      </c>
      <c r="G922" t="s">
        <v>21</v>
      </c>
      <c r="H922" t="s">
        <v>22</v>
      </c>
      <c r="I922" t="s">
        <v>306</v>
      </c>
      <c r="J922" t="s">
        <v>123</v>
      </c>
      <c r="K922" s="3">
        <v>74000</v>
      </c>
      <c r="O922" s="4">
        <v>0</v>
      </c>
      <c r="P922" s="3">
        <v>0</v>
      </c>
    </row>
    <row r="923" spans="1:16" ht="15" customHeight="1" x14ac:dyDescent="0.3">
      <c r="A923">
        <v>2020</v>
      </c>
      <c r="B923" s="2">
        <v>43984</v>
      </c>
      <c r="C923" t="s">
        <v>218</v>
      </c>
      <c r="D923" t="s">
        <v>45</v>
      </c>
      <c r="F923" t="s">
        <v>20</v>
      </c>
      <c r="G923" t="s">
        <v>38</v>
      </c>
      <c r="H923" t="s">
        <v>39</v>
      </c>
      <c r="I923" t="s">
        <v>49</v>
      </c>
      <c r="J923" t="s">
        <v>50</v>
      </c>
      <c r="K923" s="3">
        <v>4867.8599999999997</v>
      </c>
      <c r="O923" s="4">
        <v>0</v>
      </c>
      <c r="P923" s="3">
        <v>0</v>
      </c>
    </row>
    <row r="924" spans="1:16" ht="15" customHeight="1" x14ac:dyDescent="0.3">
      <c r="A924">
        <v>2020</v>
      </c>
      <c r="B924" s="2">
        <v>43984</v>
      </c>
      <c r="C924" t="s">
        <v>218</v>
      </c>
      <c r="D924" t="s">
        <v>45</v>
      </c>
      <c r="F924" t="s">
        <v>20</v>
      </c>
      <c r="G924" t="s">
        <v>38</v>
      </c>
      <c r="H924" t="s">
        <v>39</v>
      </c>
      <c r="I924" t="s">
        <v>49</v>
      </c>
      <c r="J924" t="s">
        <v>50</v>
      </c>
      <c r="K924" s="3">
        <v>4060.55</v>
      </c>
      <c r="O924" s="4">
        <v>0</v>
      </c>
      <c r="P924" s="3">
        <v>0</v>
      </c>
    </row>
    <row r="925" spans="1:16" ht="15" customHeight="1" x14ac:dyDescent="0.3">
      <c r="A925">
        <v>2020</v>
      </c>
      <c r="B925" s="2">
        <v>43984</v>
      </c>
      <c r="C925" t="s">
        <v>218</v>
      </c>
      <c r="D925" t="s">
        <v>45</v>
      </c>
      <c r="F925" t="s">
        <v>20</v>
      </c>
      <c r="G925" t="s">
        <v>38</v>
      </c>
      <c r="H925" t="s">
        <v>39</v>
      </c>
      <c r="I925" t="s">
        <v>49</v>
      </c>
      <c r="J925" t="s">
        <v>50</v>
      </c>
      <c r="K925" s="3">
        <v>3779.65</v>
      </c>
      <c r="O925" s="4">
        <v>0</v>
      </c>
      <c r="P925" s="3">
        <v>0</v>
      </c>
    </row>
    <row r="926" spans="1:16" ht="15" customHeight="1" x14ac:dyDescent="0.3">
      <c r="A926">
        <v>2020</v>
      </c>
      <c r="B926" s="2">
        <v>43985</v>
      </c>
      <c r="C926" t="s">
        <v>218</v>
      </c>
      <c r="D926" t="s">
        <v>283</v>
      </c>
      <c r="F926" t="s">
        <v>20</v>
      </c>
      <c r="G926" t="s">
        <v>21</v>
      </c>
      <c r="H926" t="s">
        <v>22</v>
      </c>
      <c r="I926" t="s">
        <v>141</v>
      </c>
      <c r="J926" t="s">
        <v>123</v>
      </c>
      <c r="K926" s="3">
        <v>247273.67</v>
      </c>
      <c r="O926" s="4">
        <v>0</v>
      </c>
      <c r="P926" s="3">
        <v>0</v>
      </c>
    </row>
    <row r="927" spans="1:16" ht="15" customHeight="1" x14ac:dyDescent="0.3">
      <c r="A927">
        <v>2020</v>
      </c>
      <c r="B927" s="2">
        <v>43992</v>
      </c>
      <c r="C927" t="s">
        <v>218</v>
      </c>
      <c r="D927" t="s">
        <v>777</v>
      </c>
      <c r="F927" t="s">
        <v>20</v>
      </c>
      <c r="G927" t="s">
        <v>21</v>
      </c>
      <c r="H927" t="s">
        <v>22</v>
      </c>
      <c r="I927" t="s">
        <v>306</v>
      </c>
      <c r="J927" t="s">
        <v>123</v>
      </c>
      <c r="K927" s="3">
        <v>57405.67</v>
      </c>
      <c r="O927" s="4">
        <v>0</v>
      </c>
      <c r="P927" s="3">
        <v>0</v>
      </c>
    </row>
    <row r="928" spans="1:16" ht="15" customHeight="1" x14ac:dyDescent="0.3">
      <c r="A928">
        <v>2020</v>
      </c>
      <c r="B928" s="2">
        <v>43993</v>
      </c>
      <c r="C928" t="s">
        <v>218</v>
      </c>
      <c r="D928" t="s">
        <v>775</v>
      </c>
      <c r="F928" t="s">
        <v>20</v>
      </c>
      <c r="G928" t="s">
        <v>21</v>
      </c>
      <c r="H928" t="s">
        <v>22</v>
      </c>
      <c r="I928" t="s">
        <v>306</v>
      </c>
      <c r="J928" t="s">
        <v>123</v>
      </c>
      <c r="K928" s="3">
        <v>812.5</v>
      </c>
      <c r="O928" s="4">
        <v>0</v>
      </c>
      <c r="P928" s="3">
        <v>0</v>
      </c>
    </row>
    <row r="929" spans="1:16" ht="15" customHeight="1" x14ac:dyDescent="0.3">
      <c r="A929">
        <v>2020</v>
      </c>
      <c r="B929" s="2">
        <v>43993</v>
      </c>
      <c r="C929" t="s">
        <v>218</v>
      </c>
      <c r="D929" t="s">
        <v>675</v>
      </c>
      <c r="F929" t="s">
        <v>20</v>
      </c>
      <c r="G929" t="s">
        <v>38</v>
      </c>
      <c r="H929" t="s">
        <v>147</v>
      </c>
      <c r="I929" t="s">
        <v>306</v>
      </c>
      <c r="J929" t="s">
        <v>50</v>
      </c>
      <c r="K929" s="3">
        <v>15410.5</v>
      </c>
      <c r="O929" s="4">
        <v>0</v>
      </c>
      <c r="P929" s="3">
        <v>0</v>
      </c>
    </row>
    <row r="930" spans="1:16" ht="15" customHeight="1" x14ac:dyDescent="0.3">
      <c r="A930">
        <v>2020</v>
      </c>
      <c r="B930" s="2">
        <v>43993</v>
      </c>
      <c r="C930" t="s">
        <v>218</v>
      </c>
      <c r="D930" t="s">
        <v>675</v>
      </c>
      <c r="F930" t="s">
        <v>20</v>
      </c>
      <c r="G930" t="s">
        <v>38</v>
      </c>
      <c r="H930" t="s">
        <v>147</v>
      </c>
      <c r="I930" t="s">
        <v>306</v>
      </c>
      <c r="J930" t="s">
        <v>50</v>
      </c>
      <c r="K930" s="3">
        <v>15204.73</v>
      </c>
      <c r="O930" s="4">
        <v>0</v>
      </c>
      <c r="P930" s="3">
        <v>0</v>
      </c>
    </row>
    <row r="931" spans="1:16" ht="15" customHeight="1" x14ac:dyDescent="0.3">
      <c r="A931">
        <v>2020</v>
      </c>
      <c r="B931" s="2">
        <v>43997</v>
      </c>
      <c r="C931" t="s">
        <v>218</v>
      </c>
      <c r="D931" t="s">
        <v>155</v>
      </c>
      <c r="F931" t="s">
        <v>20</v>
      </c>
      <c r="G931" t="s">
        <v>38</v>
      </c>
      <c r="H931" t="s">
        <v>39</v>
      </c>
      <c r="I931" t="s">
        <v>23</v>
      </c>
      <c r="J931" t="s">
        <v>766</v>
      </c>
      <c r="K931" s="3">
        <v>1143.75</v>
      </c>
      <c r="O931" s="4">
        <v>0</v>
      </c>
      <c r="P931" s="3">
        <v>0</v>
      </c>
    </row>
    <row r="932" spans="1:16" ht="15" customHeight="1" x14ac:dyDescent="0.3">
      <c r="A932">
        <v>2020</v>
      </c>
      <c r="B932" s="2">
        <v>43997</v>
      </c>
      <c r="C932" t="s">
        <v>218</v>
      </c>
      <c r="D932" t="s">
        <v>700</v>
      </c>
      <c r="F932" t="s">
        <v>20</v>
      </c>
      <c r="G932" t="s">
        <v>38</v>
      </c>
      <c r="H932" t="s">
        <v>39</v>
      </c>
      <c r="I932" t="s">
        <v>23</v>
      </c>
      <c r="J932" t="s">
        <v>766</v>
      </c>
      <c r="K932" s="3">
        <v>2911.86</v>
      </c>
      <c r="O932" s="4">
        <v>0</v>
      </c>
      <c r="P932" s="3">
        <v>0</v>
      </c>
    </row>
    <row r="933" spans="1:16" ht="15" customHeight="1" x14ac:dyDescent="0.3">
      <c r="A933">
        <v>2020</v>
      </c>
      <c r="B933" s="2">
        <v>43997</v>
      </c>
      <c r="C933" t="s">
        <v>218</v>
      </c>
      <c r="D933" t="s">
        <v>675</v>
      </c>
      <c r="F933" t="s">
        <v>20</v>
      </c>
      <c r="G933" t="s">
        <v>38</v>
      </c>
      <c r="H933" t="s">
        <v>147</v>
      </c>
      <c r="I933" t="s">
        <v>306</v>
      </c>
      <c r="J933" t="s">
        <v>50</v>
      </c>
      <c r="K933" s="3">
        <v>20214</v>
      </c>
      <c r="O933" s="4">
        <v>0</v>
      </c>
      <c r="P933" s="3">
        <v>0</v>
      </c>
    </row>
    <row r="934" spans="1:16" ht="15" customHeight="1" x14ac:dyDescent="0.3">
      <c r="A934">
        <v>2020</v>
      </c>
      <c r="B934" s="2">
        <v>43998</v>
      </c>
      <c r="C934" t="s">
        <v>218</v>
      </c>
      <c r="D934" t="s">
        <v>775</v>
      </c>
      <c r="F934" t="s">
        <v>20</v>
      </c>
      <c r="G934" t="s">
        <v>21</v>
      </c>
      <c r="H934" t="s">
        <v>22</v>
      </c>
      <c r="I934" t="s">
        <v>306</v>
      </c>
      <c r="J934" t="s">
        <v>50</v>
      </c>
      <c r="K934" s="3">
        <v>6562.52</v>
      </c>
      <c r="O934" s="4">
        <v>0</v>
      </c>
      <c r="P934" s="3">
        <v>0</v>
      </c>
    </row>
    <row r="935" spans="1:16" ht="15" customHeight="1" x14ac:dyDescent="0.3">
      <c r="A935">
        <v>2020</v>
      </c>
      <c r="B935" s="2">
        <v>43999</v>
      </c>
      <c r="C935" t="s">
        <v>218</v>
      </c>
      <c r="D935" t="s">
        <v>283</v>
      </c>
      <c r="F935" t="s">
        <v>20</v>
      </c>
      <c r="G935" t="s">
        <v>38</v>
      </c>
      <c r="H935" t="s">
        <v>147</v>
      </c>
      <c r="I935" t="s">
        <v>141</v>
      </c>
      <c r="J935" t="s">
        <v>123</v>
      </c>
      <c r="K935" s="3">
        <v>22575.69</v>
      </c>
      <c r="O935" s="4">
        <v>0</v>
      </c>
      <c r="P935" s="3">
        <v>0</v>
      </c>
    </row>
    <row r="936" spans="1:16" ht="15" customHeight="1" x14ac:dyDescent="0.3">
      <c r="A936">
        <v>2020</v>
      </c>
      <c r="B936" s="2">
        <v>43999</v>
      </c>
      <c r="C936" t="s">
        <v>218</v>
      </c>
      <c r="D936" t="s">
        <v>283</v>
      </c>
      <c r="F936" t="s">
        <v>20</v>
      </c>
      <c r="G936" t="s">
        <v>21</v>
      </c>
      <c r="H936" t="s">
        <v>22</v>
      </c>
      <c r="I936" t="s">
        <v>141</v>
      </c>
      <c r="J936" t="s">
        <v>123</v>
      </c>
      <c r="K936" s="3">
        <v>19785</v>
      </c>
      <c r="O936" s="4">
        <v>0</v>
      </c>
      <c r="P936" s="3">
        <v>0</v>
      </c>
    </row>
    <row r="937" spans="1:16" ht="15" customHeight="1" x14ac:dyDescent="0.3">
      <c r="A937">
        <v>2020</v>
      </c>
      <c r="B937" s="2">
        <v>44001</v>
      </c>
      <c r="C937" t="s">
        <v>218</v>
      </c>
      <c r="D937" t="s">
        <v>675</v>
      </c>
      <c r="F937" t="s">
        <v>20</v>
      </c>
      <c r="G937" t="s">
        <v>38</v>
      </c>
      <c r="H937" t="s">
        <v>147</v>
      </c>
      <c r="I937" t="s">
        <v>306</v>
      </c>
      <c r="J937" t="s">
        <v>50</v>
      </c>
      <c r="K937" s="3">
        <v>957.95</v>
      </c>
      <c r="O937" s="4">
        <v>0</v>
      </c>
      <c r="P937" s="3">
        <v>0</v>
      </c>
    </row>
    <row r="938" spans="1:16" ht="15" customHeight="1" x14ac:dyDescent="0.3">
      <c r="A938">
        <v>2020</v>
      </c>
      <c r="B938" s="2">
        <v>44004</v>
      </c>
      <c r="C938" t="s">
        <v>218</v>
      </c>
      <c r="D938" t="s">
        <v>283</v>
      </c>
      <c r="F938" t="s">
        <v>20</v>
      </c>
      <c r="G938" t="s">
        <v>21</v>
      </c>
      <c r="H938" t="s">
        <v>22</v>
      </c>
      <c r="I938" t="s">
        <v>141</v>
      </c>
      <c r="J938" t="s">
        <v>123</v>
      </c>
      <c r="K938" s="3">
        <v>8014.77</v>
      </c>
      <c r="O938" s="4">
        <v>0</v>
      </c>
      <c r="P938" s="3">
        <v>0</v>
      </c>
    </row>
    <row r="939" spans="1:16" ht="15" customHeight="1" x14ac:dyDescent="0.3">
      <c r="A939">
        <v>2020</v>
      </c>
      <c r="B939" s="2">
        <v>44004</v>
      </c>
      <c r="C939" t="s">
        <v>218</v>
      </c>
      <c r="D939" t="s">
        <v>775</v>
      </c>
      <c r="F939" t="s">
        <v>20</v>
      </c>
      <c r="G939" t="s">
        <v>21</v>
      </c>
      <c r="H939" t="s">
        <v>22</v>
      </c>
      <c r="I939" t="s">
        <v>306</v>
      </c>
      <c r="J939" t="s">
        <v>50</v>
      </c>
      <c r="K939" s="3">
        <v>33829.93</v>
      </c>
      <c r="O939" s="4">
        <v>0</v>
      </c>
      <c r="P939" s="3">
        <v>0</v>
      </c>
    </row>
    <row r="940" spans="1:16" ht="15" customHeight="1" x14ac:dyDescent="0.3">
      <c r="A940">
        <v>2020</v>
      </c>
      <c r="B940" s="2">
        <v>44004</v>
      </c>
      <c r="C940" t="s">
        <v>218</v>
      </c>
      <c r="D940" t="s">
        <v>279</v>
      </c>
      <c r="F940" t="s">
        <v>20</v>
      </c>
      <c r="G940" t="s">
        <v>21</v>
      </c>
      <c r="H940" t="s">
        <v>22</v>
      </c>
      <c r="I940" t="s">
        <v>306</v>
      </c>
      <c r="J940" t="s">
        <v>50</v>
      </c>
      <c r="K940" s="3">
        <v>1024.95</v>
      </c>
      <c r="O940" s="4">
        <v>0</v>
      </c>
      <c r="P940" s="3">
        <v>0</v>
      </c>
    </row>
    <row r="941" spans="1:16" ht="15" customHeight="1" x14ac:dyDescent="0.3">
      <c r="A941">
        <v>2020</v>
      </c>
      <c r="B941" s="2">
        <v>44004</v>
      </c>
      <c r="C941" t="s">
        <v>218</v>
      </c>
      <c r="D941" t="s">
        <v>279</v>
      </c>
      <c r="F941" t="s">
        <v>20</v>
      </c>
      <c r="G941" t="s">
        <v>21</v>
      </c>
      <c r="H941" t="s">
        <v>22</v>
      </c>
      <c r="I941" t="s">
        <v>306</v>
      </c>
      <c r="J941" t="s">
        <v>50</v>
      </c>
      <c r="K941" s="3">
        <v>230.4</v>
      </c>
      <c r="O941" s="4">
        <v>0</v>
      </c>
      <c r="P941" s="3">
        <v>0</v>
      </c>
    </row>
    <row r="942" spans="1:16" ht="15" customHeight="1" x14ac:dyDescent="0.3">
      <c r="A942">
        <v>2020</v>
      </c>
      <c r="B942" s="2">
        <v>44005</v>
      </c>
      <c r="C942" t="s">
        <v>218</v>
      </c>
      <c r="D942" t="s">
        <v>279</v>
      </c>
      <c r="F942" t="s">
        <v>20</v>
      </c>
      <c r="G942" t="s">
        <v>21</v>
      </c>
      <c r="H942" t="s">
        <v>22</v>
      </c>
      <c r="I942" t="s">
        <v>306</v>
      </c>
      <c r="J942" t="s">
        <v>50</v>
      </c>
      <c r="K942" s="3">
        <v>1665.22</v>
      </c>
      <c r="O942" s="4">
        <v>0</v>
      </c>
      <c r="P942" s="3">
        <v>0</v>
      </c>
    </row>
    <row r="943" spans="1:16" ht="15" customHeight="1" x14ac:dyDescent="0.3">
      <c r="A943">
        <v>2020</v>
      </c>
      <c r="B943" s="2">
        <v>44007</v>
      </c>
      <c r="C943" t="s">
        <v>218</v>
      </c>
      <c r="D943" t="s">
        <v>774</v>
      </c>
      <c r="F943" t="s">
        <v>20</v>
      </c>
      <c r="G943" t="s">
        <v>38</v>
      </c>
      <c r="H943" t="s">
        <v>147</v>
      </c>
      <c r="I943" t="s">
        <v>306</v>
      </c>
      <c r="J943" t="s">
        <v>50</v>
      </c>
      <c r="K943" s="3">
        <v>5208.41</v>
      </c>
      <c r="O943" s="4">
        <v>0</v>
      </c>
      <c r="P943" s="3">
        <v>0</v>
      </c>
    </row>
    <row r="944" spans="1:16" ht="15" customHeight="1" x14ac:dyDescent="0.3">
      <c r="A944">
        <v>2020</v>
      </c>
      <c r="B944" s="2">
        <v>44008</v>
      </c>
      <c r="C944" t="s">
        <v>218</v>
      </c>
      <c r="D944" t="s">
        <v>748</v>
      </c>
      <c r="F944" t="s">
        <v>20</v>
      </c>
      <c r="G944" t="s">
        <v>21</v>
      </c>
      <c r="H944" t="s">
        <v>22</v>
      </c>
      <c r="I944" t="s">
        <v>141</v>
      </c>
      <c r="J944" t="s">
        <v>123</v>
      </c>
      <c r="K944" s="3">
        <v>16778.36</v>
      </c>
      <c r="O944" s="4">
        <v>0</v>
      </c>
      <c r="P944" s="3">
        <v>0</v>
      </c>
    </row>
    <row r="945" spans="1:16" ht="15" customHeight="1" x14ac:dyDescent="0.3">
      <c r="A945">
        <v>2020</v>
      </c>
      <c r="B945" s="2">
        <v>44012</v>
      </c>
      <c r="C945" t="s">
        <v>218</v>
      </c>
      <c r="D945" t="s">
        <v>155</v>
      </c>
      <c r="F945" t="s">
        <v>20</v>
      </c>
      <c r="G945" t="s">
        <v>38</v>
      </c>
      <c r="H945" t="s">
        <v>39</v>
      </c>
      <c r="I945" t="s">
        <v>23</v>
      </c>
      <c r="J945" t="s">
        <v>766</v>
      </c>
      <c r="K945" s="3">
        <v>540</v>
      </c>
      <c r="O945" s="4">
        <v>0</v>
      </c>
      <c r="P945" s="3">
        <v>0</v>
      </c>
    </row>
    <row r="946" spans="1:16" ht="15" customHeight="1" x14ac:dyDescent="0.3">
      <c r="A946">
        <v>2020</v>
      </c>
      <c r="B946" s="2">
        <v>44012</v>
      </c>
      <c r="C946" t="s">
        <v>218</v>
      </c>
      <c r="D946" t="s">
        <v>283</v>
      </c>
      <c r="F946" t="s">
        <v>20</v>
      </c>
      <c r="G946" t="s">
        <v>21</v>
      </c>
      <c r="H946" t="s">
        <v>22</v>
      </c>
      <c r="I946" t="s">
        <v>141</v>
      </c>
      <c r="J946" t="s">
        <v>123</v>
      </c>
      <c r="K946" s="3">
        <v>47914.52</v>
      </c>
      <c r="O946" s="4">
        <v>0</v>
      </c>
      <c r="P946" s="3">
        <v>0</v>
      </c>
    </row>
    <row r="947" spans="1:16" ht="15" customHeight="1" x14ac:dyDescent="0.3">
      <c r="A947">
        <v>2020</v>
      </c>
      <c r="B947" s="2">
        <v>44015</v>
      </c>
      <c r="C947" t="s">
        <v>262</v>
      </c>
      <c r="D947" t="s">
        <v>45</v>
      </c>
      <c r="F947" t="s">
        <v>20</v>
      </c>
      <c r="G947" t="s">
        <v>38</v>
      </c>
      <c r="H947" t="s">
        <v>39</v>
      </c>
      <c r="I947" t="s">
        <v>23</v>
      </c>
      <c r="J947" t="s">
        <v>766</v>
      </c>
      <c r="K947" s="3">
        <v>3996.6</v>
      </c>
      <c r="O947" s="4">
        <v>0</v>
      </c>
      <c r="P947" s="3">
        <v>0</v>
      </c>
    </row>
    <row r="948" spans="1:16" ht="15" customHeight="1" x14ac:dyDescent="0.3">
      <c r="A948">
        <v>2020</v>
      </c>
      <c r="B948" s="2">
        <v>44018</v>
      </c>
      <c r="C948" t="s">
        <v>262</v>
      </c>
      <c r="D948" t="s">
        <v>775</v>
      </c>
      <c r="F948" t="s">
        <v>20</v>
      </c>
      <c r="G948" t="s">
        <v>21</v>
      </c>
      <c r="H948" t="s">
        <v>22</v>
      </c>
      <c r="I948" t="s">
        <v>306</v>
      </c>
      <c r="J948" t="s">
        <v>50</v>
      </c>
      <c r="K948" s="3">
        <v>3274.29</v>
      </c>
      <c r="O948" s="4">
        <v>0</v>
      </c>
      <c r="P948" s="3">
        <v>0</v>
      </c>
    </row>
    <row r="949" spans="1:16" ht="15" customHeight="1" x14ac:dyDescent="0.3">
      <c r="A949">
        <v>2020</v>
      </c>
      <c r="B949" s="2">
        <v>44018</v>
      </c>
      <c r="C949" t="s">
        <v>262</v>
      </c>
      <c r="D949" t="s">
        <v>775</v>
      </c>
      <c r="F949" t="s">
        <v>20</v>
      </c>
      <c r="G949" t="s">
        <v>21</v>
      </c>
      <c r="H949" t="s">
        <v>22</v>
      </c>
      <c r="I949" t="s">
        <v>306</v>
      </c>
      <c r="J949" t="s">
        <v>50</v>
      </c>
      <c r="K949" s="3">
        <v>2465.71</v>
      </c>
      <c r="O949" s="4">
        <v>0</v>
      </c>
      <c r="P949" s="3">
        <v>0</v>
      </c>
    </row>
    <row r="950" spans="1:16" ht="15" customHeight="1" x14ac:dyDescent="0.3">
      <c r="A950">
        <v>2020</v>
      </c>
      <c r="B950" s="2">
        <v>44020</v>
      </c>
      <c r="C950" t="s">
        <v>262</v>
      </c>
      <c r="D950" t="s">
        <v>772</v>
      </c>
      <c r="F950" t="s">
        <v>20</v>
      </c>
      <c r="G950" t="s">
        <v>107</v>
      </c>
      <c r="H950" t="s">
        <v>108</v>
      </c>
      <c r="I950" t="s">
        <v>23</v>
      </c>
      <c r="J950" t="s">
        <v>123</v>
      </c>
      <c r="K950" s="3">
        <v>23900</v>
      </c>
      <c r="O950" s="4">
        <v>0</v>
      </c>
      <c r="P950" s="3">
        <v>0</v>
      </c>
    </row>
    <row r="951" spans="1:16" ht="15" customHeight="1" x14ac:dyDescent="0.3">
      <c r="A951">
        <v>2020</v>
      </c>
      <c r="B951" s="2">
        <v>44021</v>
      </c>
      <c r="C951" t="s">
        <v>262</v>
      </c>
      <c r="D951" t="s">
        <v>32</v>
      </c>
      <c r="F951" t="s">
        <v>20</v>
      </c>
      <c r="G951" t="s">
        <v>21</v>
      </c>
      <c r="H951" t="s">
        <v>22</v>
      </c>
      <c r="I951" t="s">
        <v>141</v>
      </c>
      <c r="J951" t="s">
        <v>123</v>
      </c>
      <c r="K951" s="3">
        <v>12307.9</v>
      </c>
      <c r="O951" s="4">
        <v>0</v>
      </c>
      <c r="P951" s="3">
        <v>0</v>
      </c>
    </row>
    <row r="952" spans="1:16" ht="15" customHeight="1" x14ac:dyDescent="0.3">
      <c r="A952">
        <v>2020</v>
      </c>
      <c r="B952" s="2">
        <v>44026</v>
      </c>
      <c r="C952" t="s">
        <v>262</v>
      </c>
      <c r="D952" t="s">
        <v>778</v>
      </c>
      <c r="F952" t="s">
        <v>20</v>
      </c>
      <c r="G952" t="s">
        <v>107</v>
      </c>
      <c r="H952" t="s">
        <v>108</v>
      </c>
      <c r="I952" t="s">
        <v>23</v>
      </c>
      <c r="J952" t="s">
        <v>766</v>
      </c>
      <c r="K952" s="3">
        <v>1782.38</v>
      </c>
      <c r="O952" s="4">
        <v>0</v>
      </c>
      <c r="P952" s="3">
        <v>0</v>
      </c>
    </row>
    <row r="953" spans="1:16" ht="15" customHeight="1" x14ac:dyDescent="0.3">
      <c r="A953">
        <v>2020</v>
      </c>
      <c r="B953" s="2">
        <v>44026</v>
      </c>
      <c r="C953" t="s">
        <v>262</v>
      </c>
      <c r="D953" t="s">
        <v>774</v>
      </c>
      <c r="F953" t="s">
        <v>20</v>
      </c>
      <c r="G953" t="s">
        <v>38</v>
      </c>
      <c r="H953" t="s">
        <v>147</v>
      </c>
      <c r="I953" t="s">
        <v>306</v>
      </c>
      <c r="J953" t="s">
        <v>50</v>
      </c>
      <c r="K953" s="3">
        <v>90000</v>
      </c>
      <c r="O953" s="4">
        <v>0</v>
      </c>
      <c r="P953" s="3">
        <v>0</v>
      </c>
    </row>
    <row r="954" spans="1:16" ht="15" customHeight="1" x14ac:dyDescent="0.3">
      <c r="A954">
        <v>2020</v>
      </c>
      <c r="B954" s="2">
        <v>44029</v>
      </c>
      <c r="C954" t="s">
        <v>262</v>
      </c>
      <c r="D954" t="s">
        <v>775</v>
      </c>
      <c r="F954" t="s">
        <v>20</v>
      </c>
      <c r="G954" t="s">
        <v>21</v>
      </c>
      <c r="H954" t="s">
        <v>22</v>
      </c>
      <c r="I954" t="s">
        <v>306</v>
      </c>
      <c r="J954" t="s">
        <v>50</v>
      </c>
      <c r="K954" s="3">
        <v>2256</v>
      </c>
      <c r="O954" s="4">
        <v>0</v>
      </c>
      <c r="P954" s="3">
        <v>0</v>
      </c>
    </row>
    <row r="955" spans="1:16" ht="15" customHeight="1" x14ac:dyDescent="0.3">
      <c r="A955">
        <v>2020</v>
      </c>
      <c r="B955" s="2">
        <v>44032</v>
      </c>
      <c r="C955" t="s">
        <v>262</v>
      </c>
      <c r="D955" t="s">
        <v>775</v>
      </c>
      <c r="F955" t="s">
        <v>20</v>
      </c>
      <c r="G955" t="s">
        <v>21</v>
      </c>
      <c r="H955" t="s">
        <v>22</v>
      </c>
      <c r="I955" t="s">
        <v>306</v>
      </c>
      <c r="J955" t="s">
        <v>50</v>
      </c>
      <c r="K955" s="3">
        <v>3719.98</v>
      </c>
      <c r="O955" s="4">
        <v>0</v>
      </c>
      <c r="P955" s="3">
        <v>0</v>
      </c>
    </row>
    <row r="956" spans="1:16" ht="15" customHeight="1" x14ac:dyDescent="0.3">
      <c r="A956">
        <v>2020</v>
      </c>
      <c r="B956" s="2">
        <v>44033</v>
      </c>
      <c r="C956" t="s">
        <v>262</v>
      </c>
      <c r="D956" t="s">
        <v>534</v>
      </c>
      <c r="F956" t="s">
        <v>20</v>
      </c>
      <c r="G956" t="s">
        <v>21</v>
      </c>
      <c r="H956" t="s">
        <v>22</v>
      </c>
      <c r="I956" t="s">
        <v>23</v>
      </c>
      <c r="J956" t="s">
        <v>123</v>
      </c>
      <c r="K956" s="3">
        <v>247.5</v>
      </c>
      <c r="O956" s="4">
        <v>0</v>
      </c>
      <c r="P956" s="3">
        <v>0</v>
      </c>
    </row>
    <row r="957" spans="1:16" ht="15" customHeight="1" x14ac:dyDescent="0.3">
      <c r="A957">
        <v>2020</v>
      </c>
      <c r="B957" s="2">
        <v>44036</v>
      </c>
      <c r="C957" t="s">
        <v>262</v>
      </c>
      <c r="D957" t="s">
        <v>30</v>
      </c>
      <c r="F957" t="s">
        <v>20</v>
      </c>
      <c r="G957" t="s">
        <v>21</v>
      </c>
      <c r="H957" t="s">
        <v>22</v>
      </c>
      <c r="I957" t="s">
        <v>23</v>
      </c>
      <c r="J957" t="s">
        <v>50</v>
      </c>
      <c r="K957" s="3">
        <v>148654.14000000001</v>
      </c>
      <c r="O957" s="4">
        <v>0</v>
      </c>
      <c r="P957" s="3">
        <v>0</v>
      </c>
    </row>
    <row r="958" spans="1:16" ht="15" customHeight="1" x14ac:dyDescent="0.3">
      <c r="A958">
        <v>2020</v>
      </c>
      <c r="B958" s="2">
        <v>44036</v>
      </c>
      <c r="C958" t="s">
        <v>262</v>
      </c>
      <c r="D958" t="s">
        <v>779</v>
      </c>
      <c r="F958" t="s">
        <v>20</v>
      </c>
      <c r="G958" t="s">
        <v>38</v>
      </c>
      <c r="H958" t="s">
        <v>89</v>
      </c>
      <c r="I958" t="s">
        <v>136</v>
      </c>
      <c r="J958" t="s">
        <v>50</v>
      </c>
      <c r="K958" s="3">
        <v>3684615.22</v>
      </c>
      <c r="O958" s="4">
        <v>0</v>
      </c>
      <c r="P958" s="3">
        <v>0</v>
      </c>
    </row>
    <row r="959" spans="1:16" ht="15" customHeight="1" x14ac:dyDescent="0.3">
      <c r="A959">
        <v>2020</v>
      </c>
      <c r="B959" s="2">
        <v>44039</v>
      </c>
      <c r="C959" t="s">
        <v>262</v>
      </c>
      <c r="D959" t="s">
        <v>279</v>
      </c>
      <c r="F959" t="s">
        <v>20</v>
      </c>
      <c r="G959" t="s">
        <v>21</v>
      </c>
      <c r="H959" t="s">
        <v>22</v>
      </c>
      <c r="I959" t="s">
        <v>23</v>
      </c>
      <c r="J959" t="s">
        <v>50</v>
      </c>
      <c r="K959" s="3">
        <v>1091.95</v>
      </c>
      <c r="O959" s="4">
        <v>0</v>
      </c>
      <c r="P959" s="3">
        <v>0</v>
      </c>
    </row>
    <row r="960" spans="1:16" ht="15" customHeight="1" x14ac:dyDescent="0.3">
      <c r="A960">
        <v>2020</v>
      </c>
      <c r="B960" s="2">
        <v>44042</v>
      </c>
      <c r="C960" t="s">
        <v>262</v>
      </c>
      <c r="D960" t="s">
        <v>775</v>
      </c>
      <c r="F960" t="s">
        <v>20</v>
      </c>
      <c r="G960" t="s">
        <v>21</v>
      </c>
      <c r="H960" t="s">
        <v>22</v>
      </c>
      <c r="I960" t="s">
        <v>306</v>
      </c>
      <c r="J960" t="s">
        <v>50</v>
      </c>
      <c r="K960" s="3">
        <v>9715</v>
      </c>
      <c r="O960" s="4">
        <v>0</v>
      </c>
      <c r="P960" s="3">
        <v>0</v>
      </c>
    </row>
    <row r="961" spans="1:16" ht="15" customHeight="1" x14ac:dyDescent="0.3">
      <c r="A961">
        <v>2020</v>
      </c>
      <c r="B961" s="2">
        <v>44042</v>
      </c>
      <c r="C961" t="s">
        <v>262</v>
      </c>
      <c r="D961" t="s">
        <v>775</v>
      </c>
      <c r="F961" t="s">
        <v>20</v>
      </c>
      <c r="G961" t="s">
        <v>21</v>
      </c>
      <c r="H961" t="s">
        <v>22</v>
      </c>
      <c r="I961" t="s">
        <v>306</v>
      </c>
      <c r="J961" t="s">
        <v>50</v>
      </c>
      <c r="K961" s="3">
        <v>6488.8</v>
      </c>
      <c r="O961" s="4">
        <v>0</v>
      </c>
      <c r="P961" s="3">
        <v>0</v>
      </c>
    </row>
    <row r="962" spans="1:16" ht="15" customHeight="1" x14ac:dyDescent="0.3">
      <c r="A962">
        <v>2020</v>
      </c>
      <c r="B962" s="2">
        <v>44043</v>
      </c>
      <c r="C962" t="s">
        <v>262</v>
      </c>
      <c r="D962" t="s">
        <v>283</v>
      </c>
      <c r="F962" t="s">
        <v>20</v>
      </c>
      <c r="G962" t="s">
        <v>21</v>
      </c>
      <c r="H962" t="s">
        <v>22</v>
      </c>
      <c r="I962" t="s">
        <v>141</v>
      </c>
      <c r="J962" t="s">
        <v>123</v>
      </c>
      <c r="K962" s="3">
        <v>19774.060000000001</v>
      </c>
      <c r="O962" s="4">
        <v>0</v>
      </c>
      <c r="P962" s="3">
        <v>0</v>
      </c>
    </row>
    <row r="963" spans="1:16" ht="15" customHeight="1" x14ac:dyDescent="0.3">
      <c r="A963">
        <v>2020</v>
      </c>
      <c r="B963" s="2">
        <v>44043</v>
      </c>
      <c r="C963" t="s">
        <v>262</v>
      </c>
      <c r="D963" t="s">
        <v>59</v>
      </c>
      <c r="F963" t="s">
        <v>20</v>
      </c>
      <c r="G963" t="s">
        <v>21</v>
      </c>
      <c r="H963" t="s">
        <v>22</v>
      </c>
      <c r="I963" t="s">
        <v>141</v>
      </c>
      <c r="J963" t="s">
        <v>50</v>
      </c>
      <c r="K963" s="3">
        <v>559972.47</v>
      </c>
      <c r="O963" s="4">
        <v>0</v>
      </c>
      <c r="P963" s="3">
        <v>0</v>
      </c>
    </row>
    <row r="964" spans="1:16" ht="15" customHeight="1" x14ac:dyDescent="0.3">
      <c r="A964">
        <v>2020</v>
      </c>
      <c r="B964" s="2">
        <v>44043</v>
      </c>
      <c r="C964" t="s">
        <v>262</v>
      </c>
      <c r="D964" t="s">
        <v>769</v>
      </c>
      <c r="F964" t="s">
        <v>20</v>
      </c>
      <c r="G964" t="s">
        <v>21</v>
      </c>
      <c r="H964" t="s">
        <v>101</v>
      </c>
      <c r="I964" t="s">
        <v>141</v>
      </c>
      <c r="J964" t="s">
        <v>123</v>
      </c>
      <c r="K964" s="3">
        <v>558869.05000000005</v>
      </c>
      <c r="O964" s="4">
        <v>0</v>
      </c>
      <c r="P964" s="3">
        <v>0</v>
      </c>
    </row>
    <row r="965" spans="1:16" ht="15" customHeight="1" x14ac:dyDescent="0.3">
      <c r="A965">
        <v>2020</v>
      </c>
      <c r="B965" s="2">
        <v>44050</v>
      </c>
      <c r="C965" t="s">
        <v>291</v>
      </c>
      <c r="D965" t="s">
        <v>778</v>
      </c>
      <c r="F965" t="s">
        <v>20</v>
      </c>
      <c r="G965" t="s">
        <v>107</v>
      </c>
      <c r="H965" t="s">
        <v>108</v>
      </c>
      <c r="I965" t="s">
        <v>23</v>
      </c>
      <c r="J965" t="s">
        <v>766</v>
      </c>
      <c r="K965" s="3">
        <v>3418.75</v>
      </c>
      <c r="O965" s="4">
        <v>0</v>
      </c>
      <c r="P965" s="3">
        <v>0</v>
      </c>
    </row>
    <row r="966" spans="1:16" ht="15" customHeight="1" x14ac:dyDescent="0.3">
      <c r="A966">
        <v>2020</v>
      </c>
      <c r="B966" s="2">
        <v>44050</v>
      </c>
      <c r="C966" t="s">
        <v>291</v>
      </c>
      <c r="D966" t="s">
        <v>768</v>
      </c>
      <c r="F966" t="s">
        <v>20</v>
      </c>
      <c r="G966" t="s">
        <v>38</v>
      </c>
      <c r="H966" t="s">
        <v>39</v>
      </c>
      <c r="I966" t="s">
        <v>141</v>
      </c>
      <c r="J966" t="s">
        <v>123</v>
      </c>
      <c r="K966" s="3">
        <v>254237.3</v>
      </c>
      <c r="O966" s="4">
        <v>0</v>
      </c>
      <c r="P966" s="3">
        <v>0</v>
      </c>
    </row>
    <row r="967" spans="1:16" ht="15" customHeight="1" x14ac:dyDescent="0.3">
      <c r="A967">
        <v>2020</v>
      </c>
      <c r="B967" s="2">
        <v>44053</v>
      </c>
      <c r="C967" t="s">
        <v>291</v>
      </c>
      <c r="D967" t="s">
        <v>520</v>
      </c>
      <c r="E967" t="s">
        <v>542</v>
      </c>
      <c r="F967" t="s">
        <v>20</v>
      </c>
      <c r="G967" t="s">
        <v>107</v>
      </c>
      <c r="H967" t="s">
        <v>522</v>
      </c>
      <c r="I967" t="s">
        <v>23</v>
      </c>
      <c r="J967" t="s">
        <v>766</v>
      </c>
      <c r="K967" s="3">
        <v>1849.04</v>
      </c>
      <c r="O967" s="4">
        <v>0</v>
      </c>
      <c r="P967" s="3">
        <v>0</v>
      </c>
    </row>
    <row r="968" spans="1:16" ht="15" customHeight="1" x14ac:dyDescent="0.3">
      <c r="A968">
        <v>2020</v>
      </c>
      <c r="B968" s="2">
        <v>44055</v>
      </c>
      <c r="C968" t="s">
        <v>291</v>
      </c>
      <c r="D968" t="s">
        <v>775</v>
      </c>
      <c r="F968" t="s">
        <v>20</v>
      </c>
      <c r="G968" t="s">
        <v>21</v>
      </c>
      <c r="H968" t="s">
        <v>22</v>
      </c>
      <c r="I968" t="s">
        <v>306</v>
      </c>
      <c r="J968" t="s">
        <v>50</v>
      </c>
      <c r="K968" s="3">
        <v>3689.5</v>
      </c>
      <c r="O968" s="4">
        <v>0</v>
      </c>
      <c r="P968" s="3">
        <v>0</v>
      </c>
    </row>
    <row r="969" spans="1:16" ht="15" customHeight="1" x14ac:dyDescent="0.3">
      <c r="A969">
        <v>2020</v>
      </c>
      <c r="B969" s="2">
        <v>44055</v>
      </c>
      <c r="C969" t="s">
        <v>291</v>
      </c>
      <c r="D969" t="s">
        <v>364</v>
      </c>
      <c r="F969" t="s">
        <v>20</v>
      </c>
      <c r="G969" t="s">
        <v>21</v>
      </c>
      <c r="H969" t="s">
        <v>101</v>
      </c>
      <c r="I969" t="s">
        <v>23</v>
      </c>
      <c r="J969" t="s">
        <v>766</v>
      </c>
      <c r="K969" s="3">
        <v>3527.8</v>
      </c>
      <c r="O969" s="4">
        <v>0</v>
      </c>
      <c r="P969" s="3">
        <v>0</v>
      </c>
    </row>
    <row r="970" spans="1:16" ht="15" customHeight="1" x14ac:dyDescent="0.3">
      <c r="A970">
        <v>2020</v>
      </c>
      <c r="B970" s="2">
        <v>44057</v>
      </c>
      <c r="C970" t="s">
        <v>291</v>
      </c>
      <c r="D970" t="s">
        <v>675</v>
      </c>
      <c r="F970" t="s">
        <v>20</v>
      </c>
      <c r="G970" t="s">
        <v>38</v>
      </c>
      <c r="H970" t="s">
        <v>147</v>
      </c>
      <c r="I970" t="s">
        <v>306</v>
      </c>
      <c r="J970" t="s">
        <v>50</v>
      </c>
      <c r="K970" s="3">
        <v>136388.1</v>
      </c>
      <c r="O970" s="4">
        <v>0</v>
      </c>
      <c r="P970" s="3">
        <v>0</v>
      </c>
    </row>
    <row r="971" spans="1:16" ht="15" customHeight="1" x14ac:dyDescent="0.3">
      <c r="A971">
        <v>2020</v>
      </c>
      <c r="B971" s="2">
        <v>44061</v>
      </c>
      <c r="C971" t="s">
        <v>291</v>
      </c>
      <c r="D971" t="s">
        <v>36</v>
      </c>
      <c r="F971" t="s">
        <v>20</v>
      </c>
      <c r="G971" t="s">
        <v>38</v>
      </c>
      <c r="H971" t="s">
        <v>39</v>
      </c>
      <c r="I971" t="s">
        <v>141</v>
      </c>
      <c r="J971" t="s">
        <v>123</v>
      </c>
      <c r="K971" s="3">
        <v>474996.74</v>
      </c>
      <c r="O971" s="4">
        <v>0</v>
      </c>
      <c r="P971" s="3">
        <v>0</v>
      </c>
    </row>
    <row r="972" spans="1:16" ht="15" customHeight="1" x14ac:dyDescent="0.3">
      <c r="A972">
        <v>2020</v>
      </c>
      <c r="B972" s="2">
        <v>44062</v>
      </c>
      <c r="C972" t="s">
        <v>291</v>
      </c>
      <c r="D972" t="s">
        <v>205</v>
      </c>
      <c r="F972" t="s">
        <v>20</v>
      </c>
      <c r="G972" t="s">
        <v>21</v>
      </c>
      <c r="H972" t="s">
        <v>22</v>
      </c>
      <c r="I972" t="s">
        <v>23</v>
      </c>
      <c r="J972" t="s">
        <v>123</v>
      </c>
      <c r="K972" s="3">
        <v>16737.490000000002</v>
      </c>
      <c r="O972" s="4">
        <v>0</v>
      </c>
      <c r="P972" s="3">
        <v>0</v>
      </c>
    </row>
    <row r="973" spans="1:16" ht="15" customHeight="1" x14ac:dyDescent="0.3">
      <c r="A973">
        <v>2020</v>
      </c>
      <c r="B973" s="2">
        <v>44063</v>
      </c>
      <c r="C973" t="s">
        <v>291</v>
      </c>
      <c r="D973" t="s">
        <v>155</v>
      </c>
      <c r="F973" t="s">
        <v>20</v>
      </c>
      <c r="G973" t="s">
        <v>38</v>
      </c>
      <c r="H973" t="s">
        <v>39</v>
      </c>
      <c r="I973" t="s">
        <v>23</v>
      </c>
      <c r="J973" t="s">
        <v>766</v>
      </c>
      <c r="K973" s="3">
        <v>500</v>
      </c>
      <c r="O973" s="4">
        <v>0</v>
      </c>
      <c r="P973" s="3">
        <v>0</v>
      </c>
    </row>
    <row r="974" spans="1:16" ht="15" customHeight="1" x14ac:dyDescent="0.3">
      <c r="A974">
        <v>2020</v>
      </c>
      <c r="B974" s="2">
        <v>44063</v>
      </c>
      <c r="C974" t="s">
        <v>291</v>
      </c>
      <c r="D974" t="s">
        <v>36</v>
      </c>
      <c r="F974" t="s">
        <v>20</v>
      </c>
      <c r="G974" t="s">
        <v>38</v>
      </c>
      <c r="H974" t="s">
        <v>39</v>
      </c>
      <c r="I974" t="s">
        <v>23</v>
      </c>
      <c r="J974" t="s">
        <v>123</v>
      </c>
      <c r="K974" s="3">
        <v>8837.11</v>
      </c>
      <c r="O974" s="4">
        <v>0</v>
      </c>
      <c r="P974" s="3">
        <v>0</v>
      </c>
    </row>
    <row r="975" spans="1:16" ht="15" customHeight="1" x14ac:dyDescent="0.3">
      <c r="A975">
        <v>2020</v>
      </c>
      <c r="B975" s="2">
        <v>44067</v>
      </c>
      <c r="C975" t="s">
        <v>291</v>
      </c>
      <c r="D975" t="s">
        <v>40</v>
      </c>
      <c r="F975" t="s">
        <v>20</v>
      </c>
      <c r="G975" t="s">
        <v>21</v>
      </c>
      <c r="H975" t="s">
        <v>22</v>
      </c>
      <c r="I975" t="s">
        <v>49</v>
      </c>
      <c r="J975" t="s">
        <v>123</v>
      </c>
      <c r="K975" s="3">
        <v>422977.2</v>
      </c>
      <c r="O975" s="4">
        <v>0</v>
      </c>
      <c r="P975" s="3">
        <v>0</v>
      </c>
    </row>
    <row r="976" spans="1:16" ht="15" customHeight="1" x14ac:dyDescent="0.3">
      <c r="A976">
        <v>2020</v>
      </c>
      <c r="B976" s="2">
        <v>44068</v>
      </c>
      <c r="C976" t="s">
        <v>291</v>
      </c>
      <c r="D976" t="s">
        <v>775</v>
      </c>
      <c r="F976" t="s">
        <v>20</v>
      </c>
      <c r="G976" t="s">
        <v>21</v>
      </c>
      <c r="H976" t="s">
        <v>22</v>
      </c>
      <c r="I976" t="s">
        <v>306</v>
      </c>
      <c r="J976" t="s">
        <v>50</v>
      </c>
      <c r="K976" s="3">
        <v>4008.33</v>
      </c>
      <c r="O976" s="4">
        <v>0</v>
      </c>
      <c r="P976" s="3">
        <v>0</v>
      </c>
    </row>
    <row r="977" spans="1:16" ht="15" customHeight="1" x14ac:dyDescent="0.3">
      <c r="A977">
        <v>2020</v>
      </c>
      <c r="B977" s="2">
        <v>44068</v>
      </c>
      <c r="C977" t="s">
        <v>291</v>
      </c>
      <c r="D977" t="s">
        <v>775</v>
      </c>
      <c r="F977" t="s">
        <v>20</v>
      </c>
      <c r="G977" t="s">
        <v>21</v>
      </c>
      <c r="H977" t="s">
        <v>22</v>
      </c>
      <c r="I977" t="s">
        <v>306</v>
      </c>
      <c r="J977" t="s">
        <v>50</v>
      </c>
      <c r="K977" s="3">
        <v>18408.400000000001</v>
      </c>
      <c r="O977" s="4">
        <v>0</v>
      </c>
      <c r="P977" s="3">
        <v>0</v>
      </c>
    </row>
    <row r="978" spans="1:16" ht="15" customHeight="1" x14ac:dyDescent="0.3">
      <c r="A978">
        <v>2020</v>
      </c>
      <c r="B978" s="2">
        <v>44075</v>
      </c>
      <c r="C978" t="s">
        <v>325</v>
      </c>
      <c r="D978" t="s">
        <v>780</v>
      </c>
      <c r="F978" t="s">
        <v>20</v>
      </c>
      <c r="G978" t="s">
        <v>21</v>
      </c>
      <c r="H978" t="s">
        <v>22</v>
      </c>
      <c r="I978" t="s">
        <v>136</v>
      </c>
      <c r="J978" t="s">
        <v>50</v>
      </c>
      <c r="K978" s="3">
        <v>7340.75</v>
      </c>
      <c r="O978" s="4">
        <v>0</v>
      </c>
      <c r="P978" s="3">
        <v>0</v>
      </c>
    </row>
    <row r="979" spans="1:16" ht="15" customHeight="1" x14ac:dyDescent="0.3">
      <c r="A979">
        <v>2020</v>
      </c>
      <c r="B979" s="2">
        <v>44077</v>
      </c>
      <c r="C979" t="s">
        <v>325</v>
      </c>
      <c r="D979" t="s">
        <v>675</v>
      </c>
      <c r="F979" t="s">
        <v>20</v>
      </c>
      <c r="G979" t="s">
        <v>38</v>
      </c>
      <c r="H979" t="s">
        <v>147</v>
      </c>
      <c r="I979" t="s">
        <v>306</v>
      </c>
      <c r="J979" t="s">
        <v>50</v>
      </c>
      <c r="K979" s="3">
        <v>14050</v>
      </c>
      <c r="O979" s="4">
        <v>0</v>
      </c>
      <c r="P979" s="3">
        <v>0</v>
      </c>
    </row>
    <row r="980" spans="1:16" ht="15" customHeight="1" x14ac:dyDescent="0.3">
      <c r="A980">
        <v>2020</v>
      </c>
      <c r="B980" s="2">
        <v>44078</v>
      </c>
      <c r="C980" t="s">
        <v>325</v>
      </c>
      <c r="D980" t="s">
        <v>601</v>
      </c>
      <c r="F980" t="s">
        <v>20</v>
      </c>
      <c r="G980" t="s">
        <v>107</v>
      </c>
      <c r="H980" t="s">
        <v>603</v>
      </c>
      <c r="I980" t="s">
        <v>141</v>
      </c>
      <c r="J980" t="s">
        <v>123</v>
      </c>
      <c r="K980" s="3">
        <v>29963.9</v>
      </c>
      <c r="O980" s="4">
        <v>0</v>
      </c>
      <c r="P980" s="3">
        <v>0</v>
      </c>
    </row>
    <row r="981" spans="1:16" ht="15" customHeight="1" x14ac:dyDescent="0.3">
      <c r="A981">
        <v>2020</v>
      </c>
      <c r="B981" s="2">
        <v>44085</v>
      </c>
      <c r="C981" t="s">
        <v>325</v>
      </c>
      <c r="D981" t="s">
        <v>36</v>
      </c>
      <c r="F981" t="s">
        <v>20</v>
      </c>
      <c r="G981" t="s">
        <v>38</v>
      </c>
      <c r="H981" t="s">
        <v>39</v>
      </c>
      <c r="I981" t="s">
        <v>141</v>
      </c>
      <c r="J981" t="s">
        <v>123</v>
      </c>
      <c r="K981" s="3">
        <v>34567.74</v>
      </c>
      <c r="O981" s="4">
        <v>0</v>
      </c>
      <c r="P981" s="3">
        <v>0</v>
      </c>
    </row>
    <row r="982" spans="1:16" ht="15" customHeight="1" x14ac:dyDescent="0.3">
      <c r="A982">
        <v>2020</v>
      </c>
      <c r="B982" s="2">
        <v>44088</v>
      </c>
      <c r="C982" t="s">
        <v>325</v>
      </c>
      <c r="D982" t="s">
        <v>748</v>
      </c>
      <c r="F982" t="s">
        <v>20</v>
      </c>
      <c r="G982" t="s">
        <v>21</v>
      </c>
      <c r="H982" t="s">
        <v>22</v>
      </c>
      <c r="I982" t="s">
        <v>141</v>
      </c>
      <c r="J982" t="s">
        <v>123</v>
      </c>
      <c r="K982" s="3">
        <v>1120</v>
      </c>
      <c r="O982" s="4">
        <v>0</v>
      </c>
      <c r="P982" s="3">
        <v>0</v>
      </c>
    </row>
    <row r="983" spans="1:16" ht="15" customHeight="1" x14ac:dyDescent="0.3">
      <c r="A983">
        <v>2020</v>
      </c>
      <c r="B983" s="2">
        <v>44089</v>
      </c>
      <c r="C983" t="s">
        <v>325</v>
      </c>
      <c r="D983" t="s">
        <v>675</v>
      </c>
      <c r="F983" t="s">
        <v>20</v>
      </c>
      <c r="G983" t="s">
        <v>38</v>
      </c>
      <c r="H983" t="s">
        <v>147</v>
      </c>
      <c r="I983" t="s">
        <v>306</v>
      </c>
      <c r="J983" t="s">
        <v>50</v>
      </c>
      <c r="K983" s="3">
        <v>16340</v>
      </c>
      <c r="O983" s="4">
        <v>0</v>
      </c>
      <c r="P983" s="3">
        <v>0</v>
      </c>
    </row>
    <row r="984" spans="1:16" ht="15" customHeight="1" x14ac:dyDescent="0.3">
      <c r="A984">
        <v>2020</v>
      </c>
      <c r="B984" s="2">
        <v>44089</v>
      </c>
      <c r="C984" t="s">
        <v>325</v>
      </c>
      <c r="D984" t="s">
        <v>675</v>
      </c>
      <c r="F984" t="s">
        <v>20</v>
      </c>
      <c r="G984" t="s">
        <v>38</v>
      </c>
      <c r="H984" t="s">
        <v>147</v>
      </c>
      <c r="I984" t="s">
        <v>306</v>
      </c>
      <c r="J984" t="s">
        <v>50</v>
      </c>
      <c r="K984" s="3">
        <v>7788.2</v>
      </c>
      <c r="O984" s="4">
        <v>0</v>
      </c>
      <c r="P984" s="3">
        <v>0</v>
      </c>
    </row>
    <row r="985" spans="1:16" ht="15" customHeight="1" x14ac:dyDescent="0.3">
      <c r="A985">
        <v>2020</v>
      </c>
      <c r="B985" s="2">
        <v>44095</v>
      </c>
      <c r="C985" t="s">
        <v>325</v>
      </c>
      <c r="D985" t="s">
        <v>675</v>
      </c>
      <c r="F985" t="s">
        <v>20</v>
      </c>
      <c r="G985" t="s">
        <v>38</v>
      </c>
      <c r="H985" t="s">
        <v>147</v>
      </c>
      <c r="I985" t="s">
        <v>306</v>
      </c>
      <c r="J985" t="s">
        <v>50</v>
      </c>
      <c r="K985" s="3">
        <v>21413</v>
      </c>
      <c r="O985" s="4">
        <v>0</v>
      </c>
      <c r="P985" s="3">
        <v>0</v>
      </c>
    </row>
    <row r="986" spans="1:16" ht="15" customHeight="1" x14ac:dyDescent="0.3">
      <c r="A986">
        <v>2020</v>
      </c>
      <c r="B986" s="2">
        <v>44097</v>
      </c>
      <c r="C986" t="s">
        <v>325</v>
      </c>
      <c r="D986" t="s">
        <v>769</v>
      </c>
      <c r="F986" t="s">
        <v>20</v>
      </c>
      <c r="G986" t="s">
        <v>21</v>
      </c>
      <c r="H986" t="s">
        <v>101</v>
      </c>
      <c r="I986" t="s">
        <v>141</v>
      </c>
      <c r="J986" t="s">
        <v>123</v>
      </c>
      <c r="K986" s="3">
        <v>13928</v>
      </c>
      <c r="O986" s="4">
        <v>0</v>
      </c>
      <c r="P986" s="3">
        <v>0</v>
      </c>
    </row>
    <row r="987" spans="1:16" ht="15" customHeight="1" x14ac:dyDescent="0.3">
      <c r="A987">
        <v>2020</v>
      </c>
      <c r="B987" s="2">
        <v>44098</v>
      </c>
      <c r="C987" t="s">
        <v>325</v>
      </c>
      <c r="D987" t="s">
        <v>205</v>
      </c>
      <c r="F987" t="s">
        <v>20</v>
      </c>
      <c r="G987" t="s">
        <v>21</v>
      </c>
      <c r="H987" t="s">
        <v>22</v>
      </c>
      <c r="I987" t="s">
        <v>23</v>
      </c>
      <c r="J987" t="s">
        <v>123</v>
      </c>
      <c r="K987" s="3">
        <v>90398.65</v>
      </c>
      <c r="O987" s="4">
        <v>0</v>
      </c>
      <c r="P987" s="3">
        <v>0</v>
      </c>
    </row>
    <row r="988" spans="1:16" ht="15" customHeight="1" x14ac:dyDescent="0.3">
      <c r="A988">
        <v>2020</v>
      </c>
      <c r="B988" s="2">
        <v>44098</v>
      </c>
      <c r="C988" t="s">
        <v>325</v>
      </c>
      <c r="D988" t="s">
        <v>767</v>
      </c>
      <c r="F988" t="s">
        <v>20</v>
      </c>
      <c r="G988" t="s">
        <v>107</v>
      </c>
      <c r="H988" t="s">
        <v>39</v>
      </c>
      <c r="I988" t="s">
        <v>23</v>
      </c>
      <c r="J988" t="s">
        <v>123</v>
      </c>
      <c r="K988" s="3">
        <v>134493.82999999999</v>
      </c>
      <c r="O988" s="4">
        <v>0</v>
      </c>
      <c r="P988" s="3">
        <v>0</v>
      </c>
    </row>
    <row r="989" spans="1:16" ht="15" customHeight="1" x14ac:dyDescent="0.3">
      <c r="A989">
        <v>2020</v>
      </c>
      <c r="B989" s="2">
        <v>44103</v>
      </c>
      <c r="C989" t="s">
        <v>325</v>
      </c>
      <c r="D989" t="s">
        <v>59</v>
      </c>
      <c r="F989" t="s">
        <v>20</v>
      </c>
      <c r="G989" t="s">
        <v>21</v>
      </c>
      <c r="H989" t="s">
        <v>22</v>
      </c>
      <c r="I989" t="s">
        <v>141</v>
      </c>
      <c r="J989" t="s">
        <v>50</v>
      </c>
      <c r="K989" s="3">
        <v>630</v>
      </c>
      <c r="O989" s="4">
        <v>0</v>
      </c>
      <c r="P989" s="3">
        <v>0</v>
      </c>
    </row>
    <row r="990" spans="1:16" ht="15" customHeight="1" x14ac:dyDescent="0.3">
      <c r="A990">
        <v>2020</v>
      </c>
      <c r="B990" s="2">
        <v>44109</v>
      </c>
      <c r="C990" t="s">
        <v>357</v>
      </c>
      <c r="D990" t="s">
        <v>751</v>
      </c>
      <c r="F990" t="s">
        <v>20</v>
      </c>
      <c r="G990" t="s">
        <v>21</v>
      </c>
      <c r="H990" t="s">
        <v>22</v>
      </c>
      <c r="I990" t="s">
        <v>538</v>
      </c>
      <c r="J990" t="s">
        <v>123</v>
      </c>
      <c r="K990" s="3">
        <v>1222.47</v>
      </c>
      <c r="O990" s="4">
        <v>0</v>
      </c>
      <c r="P990" s="3">
        <v>0</v>
      </c>
    </row>
    <row r="991" spans="1:16" ht="15" customHeight="1" x14ac:dyDescent="0.3">
      <c r="A991">
        <v>2020</v>
      </c>
      <c r="B991" s="2">
        <v>44110</v>
      </c>
      <c r="C991" t="s">
        <v>357</v>
      </c>
      <c r="D991" t="s">
        <v>232</v>
      </c>
      <c r="F991" t="s">
        <v>20</v>
      </c>
      <c r="G991" t="s">
        <v>21</v>
      </c>
      <c r="H991" t="s">
        <v>101</v>
      </c>
      <c r="I991" t="s">
        <v>141</v>
      </c>
      <c r="J991" t="s">
        <v>123</v>
      </c>
      <c r="K991" s="3">
        <v>8417.81</v>
      </c>
      <c r="O991" s="4">
        <v>0</v>
      </c>
      <c r="P991" s="3">
        <v>0</v>
      </c>
    </row>
    <row r="992" spans="1:16" ht="15" customHeight="1" x14ac:dyDescent="0.3">
      <c r="A992">
        <v>2020</v>
      </c>
      <c r="B992" s="2">
        <v>44110</v>
      </c>
      <c r="C992" t="s">
        <v>357</v>
      </c>
      <c r="D992" t="s">
        <v>232</v>
      </c>
      <c r="F992" t="s">
        <v>20</v>
      </c>
      <c r="G992" t="s">
        <v>21</v>
      </c>
      <c r="H992" t="s">
        <v>101</v>
      </c>
      <c r="I992" t="s">
        <v>141</v>
      </c>
      <c r="J992" t="s">
        <v>123</v>
      </c>
      <c r="K992" s="3">
        <v>4398.16</v>
      </c>
      <c r="O992" s="4">
        <v>0</v>
      </c>
      <c r="P992" s="3">
        <v>0</v>
      </c>
    </row>
    <row r="993" spans="1:16" ht="15" customHeight="1" x14ac:dyDescent="0.3">
      <c r="A993">
        <v>2020</v>
      </c>
      <c r="B993" s="2">
        <v>44110</v>
      </c>
      <c r="C993" t="s">
        <v>357</v>
      </c>
      <c r="D993" t="s">
        <v>777</v>
      </c>
      <c r="F993" t="s">
        <v>20</v>
      </c>
      <c r="G993" t="s">
        <v>21</v>
      </c>
      <c r="H993" t="s">
        <v>22</v>
      </c>
      <c r="I993" t="s">
        <v>306</v>
      </c>
      <c r="J993" t="s">
        <v>123</v>
      </c>
      <c r="K993" s="3">
        <v>7395.2</v>
      </c>
      <c r="O993" s="4">
        <v>0</v>
      </c>
      <c r="P993" s="3">
        <v>0</v>
      </c>
    </row>
    <row r="994" spans="1:16" ht="15" customHeight="1" x14ac:dyDescent="0.3">
      <c r="A994">
        <v>2020</v>
      </c>
      <c r="B994" s="2">
        <v>44112</v>
      </c>
      <c r="C994" t="s">
        <v>357</v>
      </c>
      <c r="D994" t="s">
        <v>775</v>
      </c>
      <c r="F994" t="s">
        <v>20</v>
      </c>
      <c r="G994" t="s">
        <v>21</v>
      </c>
      <c r="H994" t="s">
        <v>22</v>
      </c>
      <c r="I994" t="s">
        <v>306</v>
      </c>
      <c r="J994" t="s">
        <v>123</v>
      </c>
      <c r="K994" s="3">
        <v>3508.03</v>
      </c>
      <c r="O994" s="4">
        <v>0</v>
      </c>
      <c r="P994" s="3">
        <v>0</v>
      </c>
    </row>
    <row r="995" spans="1:16" ht="15" customHeight="1" x14ac:dyDescent="0.3">
      <c r="A995">
        <v>2020</v>
      </c>
      <c r="B995" s="2">
        <v>44112</v>
      </c>
      <c r="C995" t="s">
        <v>357</v>
      </c>
      <c r="D995" t="s">
        <v>772</v>
      </c>
      <c r="F995" t="s">
        <v>20</v>
      </c>
      <c r="G995" t="s">
        <v>107</v>
      </c>
      <c r="H995" t="s">
        <v>108</v>
      </c>
      <c r="I995" t="s">
        <v>23</v>
      </c>
      <c r="J995" t="s">
        <v>123</v>
      </c>
      <c r="K995" s="3">
        <v>52202.64</v>
      </c>
      <c r="O995" s="4">
        <v>0</v>
      </c>
      <c r="P995" s="3">
        <v>0</v>
      </c>
    </row>
    <row r="996" spans="1:16" ht="15" customHeight="1" x14ac:dyDescent="0.3">
      <c r="A996">
        <v>2020</v>
      </c>
      <c r="B996" s="2">
        <v>44112</v>
      </c>
      <c r="C996" t="s">
        <v>357</v>
      </c>
      <c r="D996" t="s">
        <v>279</v>
      </c>
      <c r="F996" t="s">
        <v>20</v>
      </c>
      <c r="G996" t="s">
        <v>21</v>
      </c>
      <c r="H996" t="s">
        <v>22</v>
      </c>
      <c r="I996" t="s">
        <v>23</v>
      </c>
      <c r="J996" t="s">
        <v>50</v>
      </c>
      <c r="K996" s="3">
        <v>2168.4</v>
      </c>
      <c r="O996" s="4">
        <v>0</v>
      </c>
      <c r="P996" s="3">
        <v>0</v>
      </c>
    </row>
    <row r="997" spans="1:16" ht="15" customHeight="1" x14ac:dyDescent="0.3">
      <c r="A997">
        <v>2020</v>
      </c>
      <c r="B997" s="2">
        <v>44112</v>
      </c>
      <c r="C997" t="s">
        <v>357</v>
      </c>
      <c r="D997" t="s">
        <v>279</v>
      </c>
      <c r="F997" t="s">
        <v>20</v>
      </c>
      <c r="G997" t="s">
        <v>21</v>
      </c>
      <c r="H997" t="s">
        <v>22</v>
      </c>
      <c r="I997" t="s">
        <v>23</v>
      </c>
      <c r="J997" t="s">
        <v>50</v>
      </c>
      <c r="K997" s="3">
        <v>9445.1200000000008</v>
      </c>
      <c r="O997" s="4">
        <v>0</v>
      </c>
      <c r="P997" s="3">
        <v>0</v>
      </c>
    </row>
    <row r="998" spans="1:16" ht="15" customHeight="1" x14ac:dyDescent="0.3">
      <c r="A998">
        <v>2020</v>
      </c>
      <c r="B998" s="2">
        <v>44113</v>
      </c>
      <c r="C998" t="s">
        <v>357</v>
      </c>
      <c r="D998" t="s">
        <v>30</v>
      </c>
      <c r="F998" t="s">
        <v>20</v>
      </c>
      <c r="G998" t="s">
        <v>21</v>
      </c>
      <c r="H998" t="s">
        <v>22</v>
      </c>
      <c r="I998" t="s">
        <v>23</v>
      </c>
      <c r="J998" t="s">
        <v>50</v>
      </c>
      <c r="K998" s="3">
        <v>3802.5</v>
      </c>
      <c r="O998" s="4">
        <v>0</v>
      </c>
      <c r="P998" s="3">
        <v>0</v>
      </c>
    </row>
    <row r="999" spans="1:16" ht="15" customHeight="1" x14ac:dyDescent="0.3">
      <c r="A999">
        <v>2020</v>
      </c>
      <c r="B999" s="2">
        <v>44116</v>
      </c>
      <c r="C999" t="s">
        <v>357</v>
      </c>
      <c r="D999" t="s">
        <v>781</v>
      </c>
      <c r="F999" t="s">
        <v>20</v>
      </c>
      <c r="G999" t="s">
        <v>21</v>
      </c>
      <c r="H999" t="s">
        <v>22</v>
      </c>
      <c r="I999" t="s">
        <v>23</v>
      </c>
      <c r="J999" t="s">
        <v>27</v>
      </c>
      <c r="K999" s="3">
        <v>26711.73</v>
      </c>
      <c r="O999" s="4">
        <v>0</v>
      </c>
      <c r="P999" s="3">
        <v>0</v>
      </c>
    </row>
    <row r="1000" spans="1:16" ht="15" customHeight="1" x14ac:dyDescent="0.3">
      <c r="A1000">
        <v>2020</v>
      </c>
      <c r="B1000" s="2">
        <v>44124</v>
      </c>
      <c r="C1000" t="s">
        <v>357</v>
      </c>
      <c r="D1000" t="s">
        <v>768</v>
      </c>
      <c r="F1000" t="s">
        <v>20</v>
      </c>
      <c r="G1000" t="s">
        <v>38</v>
      </c>
      <c r="H1000" t="s">
        <v>39</v>
      </c>
      <c r="I1000" t="s">
        <v>141</v>
      </c>
      <c r="J1000" t="s">
        <v>123</v>
      </c>
      <c r="K1000" s="3">
        <v>151866.60999999999</v>
      </c>
      <c r="O1000" s="4">
        <v>0</v>
      </c>
      <c r="P1000" s="3">
        <v>0</v>
      </c>
    </row>
    <row r="1001" spans="1:16" ht="15" customHeight="1" x14ac:dyDescent="0.3">
      <c r="A1001">
        <v>2020</v>
      </c>
      <c r="B1001" s="2">
        <v>44124</v>
      </c>
      <c r="C1001" t="s">
        <v>357</v>
      </c>
      <c r="D1001" t="s">
        <v>364</v>
      </c>
      <c r="F1001" t="s">
        <v>20</v>
      </c>
      <c r="G1001" t="s">
        <v>21</v>
      </c>
      <c r="H1001" t="s">
        <v>101</v>
      </c>
      <c r="I1001" t="s">
        <v>23</v>
      </c>
      <c r="J1001" t="s">
        <v>766</v>
      </c>
      <c r="K1001" s="3">
        <v>1090.68</v>
      </c>
      <c r="O1001" s="4">
        <v>0</v>
      </c>
      <c r="P1001" s="3">
        <v>0</v>
      </c>
    </row>
    <row r="1002" spans="1:16" ht="15" customHeight="1" x14ac:dyDescent="0.3">
      <c r="A1002">
        <v>2020</v>
      </c>
      <c r="B1002" s="2">
        <v>44125</v>
      </c>
      <c r="C1002" t="s">
        <v>357</v>
      </c>
      <c r="D1002" t="s">
        <v>679</v>
      </c>
      <c r="F1002" t="s">
        <v>20</v>
      </c>
      <c r="G1002" t="s">
        <v>107</v>
      </c>
      <c r="H1002" t="s">
        <v>522</v>
      </c>
      <c r="I1002" t="s">
        <v>141</v>
      </c>
      <c r="J1002" t="s">
        <v>123</v>
      </c>
      <c r="K1002" s="3">
        <v>108698.62</v>
      </c>
      <c r="O1002" s="4">
        <v>0</v>
      </c>
      <c r="P1002" s="3">
        <v>0</v>
      </c>
    </row>
    <row r="1003" spans="1:16" ht="15" customHeight="1" x14ac:dyDescent="0.3">
      <c r="A1003">
        <v>2020</v>
      </c>
      <c r="B1003" s="2">
        <v>44125</v>
      </c>
      <c r="C1003" t="s">
        <v>357</v>
      </c>
      <c r="D1003" t="s">
        <v>83</v>
      </c>
      <c r="F1003" t="s">
        <v>20</v>
      </c>
      <c r="G1003" t="s">
        <v>21</v>
      </c>
      <c r="H1003" t="s">
        <v>22</v>
      </c>
      <c r="I1003" t="s">
        <v>23</v>
      </c>
      <c r="J1003" t="s">
        <v>27</v>
      </c>
      <c r="K1003" s="3">
        <v>338220.52</v>
      </c>
      <c r="O1003" s="4">
        <v>0</v>
      </c>
      <c r="P1003" s="3">
        <v>0</v>
      </c>
    </row>
    <row r="1004" spans="1:16" ht="15" customHeight="1" x14ac:dyDescent="0.3">
      <c r="A1004">
        <v>2020</v>
      </c>
      <c r="B1004" s="2">
        <v>44131</v>
      </c>
      <c r="C1004" t="s">
        <v>357</v>
      </c>
      <c r="D1004" t="s">
        <v>45</v>
      </c>
      <c r="F1004" t="s">
        <v>20</v>
      </c>
      <c r="G1004" t="s">
        <v>38</v>
      </c>
      <c r="H1004" t="s">
        <v>39</v>
      </c>
      <c r="I1004" t="s">
        <v>23</v>
      </c>
      <c r="J1004" t="s">
        <v>50</v>
      </c>
      <c r="K1004" s="3">
        <v>44069.94</v>
      </c>
      <c r="O1004" s="4">
        <v>0</v>
      </c>
      <c r="P1004" s="3">
        <v>0</v>
      </c>
    </row>
    <row r="1005" spans="1:16" ht="15" customHeight="1" x14ac:dyDescent="0.3">
      <c r="A1005">
        <v>2020</v>
      </c>
      <c r="B1005" s="2">
        <v>44131</v>
      </c>
      <c r="C1005" t="s">
        <v>357</v>
      </c>
      <c r="D1005" t="s">
        <v>675</v>
      </c>
      <c r="F1005" t="s">
        <v>20</v>
      </c>
      <c r="G1005" t="s">
        <v>38</v>
      </c>
      <c r="H1005" t="s">
        <v>147</v>
      </c>
      <c r="I1005" t="s">
        <v>306</v>
      </c>
      <c r="J1005" t="s">
        <v>50</v>
      </c>
      <c r="K1005" s="3">
        <v>3800</v>
      </c>
      <c r="O1005" s="4">
        <v>0</v>
      </c>
      <c r="P1005" s="3">
        <v>0</v>
      </c>
    </row>
    <row r="1006" spans="1:16" ht="15" customHeight="1" x14ac:dyDescent="0.3">
      <c r="A1006">
        <v>2020</v>
      </c>
      <c r="B1006" s="2">
        <v>44131</v>
      </c>
      <c r="C1006" t="s">
        <v>357</v>
      </c>
      <c r="D1006" t="s">
        <v>675</v>
      </c>
      <c r="F1006" t="s">
        <v>20</v>
      </c>
      <c r="G1006" t="s">
        <v>38</v>
      </c>
      <c r="H1006" t="s">
        <v>147</v>
      </c>
      <c r="I1006" t="s">
        <v>306</v>
      </c>
      <c r="J1006" t="s">
        <v>50</v>
      </c>
      <c r="K1006" s="3">
        <v>600</v>
      </c>
      <c r="O1006" s="4">
        <v>0</v>
      </c>
      <c r="P1006" s="3">
        <v>0</v>
      </c>
    </row>
    <row r="1007" spans="1:16" ht="15" customHeight="1" x14ac:dyDescent="0.3">
      <c r="A1007">
        <v>2020</v>
      </c>
      <c r="B1007" s="2">
        <v>44131</v>
      </c>
      <c r="C1007" t="s">
        <v>357</v>
      </c>
      <c r="D1007" t="s">
        <v>675</v>
      </c>
      <c r="F1007" t="s">
        <v>20</v>
      </c>
      <c r="G1007" t="s">
        <v>38</v>
      </c>
      <c r="H1007" t="s">
        <v>147</v>
      </c>
      <c r="I1007" t="s">
        <v>306</v>
      </c>
      <c r="J1007" t="s">
        <v>50</v>
      </c>
      <c r="K1007" s="3">
        <v>1800</v>
      </c>
      <c r="O1007" s="4">
        <v>0</v>
      </c>
      <c r="P1007" s="3">
        <v>0</v>
      </c>
    </row>
    <row r="1008" spans="1:16" ht="15" customHeight="1" x14ac:dyDescent="0.3">
      <c r="A1008">
        <v>2020</v>
      </c>
      <c r="B1008" s="2">
        <v>44132</v>
      </c>
      <c r="C1008" t="s">
        <v>357</v>
      </c>
      <c r="D1008" t="s">
        <v>772</v>
      </c>
      <c r="F1008" t="s">
        <v>20</v>
      </c>
      <c r="G1008" t="s">
        <v>107</v>
      </c>
      <c r="H1008" t="s">
        <v>108</v>
      </c>
      <c r="I1008" t="s">
        <v>23</v>
      </c>
      <c r="J1008" t="s">
        <v>50</v>
      </c>
      <c r="K1008" s="3">
        <v>12972.12</v>
      </c>
      <c r="O1008" s="4">
        <v>0</v>
      </c>
      <c r="P1008" s="3">
        <v>0</v>
      </c>
    </row>
    <row r="1009" spans="1:16" ht="15" customHeight="1" x14ac:dyDescent="0.3">
      <c r="A1009">
        <v>2020</v>
      </c>
      <c r="B1009" s="2">
        <v>44132</v>
      </c>
      <c r="C1009" t="s">
        <v>357</v>
      </c>
      <c r="D1009" t="s">
        <v>772</v>
      </c>
      <c r="F1009" t="s">
        <v>20</v>
      </c>
      <c r="G1009" t="s">
        <v>107</v>
      </c>
      <c r="H1009" t="s">
        <v>108</v>
      </c>
      <c r="I1009" t="s">
        <v>23</v>
      </c>
      <c r="J1009" t="s">
        <v>766</v>
      </c>
      <c r="K1009" s="3">
        <v>821.25</v>
      </c>
      <c r="O1009" s="4">
        <v>0</v>
      </c>
      <c r="P1009" s="3">
        <v>0</v>
      </c>
    </row>
    <row r="1010" spans="1:16" ht="15" customHeight="1" x14ac:dyDescent="0.3">
      <c r="A1010">
        <v>2020</v>
      </c>
      <c r="B1010" s="2">
        <v>44134</v>
      </c>
      <c r="C1010" t="s">
        <v>357</v>
      </c>
      <c r="D1010" t="s">
        <v>746</v>
      </c>
      <c r="F1010" t="s">
        <v>20</v>
      </c>
      <c r="G1010" t="s">
        <v>21</v>
      </c>
      <c r="H1010" t="s">
        <v>22</v>
      </c>
      <c r="I1010" t="s">
        <v>141</v>
      </c>
      <c r="J1010" t="s">
        <v>766</v>
      </c>
      <c r="K1010" s="3">
        <v>3549.12</v>
      </c>
      <c r="O1010" s="4">
        <v>0</v>
      </c>
      <c r="P1010" s="3">
        <v>0</v>
      </c>
    </row>
    <row r="1011" spans="1:16" ht="15" customHeight="1" x14ac:dyDescent="0.3">
      <c r="A1011">
        <v>2020</v>
      </c>
      <c r="B1011" s="2">
        <v>44137</v>
      </c>
      <c r="C1011" t="s">
        <v>389</v>
      </c>
      <c r="D1011" t="s">
        <v>782</v>
      </c>
      <c r="F1011" t="s">
        <v>20</v>
      </c>
      <c r="G1011" t="s">
        <v>107</v>
      </c>
      <c r="H1011" t="s">
        <v>108</v>
      </c>
      <c r="I1011" t="s">
        <v>23</v>
      </c>
      <c r="J1011" t="s">
        <v>123</v>
      </c>
      <c r="K1011" s="3">
        <v>1089558.82</v>
      </c>
      <c r="O1011" s="4">
        <v>0</v>
      </c>
      <c r="P1011" s="3">
        <v>0</v>
      </c>
    </row>
    <row r="1012" spans="1:16" ht="15" customHeight="1" x14ac:dyDescent="0.3">
      <c r="A1012">
        <v>2020</v>
      </c>
      <c r="B1012" s="2">
        <v>44137</v>
      </c>
      <c r="C1012" t="s">
        <v>389</v>
      </c>
      <c r="D1012" t="s">
        <v>205</v>
      </c>
      <c r="F1012" t="s">
        <v>20</v>
      </c>
      <c r="G1012" t="s">
        <v>21</v>
      </c>
      <c r="H1012" t="s">
        <v>22</v>
      </c>
      <c r="I1012" t="s">
        <v>23</v>
      </c>
      <c r="J1012" t="s">
        <v>123</v>
      </c>
      <c r="K1012" s="3">
        <v>58667.66</v>
      </c>
      <c r="O1012" s="4">
        <v>0</v>
      </c>
      <c r="P1012" s="3">
        <v>0</v>
      </c>
    </row>
    <row r="1013" spans="1:16" ht="15" customHeight="1" x14ac:dyDescent="0.3">
      <c r="A1013">
        <v>2020</v>
      </c>
      <c r="B1013" s="2">
        <v>44137</v>
      </c>
      <c r="C1013" t="s">
        <v>389</v>
      </c>
      <c r="D1013" t="s">
        <v>205</v>
      </c>
      <c r="F1013" t="s">
        <v>20</v>
      </c>
      <c r="G1013" t="s">
        <v>21</v>
      </c>
      <c r="H1013" t="s">
        <v>22</v>
      </c>
      <c r="I1013" t="s">
        <v>23</v>
      </c>
      <c r="J1013" t="s">
        <v>123</v>
      </c>
      <c r="K1013" s="3">
        <v>18906.330000000002</v>
      </c>
      <c r="O1013" s="4">
        <v>0</v>
      </c>
      <c r="P1013" s="3">
        <v>0</v>
      </c>
    </row>
    <row r="1014" spans="1:16" ht="15" customHeight="1" x14ac:dyDescent="0.3">
      <c r="A1014">
        <v>2020</v>
      </c>
      <c r="B1014" s="2">
        <v>44138</v>
      </c>
      <c r="C1014" t="s">
        <v>389</v>
      </c>
      <c r="D1014" t="s">
        <v>205</v>
      </c>
      <c r="F1014" t="s">
        <v>20</v>
      </c>
      <c r="G1014" t="s">
        <v>21</v>
      </c>
      <c r="H1014" t="s">
        <v>22</v>
      </c>
      <c r="I1014" t="s">
        <v>23</v>
      </c>
      <c r="J1014" t="s">
        <v>766</v>
      </c>
      <c r="K1014" s="3">
        <v>580</v>
      </c>
      <c r="O1014" s="4">
        <v>0</v>
      </c>
      <c r="P1014" s="3">
        <v>0</v>
      </c>
    </row>
    <row r="1015" spans="1:16" ht="15" customHeight="1" x14ac:dyDescent="0.3">
      <c r="A1015">
        <v>2020</v>
      </c>
      <c r="B1015" s="2">
        <v>44138</v>
      </c>
      <c r="C1015" t="s">
        <v>389</v>
      </c>
      <c r="D1015" t="s">
        <v>205</v>
      </c>
      <c r="F1015" t="s">
        <v>20</v>
      </c>
      <c r="G1015" t="s">
        <v>21</v>
      </c>
      <c r="H1015" t="s">
        <v>22</v>
      </c>
      <c r="I1015" t="s">
        <v>23</v>
      </c>
      <c r="J1015" t="s">
        <v>123</v>
      </c>
      <c r="K1015" s="3">
        <v>14621.68</v>
      </c>
      <c r="O1015" s="4">
        <v>0</v>
      </c>
      <c r="P1015" s="3">
        <v>0</v>
      </c>
    </row>
    <row r="1016" spans="1:16" ht="15" customHeight="1" x14ac:dyDescent="0.3">
      <c r="A1016">
        <v>2020</v>
      </c>
      <c r="B1016" s="2">
        <v>44139</v>
      </c>
      <c r="C1016" t="s">
        <v>389</v>
      </c>
      <c r="D1016" t="s">
        <v>520</v>
      </c>
      <c r="E1016" t="s">
        <v>542</v>
      </c>
      <c r="F1016" t="s">
        <v>20</v>
      </c>
      <c r="G1016" t="s">
        <v>107</v>
      </c>
      <c r="H1016" t="s">
        <v>522</v>
      </c>
      <c r="I1016" t="s">
        <v>23</v>
      </c>
      <c r="J1016" t="s">
        <v>123</v>
      </c>
      <c r="K1016" s="3">
        <v>140000</v>
      </c>
      <c r="O1016" s="4">
        <v>0</v>
      </c>
      <c r="P1016" s="3">
        <v>0</v>
      </c>
    </row>
    <row r="1017" spans="1:16" ht="15" customHeight="1" x14ac:dyDescent="0.3">
      <c r="A1017">
        <v>2020</v>
      </c>
      <c r="B1017" s="2">
        <v>44140</v>
      </c>
      <c r="C1017" t="s">
        <v>389</v>
      </c>
      <c r="D1017" t="s">
        <v>769</v>
      </c>
      <c r="F1017" t="s">
        <v>20</v>
      </c>
      <c r="G1017" t="s">
        <v>21</v>
      </c>
      <c r="H1017" t="s">
        <v>101</v>
      </c>
      <c r="I1017" t="s">
        <v>141</v>
      </c>
      <c r="J1017" t="s">
        <v>123</v>
      </c>
      <c r="K1017" s="3">
        <v>1281.25</v>
      </c>
      <c r="O1017" s="4">
        <v>0</v>
      </c>
      <c r="P1017" s="3">
        <v>0</v>
      </c>
    </row>
    <row r="1018" spans="1:16" ht="15" customHeight="1" x14ac:dyDescent="0.3">
      <c r="A1018">
        <v>2020</v>
      </c>
      <c r="B1018" s="2">
        <v>44141</v>
      </c>
      <c r="C1018" t="s">
        <v>389</v>
      </c>
      <c r="D1018" t="s">
        <v>271</v>
      </c>
      <c r="E1018" t="s">
        <v>285</v>
      </c>
      <c r="F1018" t="s">
        <v>20</v>
      </c>
      <c r="G1018" t="s">
        <v>38</v>
      </c>
      <c r="H1018" t="s">
        <v>89</v>
      </c>
      <c r="I1018" t="s">
        <v>141</v>
      </c>
      <c r="J1018" t="s">
        <v>110</v>
      </c>
      <c r="K1018" s="3">
        <v>960</v>
      </c>
      <c r="O1018" s="4">
        <v>0</v>
      </c>
      <c r="P1018" s="3">
        <v>0</v>
      </c>
    </row>
    <row r="1019" spans="1:16" ht="15" customHeight="1" x14ac:dyDescent="0.3">
      <c r="A1019">
        <v>2020</v>
      </c>
      <c r="B1019" s="2">
        <v>44141</v>
      </c>
      <c r="C1019" t="s">
        <v>389</v>
      </c>
      <c r="D1019" t="s">
        <v>783</v>
      </c>
      <c r="F1019" t="s">
        <v>20</v>
      </c>
      <c r="G1019" t="s">
        <v>21</v>
      </c>
      <c r="H1019" t="s">
        <v>22</v>
      </c>
      <c r="I1019" t="s">
        <v>23</v>
      </c>
      <c r="J1019" t="s">
        <v>27</v>
      </c>
      <c r="K1019" s="3">
        <v>4831.26</v>
      </c>
      <c r="O1019" s="4">
        <v>0</v>
      </c>
      <c r="P1019" s="3">
        <v>0</v>
      </c>
    </row>
    <row r="1020" spans="1:16" ht="15" customHeight="1" x14ac:dyDescent="0.3">
      <c r="A1020">
        <v>2020</v>
      </c>
      <c r="B1020" s="2">
        <v>44141</v>
      </c>
      <c r="C1020" t="s">
        <v>389</v>
      </c>
      <c r="D1020" t="s">
        <v>784</v>
      </c>
      <c r="F1020" t="s">
        <v>20</v>
      </c>
      <c r="G1020" t="s">
        <v>107</v>
      </c>
      <c r="H1020" t="s">
        <v>108</v>
      </c>
      <c r="I1020" t="s">
        <v>23</v>
      </c>
      <c r="J1020" t="s">
        <v>27</v>
      </c>
      <c r="K1020" s="3">
        <v>6400</v>
      </c>
      <c r="O1020" s="4">
        <v>0</v>
      </c>
      <c r="P1020" s="3">
        <v>0</v>
      </c>
    </row>
    <row r="1021" spans="1:16" ht="15" customHeight="1" x14ac:dyDescent="0.3">
      <c r="A1021">
        <v>2020</v>
      </c>
      <c r="B1021" s="2">
        <v>44141</v>
      </c>
      <c r="C1021" t="s">
        <v>389</v>
      </c>
      <c r="D1021" t="s">
        <v>772</v>
      </c>
      <c r="F1021" t="s">
        <v>20</v>
      </c>
      <c r="G1021" t="s">
        <v>107</v>
      </c>
      <c r="H1021" t="s">
        <v>108</v>
      </c>
      <c r="I1021" t="s">
        <v>23</v>
      </c>
      <c r="J1021" t="s">
        <v>766</v>
      </c>
      <c r="K1021" s="3">
        <v>150.63</v>
      </c>
      <c r="O1021" s="4">
        <v>0</v>
      </c>
      <c r="P1021" s="3">
        <v>0</v>
      </c>
    </row>
    <row r="1022" spans="1:16" ht="15" customHeight="1" x14ac:dyDescent="0.3">
      <c r="A1022">
        <v>2020</v>
      </c>
      <c r="B1022" s="2">
        <v>44145</v>
      </c>
      <c r="C1022" t="s">
        <v>389</v>
      </c>
      <c r="D1022" t="s">
        <v>767</v>
      </c>
      <c r="F1022" t="s">
        <v>20</v>
      </c>
      <c r="G1022" t="s">
        <v>107</v>
      </c>
      <c r="H1022" t="s">
        <v>39</v>
      </c>
      <c r="I1022" t="s">
        <v>23</v>
      </c>
      <c r="J1022" t="s">
        <v>766</v>
      </c>
      <c r="K1022" s="3">
        <v>3232</v>
      </c>
      <c r="O1022" s="4">
        <v>0</v>
      </c>
      <c r="P1022" s="3">
        <v>0</v>
      </c>
    </row>
    <row r="1023" spans="1:16" ht="15" customHeight="1" x14ac:dyDescent="0.3">
      <c r="A1023">
        <v>2020</v>
      </c>
      <c r="B1023" s="2">
        <v>44151</v>
      </c>
      <c r="C1023" t="s">
        <v>389</v>
      </c>
      <c r="D1023" t="s">
        <v>279</v>
      </c>
      <c r="F1023" t="s">
        <v>20</v>
      </c>
      <c r="G1023" t="s">
        <v>21</v>
      </c>
      <c r="H1023" t="s">
        <v>22</v>
      </c>
      <c r="I1023" t="s">
        <v>23</v>
      </c>
      <c r="J1023" t="s">
        <v>50</v>
      </c>
      <c r="K1023" s="3">
        <v>2168.4</v>
      </c>
      <c r="O1023" s="4">
        <v>0</v>
      </c>
      <c r="P1023" s="3">
        <v>0</v>
      </c>
    </row>
    <row r="1024" spans="1:16" ht="15" customHeight="1" x14ac:dyDescent="0.3">
      <c r="A1024">
        <v>2020</v>
      </c>
      <c r="B1024" s="2">
        <v>44155</v>
      </c>
      <c r="C1024" t="s">
        <v>389</v>
      </c>
      <c r="D1024" t="s">
        <v>775</v>
      </c>
      <c r="F1024" t="s">
        <v>20</v>
      </c>
      <c r="G1024" t="s">
        <v>21</v>
      </c>
      <c r="H1024" t="s">
        <v>22</v>
      </c>
      <c r="I1024" t="s">
        <v>306</v>
      </c>
      <c r="J1024" t="s">
        <v>50</v>
      </c>
      <c r="K1024" s="3">
        <v>5334</v>
      </c>
      <c r="O1024" s="4">
        <v>0</v>
      </c>
      <c r="P1024" s="3">
        <v>0</v>
      </c>
    </row>
    <row r="1025" spans="1:17" ht="15" customHeight="1" x14ac:dyDescent="0.3">
      <c r="A1025">
        <v>2020</v>
      </c>
      <c r="B1025" s="2">
        <v>44158</v>
      </c>
      <c r="C1025" t="s">
        <v>389</v>
      </c>
      <c r="D1025" t="s">
        <v>271</v>
      </c>
      <c r="E1025" t="s">
        <v>285</v>
      </c>
      <c r="F1025" t="s">
        <v>20</v>
      </c>
      <c r="G1025" t="s">
        <v>38</v>
      </c>
      <c r="H1025" t="s">
        <v>89</v>
      </c>
      <c r="I1025" t="s">
        <v>141</v>
      </c>
      <c r="J1025" t="s">
        <v>110</v>
      </c>
      <c r="K1025" s="3">
        <v>1437.71</v>
      </c>
      <c r="O1025" s="4">
        <v>0</v>
      </c>
      <c r="P1025" s="3">
        <v>0</v>
      </c>
    </row>
    <row r="1026" spans="1:17" ht="15" customHeight="1" x14ac:dyDescent="0.3">
      <c r="A1026">
        <v>2020</v>
      </c>
      <c r="B1026" s="2">
        <v>44161</v>
      </c>
      <c r="C1026" t="s">
        <v>389</v>
      </c>
      <c r="D1026" t="s">
        <v>675</v>
      </c>
      <c r="F1026" t="s">
        <v>20</v>
      </c>
      <c r="G1026" t="s">
        <v>38</v>
      </c>
      <c r="H1026" t="s">
        <v>147</v>
      </c>
      <c r="I1026" t="s">
        <v>306</v>
      </c>
      <c r="J1026" t="s">
        <v>50</v>
      </c>
      <c r="K1026" s="3">
        <v>18500</v>
      </c>
      <c r="O1026" s="4">
        <v>0</v>
      </c>
      <c r="P1026" s="3">
        <v>0</v>
      </c>
    </row>
    <row r="1027" spans="1:17" ht="15" customHeight="1" x14ac:dyDescent="0.3">
      <c r="A1027">
        <v>2020</v>
      </c>
      <c r="B1027" s="2">
        <v>44161</v>
      </c>
      <c r="C1027" t="s">
        <v>389</v>
      </c>
      <c r="D1027" t="s">
        <v>59</v>
      </c>
      <c r="F1027" t="s">
        <v>20</v>
      </c>
      <c r="G1027" t="s">
        <v>21</v>
      </c>
      <c r="H1027" t="s">
        <v>22</v>
      </c>
      <c r="I1027" t="s">
        <v>141</v>
      </c>
      <c r="J1027" t="s">
        <v>50</v>
      </c>
      <c r="K1027" s="3">
        <v>1998.22</v>
      </c>
      <c r="O1027" s="4">
        <v>0</v>
      </c>
      <c r="P1027" s="3">
        <v>0</v>
      </c>
    </row>
    <row r="1028" spans="1:17" ht="15" customHeight="1" x14ac:dyDescent="0.3">
      <c r="A1028">
        <v>2020</v>
      </c>
      <c r="B1028" s="2">
        <v>44162</v>
      </c>
      <c r="C1028" t="s">
        <v>389</v>
      </c>
      <c r="D1028" t="s">
        <v>662</v>
      </c>
      <c r="E1028" t="s">
        <v>663</v>
      </c>
      <c r="F1028" t="s">
        <v>20</v>
      </c>
      <c r="G1028" t="s">
        <v>107</v>
      </c>
      <c r="H1028" t="s">
        <v>108</v>
      </c>
      <c r="I1028" t="s">
        <v>136</v>
      </c>
      <c r="J1028" t="s">
        <v>123</v>
      </c>
      <c r="K1028" s="3">
        <v>1890</v>
      </c>
      <c r="O1028" s="4">
        <v>0</v>
      </c>
      <c r="P1028" s="3">
        <v>0</v>
      </c>
    </row>
    <row r="1029" spans="1:17" ht="15" customHeight="1" x14ac:dyDescent="0.3">
      <c r="A1029">
        <v>2020</v>
      </c>
      <c r="B1029" s="2">
        <v>44164</v>
      </c>
      <c r="C1029" t="s">
        <v>389</v>
      </c>
      <c r="D1029" t="s">
        <v>746</v>
      </c>
      <c r="F1029" t="s">
        <v>20</v>
      </c>
      <c r="G1029" t="s">
        <v>21</v>
      </c>
      <c r="H1029" t="s">
        <v>22</v>
      </c>
      <c r="I1029" t="s">
        <v>141</v>
      </c>
      <c r="J1029" t="s">
        <v>766</v>
      </c>
      <c r="K1029" s="3">
        <v>1200</v>
      </c>
      <c r="O1029" s="4">
        <v>0</v>
      </c>
      <c r="P1029" s="3">
        <v>0</v>
      </c>
    </row>
    <row r="1030" spans="1:17" ht="15" customHeight="1" x14ac:dyDescent="0.3">
      <c r="A1030">
        <v>2020</v>
      </c>
      <c r="B1030" s="2">
        <v>44175</v>
      </c>
      <c r="C1030" t="s">
        <v>416</v>
      </c>
      <c r="D1030" t="s">
        <v>184</v>
      </c>
      <c r="F1030" t="s">
        <v>20</v>
      </c>
      <c r="G1030" t="s">
        <v>107</v>
      </c>
      <c r="H1030" t="s">
        <v>108</v>
      </c>
      <c r="I1030" t="s">
        <v>754</v>
      </c>
      <c r="J1030" t="s">
        <v>123</v>
      </c>
      <c r="K1030" s="3">
        <v>276000</v>
      </c>
      <c r="O1030" s="4">
        <v>0</v>
      </c>
      <c r="P1030" s="3">
        <v>0</v>
      </c>
      <c r="Q1030" t="s">
        <v>785</v>
      </c>
    </row>
    <row r="1031" spans="1:17" ht="15" customHeight="1" x14ac:dyDescent="0.3">
      <c r="A1031">
        <v>2020</v>
      </c>
      <c r="B1031" s="2">
        <v>44181</v>
      </c>
      <c r="C1031" t="s">
        <v>416</v>
      </c>
      <c r="D1031" t="s">
        <v>786</v>
      </c>
      <c r="F1031" t="s">
        <v>20</v>
      </c>
      <c r="G1031" t="s">
        <v>21</v>
      </c>
      <c r="H1031" t="s">
        <v>22</v>
      </c>
      <c r="I1031" t="s">
        <v>23</v>
      </c>
      <c r="J1031" t="s">
        <v>27</v>
      </c>
      <c r="K1031" s="3">
        <v>1220</v>
      </c>
      <c r="O1031" s="4">
        <v>0</v>
      </c>
      <c r="P1031" s="3">
        <v>0</v>
      </c>
      <c r="Q1031" t="s">
        <v>787</v>
      </c>
    </row>
    <row r="1032" spans="1:17" ht="15" customHeight="1" x14ac:dyDescent="0.3">
      <c r="A1032">
        <v>2020</v>
      </c>
      <c r="B1032" s="2">
        <v>44181</v>
      </c>
      <c r="C1032" t="s">
        <v>416</v>
      </c>
      <c r="D1032" t="s">
        <v>292</v>
      </c>
      <c r="F1032" t="s">
        <v>20</v>
      </c>
      <c r="G1032" t="s">
        <v>21</v>
      </c>
      <c r="H1032" t="s">
        <v>22</v>
      </c>
      <c r="I1032" t="s">
        <v>141</v>
      </c>
      <c r="J1032" t="s">
        <v>766</v>
      </c>
      <c r="K1032" s="3">
        <v>4040</v>
      </c>
      <c r="O1032" s="4">
        <v>0</v>
      </c>
      <c r="P1032" s="3">
        <v>0</v>
      </c>
      <c r="Q1032" t="s">
        <v>788</v>
      </c>
    </row>
    <row r="1033" spans="1:17" ht="15" customHeight="1" x14ac:dyDescent="0.3">
      <c r="A1033">
        <v>2020</v>
      </c>
      <c r="B1033" s="2">
        <v>44181</v>
      </c>
      <c r="C1033" t="s">
        <v>416</v>
      </c>
      <c r="D1033" t="s">
        <v>292</v>
      </c>
      <c r="F1033" t="s">
        <v>20</v>
      </c>
      <c r="G1033" t="s">
        <v>21</v>
      </c>
      <c r="H1033" t="s">
        <v>22</v>
      </c>
      <c r="I1033" t="s">
        <v>141</v>
      </c>
      <c r="J1033" t="s">
        <v>766</v>
      </c>
      <c r="K1033" s="3">
        <v>870</v>
      </c>
      <c r="O1033" s="4">
        <v>0</v>
      </c>
      <c r="P1033" s="3">
        <v>0</v>
      </c>
      <c r="Q1033" t="s">
        <v>789</v>
      </c>
    </row>
    <row r="1034" spans="1:17" ht="15" customHeight="1" x14ac:dyDescent="0.3">
      <c r="A1034">
        <v>2020</v>
      </c>
      <c r="B1034" s="2">
        <v>44194</v>
      </c>
      <c r="C1034" t="s">
        <v>416</v>
      </c>
      <c r="D1034" t="s">
        <v>786</v>
      </c>
      <c r="F1034" t="s">
        <v>20</v>
      </c>
      <c r="G1034" t="s">
        <v>21</v>
      </c>
      <c r="H1034" t="s">
        <v>22</v>
      </c>
      <c r="I1034" t="s">
        <v>23</v>
      </c>
      <c r="J1034" t="s">
        <v>27</v>
      </c>
      <c r="K1034" s="3">
        <v>1220</v>
      </c>
      <c r="O1034" s="4">
        <v>0</v>
      </c>
      <c r="P1034" s="3">
        <v>0</v>
      </c>
      <c r="Q1034" t="s">
        <v>790</v>
      </c>
    </row>
    <row r="1035" spans="1:17" ht="15" customHeight="1" x14ac:dyDescent="0.3">
      <c r="A1035">
        <v>2020</v>
      </c>
      <c r="B1035" s="2">
        <v>44195</v>
      </c>
      <c r="C1035" t="s">
        <v>416</v>
      </c>
      <c r="D1035" t="s">
        <v>791</v>
      </c>
      <c r="F1035" t="s">
        <v>20</v>
      </c>
      <c r="G1035" t="s">
        <v>21</v>
      </c>
      <c r="H1035" t="s">
        <v>22</v>
      </c>
      <c r="I1035" t="s">
        <v>23</v>
      </c>
      <c r="J1035" t="s">
        <v>123</v>
      </c>
      <c r="K1035" s="3">
        <v>271637</v>
      </c>
      <c r="O1035" s="4">
        <v>0</v>
      </c>
      <c r="P1035" s="3">
        <v>0</v>
      </c>
      <c r="Q1035" t="s">
        <v>792</v>
      </c>
    </row>
    <row r="1036" spans="1:17" ht="15" customHeight="1" x14ac:dyDescent="0.3">
      <c r="A1036">
        <v>2021</v>
      </c>
      <c r="B1036" s="2">
        <v>44198</v>
      </c>
      <c r="C1036" t="s">
        <v>17</v>
      </c>
      <c r="D1036" t="s">
        <v>762</v>
      </c>
      <c r="F1036" t="s">
        <v>20</v>
      </c>
      <c r="G1036" t="s">
        <v>38</v>
      </c>
      <c r="H1036" t="s">
        <v>89</v>
      </c>
      <c r="I1036" t="s">
        <v>306</v>
      </c>
      <c r="J1036" t="s">
        <v>123</v>
      </c>
      <c r="K1036" s="3">
        <v>984777.26</v>
      </c>
      <c r="L1036" t="s">
        <v>793</v>
      </c>
      <c r="M1036" t="s">
        <v>794</v>
      </c>
      <c r="O1036" s="4">
        <v>0.139484191582572</v>
      </c>
      <c r="P1036" s="3">
        <v>137360.85999999999</v>
      </c>
      <c r="Q1036" t="s">
        <v>794</v>
      </c>
    </row>
    <row r="1037" spans="1:17" ht="15" customHeight="1" x14ac:dyDescent="0.3">
      <c r="A1037">
        <v>2021</v>
      </c>
      <c r="B1037" s="2">
        <v>44200</v>
      </c>
      <c r="C1037" t="s">
        <v>17</v>
      </c>
      <c r="D1037" t="s">
        <v>283</v>
      </c>
      <c r="F1037" t="s">
        <v>20</v>
      </c>
      <c r="G1037" t="s">
        <v>21</v>
      </c>
      <c r="H1037" t="s">
        <v>22</v>
      </c>
      <c r="I1037" t="s">
        <v>141</v>
      </c>
      <c r="J1037" t="s">
        <v>123</v>
      </c>
      <c r="K1037" s="3">
        <v>682</v>
      </c>
      <c r="L1037" t="s">
        <v>793</v>
      </c>
      <c r="M1037" t="s">
        <v>795</v>
      </c>
      <c r="O1037" s="4">
        <v>0.2</v>
      </c>
      <c r="P1037" s="3">
        <v>136.4</v>
      </c>
      <c r="Q1037" t="s">
        <v>795</v>
      </c>
    </row>
    <row r="1038" spans="1:17" ht="15" customHeight="1" x14ac:dyDescent="0.3">
      <c r="A1038">
        <v>2021</v>
      </c>
      <c r="B1038" s="2">
        <v>44203</v>
      </c>
      <c r="C1038" t="s">
        <v>17</v>
      </c>
      <c r="D1038" t="s">
        <v>779</v>
      </c>
      <c r="F1038" t="s">
        <v>20</v>
      </c>
      <c r="G1038" t="s">
        <v>38</v>
      </c>
      <c r="H1038" t="s">
        <v>89</v>
      </c>
      <c r="I1038" t="s">
        <v>136</v>
      </c>
      <c r="J1038" t="s">
        <v>50</v>
      </c>
      <c r="K1038" s="3">
        <v>3721.88</v>
      </c>
      <c r="L1038" t="s">
        <v>793</v>
      </c>
      <c r="M1038" t="s">
        <v>796</v>
      </c>
      <c r="O1038" s="4"/>
      <c r="P1038" s="3"/>
      <c r="Q1038" t="s">
        <v>797</v>
      </c>
    </row>
    <row r="1039" spans="1:17" ht="15" customHeight="1" x14ac:dyDescent="0.3">
      <c r="A1039">
        <v>2021</v>
      </c>
      <c r="B1039" s="2">
        <v>44208</v>
      </c>
      <c r="C1039" t="s">
        <v>17</v>
      </c>
      <c r="D1039" t="s">
        <v>767</v>
      </c>
      <c r="F1039" t="s">
        <v>20</v>
      </c>
      <c r="G1039" t="s">
        <v>38</v>
      </c>
      <c r="H1039" t="s">
        <v>619</v>
      </c>
      <c r="I1039" t="s">
        <v>23</v>
      </c>
      <c r="J1039" t="s">
        <v>123</v>
      </c>
      <c r="K1039" s="3">
        <v>2935.12</v>
      </c>
      <c r="L1039" t="s">
        <v>793</v>
      </c>
      <c r="M1039" t="s">
        <v>798</v>
      </c>
      <c r="O1039" s="4"/>
      <c r="P1039" s="3"/>
      <c r="Q1039" t="s">
        <v>799</v>
      </c>
    </row>
    <row r="1040" spans="1:17" ht="15" customHeight="1" x14ac:dyDescent="0.3">
      <c r="A1040">
        <v>2021</v>
      </c>
      <c r="B1040" s="2">
        <v>44210</v>
      </c>
      <c r="C1040" t="s">
        <v>17</v>
      </c>
      <c r="D1040" t="s">
        <v>205</v>
      </c>
      <c r="F1040" t="s">
        <v>20</v>
      </c>
      <c r="G1040" t="s">
        <v>21</v>
      </c>
      <c r="H1040" t="s">
        <v>22</v>
      </c>
      <c r="I1040" t="s">
        <v>23</v>
      </c>
      <c r="J1040" t="s">
        <v>123</v>
      </c>
      <c r="K1040" s="3">
        <v>13246.33</v>
      </c>
      <c r="L1040" t="s">
        <v>793</v>
      </c>
      <c r="M1040" t="s">
        <v>800</v>
      </c>
      <c r="O1040" s="4">
        <v>0.157710097815772</v>
      </c>
      <c r="P1040" s="3">
        <v>2089.08</v>
      </c>
      <c r="Q1040" t="s">
        <v>800</v>
      </c>
    </row>
    <row r="1041" spans="1:17" ht="15" customHeight="1" x14ac:dyDescent="0.3">
      <c r="A1041">
        <v>2021</v>
      </c>
      <c r="B1041" s="2">
        <v>44210</v>
      </c>
      <c r="C1041" t="s">
        <v>17</v>
      </c>
      <c r="D1041" t="s">
        <v>205</v>
      </c>
      <c r="F1041" t="s">
        <v>20</v>
      </c>
      <c r="G1041" t="s">
        <v>21</v>
      </c>
      <c r="H1041" t="s">
        <v>22</v>
      </c>
      <c r="I1041" t="s">
        <v>23</v>
      </c>
      <c r="J1041" t="s">
        <v>123</v>
      </c>
      <c r="K1041" s="3">
        <v>3830.33</v>
      </c>
      <c r="L1041" t="s">
        <v>793</v>
      </c>
      <c r="M1041" t="s">
        <v>800</v>
      </c>
      <c r="O1041" s="4">
        <v>0.54540470403333396</v>
      </c>
      <c r="P1041" s="3">
        <v>2089.08</v>
      </c>
      <c r="Q1041" t="s">
        <v>801</v>
      </c>
    </row>
    <row r="1042" spans="1:17" ht="15" customHeight="1" x14ac:dyDescent="0.3">
      <c r="A1042">
        <v>2021</v>
      </c>
      <c r="B1042" s="2">
        <v>44211</v>
      </c>
      <c r="C1042" t="s">
        <v>17</v>
      </c>
      <c r="D1042" t="s">
        <v>83</v>
      </c>
      <c r="F1042" t="s">
        <v>20</v>
      </c>
      <c r="G1042" t="s">
        <v>21</v>
      </c>
      <c r="H1042" t="s">
        <v>22</v>
      </c>
      <c r="I1042" t="s">
        <v>23</v>
      </c>
      <c r="J1042" t="s">
        <v>27</v>
      </c>
      <c r="K1042" s="3">
        <v>137241.76999999999</v>
      </c>
      <c r="L1042" t="s">
        <v>793</v>
      </c>
      <c r="M1042" t="s">
        <v>802</v>
      </c>
      <c r="O1042" s="4">
        <v>0.195705214236162</v>
      </c>
      <c r="P1042" s="3">
        <v>26858.930000000099</v>
      </c>
      <c r="Q1042" t="s">
        <v>802</v>
      </c>
    </row>
    <row r="1043" spans="1:17" ht="15" customHeight="1" x14ac:dyDescent="0.3">
      <c r="A1043">
        <v>2021</v>
      </c>
      <c r="B1043" s="2">
        <v>44211</v>
      </c>
      <c r="C1043" t="s">
        <v>17</v>
      </c>
      <c r="D1043" t="s">
        <v>205</v>
      </c>
      <c r="F1043" t="s">
        <v>20</v>
      </c>
      <c r="G1043" t="s">
        <v>21</v>
      </c>
      <c r="H1043" t="s">
        <v>22</v>
      </c>
      <c r="I1043" t="s">
        <v>23</v>
      </c>
      <c r="J1043" t="s">
        <v>123</v>
      </c>
      <c r="K1043" s="3">
        <v>1236.6199999999999</v>
      </c>
      <c r="L1043" t="s">
        <v>793</v>
      </c>
      <c r="M1043" t="s">
        <v>803</v>
      </c>
      <c r="O1043" s="4">
        <v>9.9998382688295404E-2</v>
      </c>
      <c r="P1043" s="3">
        <v>123.66</v>
      </c>
      <c r="Q1043" t="s">
        <v>803</v>
      </c>
    </row>
    <row r="1044" spans="1:17" ht="15" customHeight="1" x14ac:dyDescent="0.3">
      <c r="A1044">
        <v>2021</v>
      </c>
      <c r="B1044" s="2">
        <v>44211</v>
      </c>
      <c r="C1044" t="s">
        <v>17</v>
      </c>
      <c r="D1044" t="s">
        <v>205</v>
      </c>
      <c r="F1044" t="s">
        <v>20</v>
      </c>
      <c r="G1044" t="s">
        <v>21</v>
      </c>
      <c r="H1044" t="s">
        <v>22</v>
      </c>
      <c r="I1044" t="s">
        <v>23</v>
      </c>
      <c r="J1044" t="s">
        <v>123</v>
      </c>
      <c r="K1044" s="3">
        <v>96.36</v>
      </c>
      <c r="L1044" t="s">
        <v>793</v>
      </c>
      <c r="M1044" t="s">
        <v>803</v>
      </c>
      <c r="O1044" s="4">
        <v>1.28331257783312</v>
      </c>
      <c r="P1044" s="3">
        <v>123.659999999999</v>
      </c>
      <c r="Q1044" t="s">
        <v>804</v>
      </c>
    </row>
    <row r="1045" spans="1:17" ht="15" customHeight="1" x14ac:dyDescent="0.3">
      <c r="A1045">
        <v>2021</v>
      </c>
      <c r="B1045" s="2">
        <v>44216</v>
      </c>
      <c r="C1045" t="s">
        <v>17</v>
      </c>
      <c r="D1045" t="s">
        <v>805</v>
      </c>
      <c r="F1045" t="s">
        <v>20</v>
      </c>
      <c r="G1045" t="s">
        <v>107</v>
      </c>
      <c r="H1045" t="s">
        <v>108</v>
      </c>
      <c r="I1045" t="s">
        <v>23</v>
      </c>
      <c r="J1045" t="s">
        <v>110</v>
      </c>
      <c r="K1045" s="3">
        <v>61856.91</v>
      </c>
      <c r="L1045" t="s">
        <v>793</v>
      </c>
      <c r="M1045" t="s">
        <v>806</v>
      </c>
      <c r="O1045" s="4">
        <v>0.162125298531724</v>
      </c>
      <c r="P1045" s="3">
        <v>10028.57</v>
      </c>
      <c r="Q1045" t="s">
        <v>806</v>
      </c>
    </row>
    <row r="1046" spans="1:17" ht="15" customHeight="1" x14ac:dyDescent="0.3">
      <c r="A1046">
        <v>2021</v>
      </c>
      <c r="B1046" s="2">
        <v>44216</v>
      </c>
      <c r="C1046" t="s">
        <v>17</v>
      </c>
      <c r="D1046" t="s">
        <v>451</v>
      </c>
      <c r="E1046" t="s">
        <v>500</v>
      </c>
      <c r="F1046" t="s">
        <v>20</v>
      </c>
      <c r="G1046" t="s">
        <v>21</v>
      </c>
      <c r="H1046" t="s">
        <v>22</v>
      </c>
      <c r="I1046" t="s">
        <v>23</v>
      </c>
      <c r="J1046" t="s">
        <v>123</v>
      </c>
      <c r="K1046" s="3">
        <v>135861.38</v>
      </c>
      <c r="L1046" t="s">
        <v>793</v>
      </c>
      <c r="M1046" t="s">
        <v>807</v>
      </c>
      <c r="O1046" s="4">
        <v>0.181255040983685</v>
      </c>
      <c r="P1046" s="3">
        <v>24625.56</v>
      </c>
      <c r="Q1046" t="s">
        <v>807</v>
      </c>
    </row>
    <row r="1047" spans="1:17" ht="15" customHeight="1" x14ac:dyDescent="0.3">
      <c r="A1047">
        <v>2021</v>
      </c>
      <c r="B1047" s="2">
        <v>44216</v>
      </c>
      <c r="C1047" t="s">
        <v>17</v>
      </c>
      <c r="D1047" t="s">
        <v>134</v>
      </c>
      <c r="F1047" t="s">
        <v>20</v>
      </c>
      <c r="G1047" t="s">
        <v>107</v>
      </c>
      <c r="H1047" t="s">
        <v>108</v>
      </c>
      <c r="I1047" t="s">
        <v>109</v>
      </c>
      <c r="J1047" t="s">
        <v>123</v>
      </c>
      <c r="K1047" s="3">
        <v>323366</v>
      </c>
      <c r="L1047" t="s">
        <v>793</v>
      </c>
      <c r="M1047" t="s">
        <v>808</v>
      </c>
      <c r="O1047" s="4">
        <v>0.19196551276262799</v>
      </c>
      <c r="P1047" s="3">
        <v>62075.12</v>
      </c>
      <c r="Q1047" t="s">
        <v>808</v>
      </c>
    </row>
    <row r="1048" spans="1:17" ht="15" customHeight="1" x14ac:dyDescent="0.3">
      <c r="A1048">
        <v>2021</v>
      </c>
      <c r="B1048" s="2">
        <v>44223</v>
      </c>
      <c r="C1048" t="s">
        <v>17</v>
      </c>
      <c r="D1048" t="s">
        <v>83</v>
      </c>
      <c r="F1048" t="s">
        <v>20</v>
      </c>
      <c r="G1048" t="s">
        <v>21</v>
      </c>
      <c r="H1048" t="s">
        <v>22</v>
      </c>
      <c r="I1048" t="s">
        <v>23</v>
      </c>
      <c r="J1048" t="s">
        <v>27</v>
      </c>
      <c r="K1048" s="3">
        <v>59041.02</v>
      </c>
      <c r="L1048" t="s">
        <v>793</v>
      </c>
      <c r="M1048" t="s">
        <v>809</v>
      </c>
      <c r="O1048" s="4">
        <v>0.159208123436892</v>
      </c>
      <c r="P1048" s="3">
        <v>9399.8100000000104</v>
      </c>
      <c r="Q1048" t="s">
        <v>809</v>
      </c>
    </row>
    <row r="1049" spans="1:17" ht="15" customHeight="1" x14ac:dyDescent="0.3">
      <c r="A1049">
        <v>2021</v>
      </c>
      <c r="B1049" s="2">
        <v>44224</v>
      </c>
      <c r="C1049" t="s">
        <v>17</v>
      </c>
      <c r="D1049" t="s">
        <v>155</v>
      </c>
      <c r="F1049" t="s">
        <v>20</v>
      </c>
      <c r="G1049" t="s">
        <v>38</v>
      </c>
      <c r="H1049" t="s">
        <v>39</v>
      </c>
      <c r="I1049" t="s">
        <v>23</v>
      </c>
      <c r="J1049" t="s">
        <v>50</v>
      </c>
      <c r="K1049" s="3">
        <v>82500</v>
      </c>
      <c r="L1049" t="s">
        <v>793</v>
      </c>
      <c r="M1049" t="s">
        <v>810</v>
      </c>
      <c r="O1049" s="4">
        <v>0.136781212121212</v>
      </c>
      <c r="P1049" s="3">
        <v>11284.45</v>
      </c>
      <c r="Q1049" t="s">
        <v>810</v>
      </c>
    </row>
    <row r="1050" spans="1:17" ht="15" customHeight="1" x14ac:dyDescent="0.3">
      <c r="A1050">
        <v>2021</v>
      </c>
      <c r="B1050" s="2">
        <v>44228</v>
      </c>
      <c r="C1050" t="s">
        <v>71</v>
      </c>
      <c r="D1050" t="s">
        <v>767</v>
      </c>
      <c r="F1050" t="s">
        <v>20</v>
      </c>
      <c r="G1050" t="s">
        <v>38</v>
      </c>
      <c r="H1050" t="s">
        <v>619</v>
      </c>
      <c r="I1050" t="s">
        <v>23</v>
      </c>
      <c r="J1050" t="s">
        <v>123</v>
      </c>
      <c r="K1050" s="3">
        <v>41586.620000000003</v>
      </c>
      <c r="L1050" t="s">
        <v>793</v>
      </c>
      <c r="M1050" t="s">
        <v>811</v>
      </c>
      <c r="O1050" s="4">
        <v>0.17971284995029699</v>
      </c>
      <c r="P1050" s="3">
        <v>7473.6500000000196</v>
      </c>
      <c r="Q1050" t="s">
        <v>811</v>
      </c>
    </row>
    <row r="1051" spans="1:17" ht="15" customHeight="1" x14ac:dyDescent="0.3">
      <c r="A1051">
        <v>2021</v>
      </c>
      <c r="B1051" s="2">
        <v>44235</v>
      </c>
      <c r="C1051" t="s">
        <v>71</v>
      </c>
      <c r="D1051" t="s">
        <v>812</v>
      </c>
      <c r="F1051" t="s">
        <v>20</v>
      </c>
      <c r="G1051" t="s">
        <v>38</v>
      </c>
      <c r="H1051" t="s">
        <v>39</v>
      </c>
      <c r="I1051" t="s">
        <v>23</v>
      </c>
      <c r="J1051" t="s">
        <v>110</v>
      </c>
      <c r="K1051" s="3">
        <v>17000</v>
      </c>
      <c r="L1051" t="s">
        <v>813</v>
      </c>
      <c r="M1051" t="s">
        <v>814</v>
      </c>
      <c r="O1051" s="49">
        <v>0.3</v>
      </c>
      <c r="P1051" s="3">
        <f>Tabla1[[#This Row],[Margen Comercial]]*Tabla1[[#This Row],[Importe total]]</f>
        <v>5100</v>
      </c>
      <c r="Q1051" t="s">
        <v>814</v>
      </c>
    </row>
    <row r="1052" spans="1:17" ht="15" customHeight="1" x14ac:dyDescent="0.3">
      <c r="A1052">
        <v>2021</v>
      </c>
      <c r="B1052" s="2">
        <v>44240</v>
      </c>
      <c r="C1052" t="s">
        <v>71</v>
      </c>
      <c r="D1052" t="s">
        <v>40</v>
      </c>
      <c r="F1052" t="s">
        <v>20</v>
      </c>
      <c r="G1052" t="s">
        <v>21</v>
      </c>
      <c r="H1052" t="s">
        <v>22</v>
      </c>
      <c r="I1052" t="s">
        <v>49</v>
      </c>
      <c r="J1052" t="s">
        <v>50</v>
      </c>
      <c r="K1052" s="3">
        <v>7779.67</v>
      </c>
      <c r="L1052" t="s">
        <v>793</v>
      </c>
      <c r="M1052" t="s">
        <v>815</v>
      </c>
      <c r="O1052" s="4">
        <v>0.235957309243194</v>
      </c>
      <c r="P1052" s="3">
        <v>1835.67</v>
      </c>
      <c r="Q1052" t="s">
        <v>815</v>
      </c>
    </row>
    <row r="1053" spans="1:17" ht="15" customHeight="1" x14ac:dyDescent="0.3">
      <c r="A1053">
        <v>2021</v>
      </c>
      <c r="B1053" s="2">
        <v>44243</v>
      </c>
      <c r="C1053" t="s">
        <v>71</v>
      </c>
      <c r="D1053" t="s">
        <v>816</v>
      </c>
      <c r="F1053" t="s">
        <v>20</v>
      </c>
      <c r="G1053" t="s">
        <v>107</v>
      </c>
      <c r="H1053" t="s">
        <v>108</v>
      </c>
      <c r="I1053" t="s">
        <v>23</v>
      </c>
      <c r="J1053" t="s">
        <v>50</v>
      </c>
      <c r="K1053" s="3">
        <v>473403.53410947201</v>
      </c>
      <c r="L1053" t="s">
        <v>793</v>
      </c>
      <c r="M1053" t="s">
        <v>817</v>
      </c>
      <c r="O1053" s="4">
        <v>7.40784797380966E-2</v>
      </c>
      <c r="P1053" s="3">
        <v>35069.014109471798</v>
      </c>
      <c r="Q1053" t="s">
        <v>817</v>
      </c>
    </row>
    <row r="1054" spans="1:17" ht="15" customHeight="1" x14ac:dyDescent="0.3">
      <c r="A1054">
        <v>2021</v>
      </c>
      <c r="B1054" s="2">
        <v>44243</v>
      </c>
      <c r="C1054" t="s">
        <v>71</v>
      </c>
      <c r="D1054" t="s">
        <v>816</v>
      </c>
      <c r="F1054" t="s">
        <v>20</v>
      </c>
      <c r="G1054" t="s">
        <v>107</v>
      </c>
      <c r="H1054" t="s">
        <v>108</v>
      </c>
      <c r="I1054" t="s">
        <v>23</v>
      </c>
      <c r="J1054" t="s">
        <v>50</v>
      </c>
      <c r="K1054" s="3">
        <v>233443.50370449899</v>
      </c>
      <c r="L1054" t="s">
        <v>793</v>
      </c>
      <c r="M1054" t="s">
        <v>818</v>
      </c>
      <c r="O1054" s="4">
        <v>0.111019254308766</v>
      </c>
      <c r="P1054" s="3">
        <v>25916.723704499102</v>
      </c>
      <c r="Q1054" t="s">
        <v>818</v>
      </c>
    </row>
    <row r="1055" spans="1:17" ht="15" customHeight="1" x14ac:dyDescent="0.3">
      <c r="A1055">
        <v>2021</v>
      </c>
      <c r="B1055" s="2">
        <v>44243</v>
      </c>
      <c r="C1055" t="s">
        <v>71</v>
      </c>
      <c r="D1055" t="s">
        <v>205</v>
      </c>
      <c r="F1055" t="s">
        <v>20</v>
      </c>
      <c r="G1055" t="s">
        <v>21</v>
      </c>
      <c r="H1055" t="s">
        <v>22</v>
      </c>
      <c r="I1055" t="s">
        <v>23</v>
      </c>
      <c r="J1055" t="s">
        <v>110</v>
      </c>
      <c r="K1055" s="3">
        <v>9571.14</v>
      </c>
      <c r="L1055" t="s">
        <v>793</v>
      </c>
      <c r="M1055" t="s">
        <v>819</v>
      </c>
      <c r="O1055" s="4">
        <v>0.19153726724298301</v>
      </c>
      <c r="P1055" s="3">
        <v>1833.23</v>
      </c>
      <c r="Q1055" t="s">
        <v>819</v>
      </c>
    </row>
    <row r="1056" spans="1:17" ht="15" customHeight="1" x14ac:dyDescent="0.3">
      <c r="A1056">
        <v>2021</v>
      </c>
      <c r="B1056" s="2">
        <v>44243</v>
      </c>
      <c r="C1056" t="s">
        <v>71</v>
      </c>
      <c r="D1056" t="s">
        <v>205</v>
      </c>
      <c r="F1056" t="s">
        <v>20</v>
      </c>
      <c r="G1056" t="s">
        <v>21</v>
      </c>
      <c r="H1056" t="s">
        <v>22</v>
      </c>
      <c r="I1056" t="s">
        <v>23</v>
      </c>
      <c r="J1056" t="s">
        <v>123</v>
      </c>
      <c r="K1056" s="3">
        <v>20428.86</v>
      </c>
      <c r="L1056" t="s">
        <v>793</v>
      </c>
      <c r="M1056" t="s">
        <v>819</v>
      </c>
      <c r="O1056" s="4">
        <v>8.9737263851237897E-2</v>
      </c>
      <c r="P1056" s="3">
        <v>1833.23</v>
      </c>
      <c r="Q1056" t="s">
        <v>820</v>
      </c>
    </row>
    <row r="1057" spans="1:17" ht="15" customHeight="1" x14ac:dyDescent="0.3">
      <c r="A1057">
        <v>2021</v>
      </c>
      <c r="B1057" s="2">
        <v>44243</v>
      </c>
      <c r="C1057" t="s">
        <v>71</v>
      </c>
      <c r="D1057" t="s">
        <v>776</v>
      </c>
      <c r="F1057" t="s">
        <v>20</v>
      </c>
      <c r="G1057" t="s">
        <v>38</v>
      </c>
      <c r="H1057" t="s">
        <v>147</v>
      </c>
      <c r="I1057" t="s">
        <v>136</v>
      </c>
      <c r="J1057" t="s">
        <v>50</v>
      </c>
      <c r="K1057" s="3">
        <v>175122.85</v>
      </c>
      <c r="L1057" t="s">
        <v>793</v>
      </c>
      <c r="M1057" t="s">
        <v>821</v>
      </c>
      <c r="O1057" s="4">
        <v>0.15845196671936301</v>
      </c>
      <c r="P1057" s="3">
        <v>27748.560000000001</v>
      </c>
      <c r="Q1057" t="s">
        <v>821</v>
      </c>
    </row>
    <row r="1058" spans="1:17" ht="15" customHeight="1" x14ac:dyDescent="0.3">
      <c r="A1058">
        <v>2021</v>
      </c>
      <c r="B1058" s="2">
        <v>44250</v>
      </c>
      <c r="C1058" t="s">
        <v>71</v>
      </c>
      <c r="D1058" t="s">
        <v>45</v>
      </c>
      <c r="F1058" t="s">
        <v>20</v>
      </c>
      <c r="G1058" t="s">
        <v>38</v>
      </c>
      <c r="H1058" t="s">
        <v>39</v>
      </c>
      <c r="I1058" t="s">
        <v>23</v>
      </c>
      <c r="J1058" t="s">
        <v>50</v>
      </c>
      <c r="K1058" s="3">
        <v>23310.54</v>
      </c>
      <c r="L1058" t="s">
        <v>793</v>
      </c>
      <c r="M1058" t="s">
        <v>822</v>
      </c>
      <c r="O1058" s="4">
        <v>0.174046161092793</v>
      </c>
      <c r="P1058" s="3">
        <v>4057.11</v>
      </c>
      <c r="Q1058" t="s">
        <v>822</v>
      </c>
    </row>
    <row r="1059" spans="1:17" ht="15" customHeight="1" x14ac:dyDescent="0.3">
      <c r="A1059">
        <v>2021</v>
      </c>
      <c r="B1059" s="2">
        <v>44251</v>
      </c>
      <c r="C1059" t="s">
        <v>71</v>
      </c>
      <c r="D1059" t="s">
        <v>232</v>
      </c>
      <c r="F1059" t="s">
        <v>20</v>
      </c>
      <c r="G1059" t="s">
        <v>21</v>
      </c>
      <c r="H1059" t="s">
        <v>101</v>
      </c>
      <c r="I1059" t="s">
        <v>141</v>
      </c>
      <c r="J1059" t="s">
        <v>123</v>
      </c>
      <c r="K1059" s="3">
        <v>87585.08</v>
      </c>
      <c r="L1059" t="s">
        <v>793</v>
      </c>
      <c r="M1059" t="s">
        <v>823</v>
      </c>
      <c r="O1059" s="4">
        <v>0.178497068222122</v>
      </c>
      <c r="P1059" s="3">
        <v>15633.68</v>
      </c>
      <c r="Q1059" t="s">
        <v>823</v>
      </c>
    </row>
    <row r="1060" spans="1:17" ht="15" customHeight="1" x14ac:dyDescent="0.3">
      <c r="A1060">
        <v>2021</v>
      </c>
      <c r="B1060" s="2">
        <v>44256</v>
      </c>
      <c r="C1060" t="s">
        <v>137</v>
      </c>
      <c r="D1060" t="s">
        <v>61</v>
      </c>
      <c r="F1060" t="s">
        <v>20</v>
      </c>
      <c r="G1060" t="s">
        <v>21</v>
      </c>
      <c r="H1060" t="s">
        <v>22</v>
      </c>
      <c r="I1060" t="s">
        <v>23</v>
      </c>
      <c r="J1060" t="s">
        <v>123</v>
      </c>
      <c r="K1060" s="3">
        <v>590000.01</v>
      </c>
      <c r="L1060" t="s">
        <v>793</v>
      </c>
      <c r="M1060" t="s">
        <v>824</v>
      </c>
      <c r="O1060" s="4">
        <v>0.19254833571951999</v>
      </c>
      <c r="P1060" s="3">
        <v>113603.52</v>
      </c>
      <c r="Q1060" t="s">
        <v>824</v>
      </c>
    </row>
    <row r="1061" spans="1:17" ht="15" customHeight="1" x14ac:dyDescent="0.3">
      <c r="A1061">
        <v>2021</v>
      </c>
      <c r="B1061" s="2">
        <v>44263</v>
      </c>
      <c r="C1061" t="s">
        <v>137</v>
      </c>
      <c r="D1061" t="s">
        <v>155</v>
      </c>
      <c r="F1061" t="s">
        <v>20</v>
      </c>
      <c r="G1061" t="s">
        <v>38</v>
      </c>
      <c r="H1061" t="s">
        <v>39</v>
      </c>
      <c r="I1061" t="s">
        <v>23</v>
      </c>
      <c r="J1061" t="s">
        <v>766</v>
      </c>
      <c r="K1061" s="3">
        <v>1750</v>
      </c>
      <c r="L1061" t="s">
        <v>825</v>
      </c>
      <c r="M1061" t="s">
        <v>826</v>
      </c>
      <c r="O1061" s="4">
        <v>0.15</v>
      </c>
      <c r="P1061" s="3">
        <v>262.5</v>
      </c>
      <c r="Q1061" t="s">
        <v>826</v>
      </c>
    </row>
    <row r="1062" spans="1:17" ht="15" customHeight="1" x14ac:dyDescent="0.3">
      <c r="A1062">
        <v>2021</v>
      </c>
      <c r="B1062" s="2">
        <v>44263</v>
      </c>
      <c r="C1062" t="s">
        <v>137</v>
      </c>
      <c r="D1062" t="s">
        <v>36</v>
      </c>
      <c r="F1062" t="s">
        <v>20</v>
      </c>
      <c r="G1062" t="s">
        <v>38</v>
      </c>
      <c r="H1062" t="s">
        <v>39</v>
      </c>
      <c r="I1062" t="s">
        <v>141</v>
      </c>
      <c r="J1062" t="s">
        <v>123</v>
      </c>
      <c r="K1062" s="3">
        <v>16500</v>
      </c>
      <c r="L1062" t="s">
        <v>793</v>
      </c>
      <c r="M1062" t="s">
        <v>827</v>
      </c>
      <c r="O1062" s="4">
        <v>8.7903636363636406E-2</v>
      </c>
      <c r="P1062" s="3">
        <v>1450.41</v>
      </c>
      <c r="Q1062" t="s">
        <v>827</v>
      </c>
    </row>
    <row r="1063" spans="1:17" ht="15" customHeight="1" x14ac:dyDescent="0.3">
      <c r="A1063">
        <v>2021</v>
      </c>
      <c r="B1063" s="2">
        <v>44265</v>
      </c>
      <c r="C1063" t="s">
        <v>137</v>
      </c>
      <c r="D1063" t="s">
        <v>155</v>
      </c>
      <c r="F1063" t="s">
        <v>20</v>
      </c>
      <c r="G1063" t="s">
        <v>38</v>
      </c>
      <c r="H1063" t="s">
        <v>39</v>
      </c>
      <c r="I1063" t="s">
        <v>23</v>
      </c>
      <c r="J1063" t="s">
        <v>50</v>
      </c>
      <c r="K1063" s="3">
        <v>1312</v>
      </c>
      <c r="L1063" t="s">
        <v>825</v>
      </c>
      <c r="M1063" t="s">
        <v>828</v>
      </c>
      <c r="O1063" s="4">
        <v>0.15</v>
      </c>
      <c r="P1063" s="3">
        <v>196.8</v>
      </c>
      <c r="Q1063" t="s">
        <v>828</v>
      </c>
    </row>
    <row r="1064" spans="1:17" ht="15" customHeight="1" x14ac:dyDescent="0.3">
      <c r="A1064">
        <v>2021</v>
      </c>
      <c r="B1064" s="2">
        <v>44265</v>
      </c>
      <c r="C1064" t="s">
        <v>137</v>
      </c>
      <c r="D1064" t="s">
        <v>779</v>
      </c>
      <c r="F1064" t="s">
        <v>20</v>
      </c>
      <c r="G1064" t="s">
        <v>38</v>
      </c>
      <c r="H1064" t="s">
        <v>89</v>
      </c>
      <c r="I1064" t="s">
        <v>136</v>
      </c>
      <c r="J1064" t="s">
        <v>50</v>
      </c>
      <c r="K1064" s="3">
        <v>12840</v>
      </c>
      <c r="L1064" t="s">
        <v>825</v>
      </c>
      <c r="M1064" t="s">
        <v>829</v>
      </c>
      <c r="O1064" s="4">
        <v>0.15</v>
      </c>
      <c r="P1064" s="3">
        <v>1926</v>
      </c>
      <c r="Q1064" t="s">
        <v>829</v>
      </c>
    </row>
    <row r="1065" spans="1:17" ht="15" customHeight="1" x14ac:dyDescent="0.3">
      <c r="A1065">
        <v>2021</v>
      </c>
      <c r="B1065" s="2">
        <v>44266</v>
      </c>
      <c r="C1065" t="s">
        <v>137</v>
      </c>
      <c r="D1065" t="s">
        <v>830</v>
      </c>
      <c r="F1065" t="s">
        <v>20</v>
      </c>
      <c r="G1065" t="s">
        <v>21</v>
      </c>
      <c r="H1065" t="s">
        <v>22</v>
      </c>
      <c r="I1065" t="s">
        <v>23</v>
      </c>
      <c r="J1065" t="s">
        <v>110</v>
      </c>
      <c r="K1065" s="3">
        <v>3877.66</v>
      </c>
      <c r="L1065" t="s">
        <v>793</v>
      </c>
      <c r="M1065" t="s">
        <v>831</v>
      </c>
      <c r="O1065" s="4">
        <v>0.14809446934491399</v>
      </c>
      <c r="P1065" s="3">
        <v>574.25999999999897</v>
      </c>
      <c r="Q1065" t="s">
        <v>831</v>
      </c>
    </row>
    <row r="1066" spans="1:17" ht="15" customHeight="1" x14ac:dyDescent="0.3">
      <c r="A1066">
        <v>2021</v>
      </c>
      <c r="B1066" s="2">
        <v>44270</v>
      </c>
      <c r="C1066" t="s">
        <v>137</v>
      </c>
      <c r="D1066" t="s">
        <v>832</v>
      </c>
      <c r="F1066" t="s">
        <v>20</v>
      </c>
      <c r="G1066" t="s">
        <v>38</v>
      </c>
      <c r="H1066" t="s">
        <v>39</v>
      </c>
      <c r="I1066" t="s">
        <v>306</v>
      </c>
      <c r="J1066" t="s">
        <v>123</v>
      </c>
      <c r="K1066" s="3">
        <v>314057.78999999998</v>
      </c>
      <c r="L1066" t="s">
        <v>793</v>
      </c>
      <c r="M1066" t="s">
        <v>833</v>
      </c>
      <c r="O1066" s="4">
        <v>0.14763473945352501</v>
      </c>
      <c r="P1066" s="3">
        <v>46365.839999999902</v>
      </c>
      <c r="Q1066" t="s">
        <v>833</v>
      </c>
    </row>
    <row r="1067" spans="1:17" ht="15" customHeight="1" x14ac:dyDescent="0.3">
      <c r="A1067">
        <v>2021</v>
      </c>
      <c r="B1067" s="2">
        <v>44277</v>
      </c>
      <c r="C1067" t="s">
        <v>137</v>
      </c>
      <c r="D1067" t="s">
        <v>155</v>
      </c>
      <c r="F1067" t="s">
        <v>20</v>
      </c>
      <c r="G1067" t="s">
        <v>38</v>
      </c>
      <c r="H1067" t="s">
        <v>39</v>
      </c>
      <c r="I1067" t="s">
        <v>23</v>
      </c>
      <c r="J1067" t="s">
        <v>50</v>
      </c>
      <c r="K1067" s="3">
        <v>32973.5</v>
      </c>
      <c r="L1067" t="s">
        <v>793</v>
      </c>
      <c r="M1067" t="s">
        <v>834</v>
      </c>
      <c r="O1067" s="4">
        <v>0.16967261588851701</v>
      </c>
      <c r="P1067" s="3">
        <v>5594.7000000000198</v>
      </c>
      <c r="Q1067" t="s">
        <v>834</v>
      </c>
    </row>
    <row r="1068" spans="1:17" ht="15" customHeight="1" x14ac:dyDescent="0.3">
      <c r="A1068">
        <v>2021</v>
      </c>
      <c r="B1068" s="2">
        <v>44278</v>
      </c>
      <c r="C1068" t="s">
        <v>137</v>
      </c>
      <c r="D1068" t="s">
        <v>134</v>
      </c>
      <c r="F1068" t="s">
        <v>20</v>
      </c>
      <c r="G1068" t="s">
        <v>107</v>
      </c>
      <c r="H1068" t="s">
        <v>108</v>
      </c>
      <c r="I1068" t="s">
        <v>23</v>
      </c>
      <c r="J1068" t="s">
        <v>123</v>
      </c>
      <c r="K1068" s="3">
        <v>8807</v>
      </c>
      <c r="L1068" t="s">
        <v>825</v>
      </c>
      <c r="M1068" t="s">
        <v>835</v>
      </c>
      <c r="O1068" s="4">
        <v>0.15</v>
      </c>
      <c r="P1068" s="3">
        <v>1321.05</v>
      </c>
      <c r="Q1068" t="s">
        <v>835</v>
      </c>
    </row>
    <row r="1069" spans="1:17" ht="15" customHeight="1" x14ac:dyDescent="0.3">
      <c r="A1069">
        <v>2021</v>
      </c>
      <c r="B1069" s="2">
        <v>44278</v>
      </c>
      <c r="C1069" t="s">
        <v>137</v>
      </c>
      <c r="D1069" t="s">
        <v>769</v>
      </c>
      <c r="F1069" t="s">
        <v>20</v>
      </c>
      <c r="G1069" t="s">
        <v>21</v>
      </c>
      <c r="H1069" t="s">
        <v>101</v>
      </c>
      <c r="I1069" t="s">
        <v>141</v>
      </c>
      <c r="J1069" t="s">
        <v>123</v>
      </c>
      <c r="K1069" s="3">
        <v>1045</v>
      </c>
      <c r="L1069" t="s">
        <v>825</v>
      </c>
      <c r="M1069" t="s">
        <v>836</v>
      </c>
      <c r="O1069" s="4">
        <v>0.15</v>
      </c>
      <c r="P1069" s="3">
        <v>156.75</v>
      </c>
      <c r="Q1069" t="s">
        <v>836</v>
      </c>
    </row>
    <row r="1070" spans="1:17" ht="15" customHeight="1" x14ac:dyDescent="0.3">
      <c r="A1070">
        <v>2021</v>
      </c>
      <c r="B1070" s="2">
        <v>44278</v>
      </c>
      <c r="C1070" t="s">
        <v>137</v>
      </c>
      <c r="D1070" t="s">
        <v>769</v>
      </c>
      <c r="F1070" t="s">
        <v>20</v>
      </c>
      <c r="G1070" t="s">
        <v>21</v>
      </c>
      <c r="H1070" t="s">
        <v>101</v>
      </c>
      <c r="I1070" t="s">
        <v>141</v>
      </c>
      <c r="J1070" t="s">
        <v>123</v>
      </c>
      <c r="K1070" s="3">
        <v>185</v>
      </c>
      <c r="L1070" t="s">
        <v>825</v>
      </c>
      <c r="M1070" t="s">
        <v>837</v>
      </c>
      <c r="O1070" s="4">
        <v>0.15</v>
      </c>
      <c r="P1070" s="3">
        <v>27.75</v>
      </c>
      <c r="Q1070" t="s">
        <v>837</v>
      </c>
    </row>
    <row r="1071" spans="1:17" ht="15" customHeight="1" x14ac:dyDescent="0.3">
      <c r="A1071">
        <v>2021</v>
      </c>
      <c r="B1071" s="2">
        <v>44279</v>
      </c>
      <c r="C1071" t="s">
        <v>137</v>
      </c>
      <c r="D1071" t="s">
        <v>205</v>
      </c>
      <c r="F1071" t="s">
        <v>20</v>
      </c>
      <c r="G1071" t="s">
        <v>21</v>
      </c>
      <c r="H1071" t="s">
        <v>22</v>
      </c>
      <c r="I1071" t="s">
        <v>23</v>
      </c>
      <c r="J1071" t="s">
        <v>123</v>
      </c>
      <c r="K1071" s="3">
        <v>3054.33</v>
      </c>
      <c r="L1071" t="s">
        <v>825</v>
      </c>
      <c r="M1071" t="s">
        <v>838</v>
      </c>
      <c r="O1071" s="4">
        <v>0.15</v>
      </c>
      <c r="P1071" s="3">
        <v>458.14949999999999</v>
      </c>
      <c r="Q1071" t="s">
        <v>838</v>
      </c>
    </row>
    <row r="1072" spans="1:17" ht="15" customHeight="1" x14ac:dyDescent="0.3">
      <c r="A1072">
        <v>2021</v>
      </c>
      <c r="B1072" s="2">
        <v>44279</v>
      </c>
      <c r="C1072" t="s">
        <v>137</v>
      </c>
      <c r="D1072" t="s">
        <v>205</v>
      </c>
      <c r="F1072" t="s">
        <v>20</v>
      </c>
      <c r="G1072" t="s">
        <v>21</v>
      </c>
      <c r="H1072" t="s">
        <v>22</v>
      </c>
      <c r="I1072" t="s">
        <v>23</v>
      </c>
      <c r="J1072" t="s">
        <v>123</v>
      </c>
      <c r="K1072" s="3">
        <v>3794.78</v>
      </c>
      <c r="L1072" t="s">
        <v>825</v>
      </c>
      <c r="M1072" t="s">
        <v>839</v>
      </c>
      <c r="O1072" s="4">
        <v>0.14702749566509801</v>
      </c>
      <c r="P1072" s="3">
        <v>557.93700000000104</v>
      </c>
      <c r="Q1072" t="s">
        <v>839</v>
      </c>
    </row>
    <row r="1073" spans="1:17" ht="15" customHeight="1" x14ac:dyDescent="0.3">
      <c r="A1073">
        <v>2021</v>
      </c>
      <c r="B1073" s="2">
        <v>44280</v>
      </c>
      <c r="C1073" t="s">
        <v>137</v>
      </c>
      <c r="D1073" t="s">
        <v>205</v>
      </c>
      <c r="F1073" t="s">
        <v>20</v>
      </c>
      <c r="G1073" t="s">
        <v>21</v>
      </c>
      <c r="H1073" t="s">
        <v>22</v>
      </c>
      <c r="I1073" t="s">
        <v>23</v>
      </c>
      <c r="J1073" t="s">
        <v>123</v>
      </c>
      <c r="K1073" s="3">
        <v>550</v>
      </c>
      <c r="L1073" t="s">
        <v>825</v>
      </c>
      <c r="M1073" t="s">
        <v>840</v>
      </c>
      <c r="O1073" s="4">
        <v>0.15</v>
      </c>
      <c r="P1073" s="3">
        <v>82.5</v>
      </c>
      <c r="Q1073" t="s">
        <v>840</v>
      </c>
    </row>
    <row r="1074" spans="1:17" ht="15" customHeight="1" x14ac:dyDescent="0.3">
      <c r="A1074">
        <v>2021</v>
      </c>
      <c r="B1074" s="2">
        <v>44280</v>
      </c>
      <c r="C1074" t="s">
        <v>137</v>
      </c>
      <c r="D1074" t="s">
        <v>205</v>
      </c>
      <c r="F1074" t="s">
        <v>20</v>
      </c>
      <c r="G1074" t="s">
        <v>21</v>
      </c>
      <c r="H1074" t="s">
        <v>22</v>
      </c>
      <c r="I1074" t="s">
        <v>23</v>
      </c>
      <c r="J1074" t="s">
        <v>123</v>
      </c>
      <c r="K1074" s="3">
        <v>1123.25</v>
      </c>
      <c r="L1074" t="s">
        <v>825</v>
      </c>
      <c r="M1074" t="s">
        <v>841</v>
      </c>
      <c r="O1074" s="4">
        <v>0.15</v>
      </c>
      <c r="P1074" s="3">
        <v>168.48750000000001</v>
      </c>
      <c r="Q1074" t="s">
        <v>841</v>
      </c>
    </row>
    <row r="1075" spans="1:17" ht="15" customHeight="1" x14ac:dyDescent="0.3">
      <c r="A1075">
        <v>2021</v>
      </c>
      <c r="B1075" s="2">
        <v>44284</v>
      </c>
      <c r="C1075" t="s">
        <v>137</v>
      </c>
      <c r="D1075" t="s">
        <v>842</v>
      </c>
      <c r="F1075" t="s">
        <v>20</v>
      </c>
      <c r="G1075" t="s">
        <v>107</v>
      </c>
      <c r="H1075" t="s">
        <v>108</v>
      </c>
      <c r="I1075" t="s">
        <v>306</v>
      </c>
      <c r="J1075" t="s">
        <v>123</v>
      </c>
      <c r="K1075" s="3">
        <v>125000</v>
      </c>
      <c r="L1075" t="s">
        <v>793</v>
      </c>
      <c r="M1075" t="s">
        <v>843</v>
      </c>
      <c r="O1075" s="4">
        <v>0.16719368000000001</v>
      </c>
      <c r="P1075" s="3">
        <v>20899.21</v>
      </c>
      <c r="Q1075" t="s">
        <v>843</v>
      </c>
    </row>
    <row r="1076" spans="1:17" ht="15" customHeight="1" x14ac:dyDescent="0.3">
      <c r="A1076">
        <v>2021</v>
      </c>
      <c r="B1076" s="2">
        <v>44287</v>
      </c>
      <c r="C1076" t="s">
        <v>169</v>
      </c>
      <c r="D1076" t="s">
        <v>844</v>
      </c>
      <c r="F1076" t="s">
        <v>20</v>
      </c>
      <c r="G1076" t="s">
        <v>107</v>
      </c>
      <c r="H1076" t="s">
        <v>108</v>
      </c>
      <c r="I1076" t="s">
        <v>23</v>
      </c>
      <c r="J1076" t="s">
        <v>123</v>
      </c>
      <c r="K1076" s="3">
        <v>1749.6635262449499</v>
      </c>
      <c r="L1076" t="s">
        <v>825</v>
      </c>
      <c r="O1076" s="4"/>
      <c r="P1076" s="3"/>
    </row>
    <row r="1077" spans="1:17" ht="15" customHeight="1" x14ac:dyDescent="0.3">
      <c r="A1077">
        <v>2021</v>
      </c>
      <c r="B1077" s="2">
        <v>44287</v>
      </c>
      <c r="C1077" t="s">
        <v>169</v>
      </c>
      <c r="D1077" t="s">
        <v>844</v>
      </c>
      <c r="F1077" t="s">
        <v>20</v>
      </c>
      <c r="G1077" t="s">
        <v>107</v>
      </c>
      <c r="H1077" t="s">
        <v>108</v>
      </c>
      <c r="I1077" t="s">
        <v>23</v>
      </c>
      <c r="J1077" t="s">
        <v>123</v>
      </c>
      <c r="K1077" s="3">
        <v>1076.71601615074</v>
      </c>
      <c r="L1077" t="s">
        <v>825</v>
      </c>
      <c r="O1077" s="4"/>
      <c r="P1077" s="3"/>
    </row>
    <row r="1078" spans="1:17" ht="15" customHeight="1" x14ac:dyDescent="0.3">
      <c r="A1078">
        <v>2021</v>
      </c>
      <c r="B1078" s="2">
        <v>44287</v>
      </c>
      <c r="C1078" t="s">
        <v>169</v>
      </c>
      <c r="D1078" t="s">
        <v>845</v>
      </c>
      <c r="F1078" t="s">
        <v>20</v>
      </c>
      <c r="G1078" t="s">
        <v>38</v>
      </c>
      <c r="H1078" t="s">
        <v>846</v>
      </c>
      <c r="I1078" t="s">
        <v>23</v>
      </c>
      <c r="J1078" t="s">
        <v>123</v>
      </c>
      <c r="K1078" s="3">
        <v>358882.58</v>
      </c>
      <c r="L1078" t="s">
        <v>825</v>
      </c>
      <c r="O1078" s="4"/>
      <c r="P1078" s="3"/>
    </row>
    <row r="1079" spans="1:17" ht="15" customHeight="1" x14ac:dyDescent="0.3">
      <c r="A1079">
        <v>2021</v>
      </c>
      <c r="B1079" s="2">
        <v>44298</v>
      </c>
      <c r="C1079" t="s">
        <v>169</v>
      </c>
      <c r="D1079" t="s">
        <v>179</v>
      </c>
      <c r="F1079" t="s">
        <v>20</v>
      </c>
      <c r="G1079" t="s">
        <v>38</v>
      </c>
      <c r="H1079" t="s">
        <v>89</v>
      </c>
      <c r="I1079" t="s">
        <v>141</v>
      </c>
      <c r="J1079" t="s">
        <v>50</v>
      </c>
      <c r="K1079" s="3">
        <v>1587235.47</v>
      </c>
      <c r="L1079" t="s">
        <v>793</v>
      </c>
      <c r="O1079" s="4"/>
      <c r="P1079" s="3"/>
    </row>
    <row r="1080" spans="1:17" ht="15" customHeight="1" x14ac:dyDescent="0.3">
      <c r="A1080">
        <v>2021</v>
      </c>
      <c r="B1080" s="2">
        <v>44299</v>
      </c>
      <c r="C1080" t="s">
        <v>169</v>
      </c>
      <c r="D1080" t="s">
        <v>767</v>
      </c>
      <c r="F1080" t="s">
        <v>20</v>
      </c>
      <c r="G1080" t="s">
        <v>38</v>
      </c>
      <c r="H1080" t="s">
        <v>619</v>
      </c>
      <c r="I1080" t="s">
        <v>23</v>
      </c>
      <c r="J1080" t="s">
        <v>123</v>
      </c>
      <c r="K1080" s="3">
        <v>61633.72</v>
      </c>
      <c r="L1080" t="s">
        <v>825</v>
      </c>
      <c r="O1080" s="4"/>
      <c r="P1080" s="3"/>
    </row>
    <row r="1081" spans="1:17" ht="15" customHeight="1" x14ac:dyDescent="0.3">
      <c r="A1081">
        <v>2021</v>
      </c>
      <c r="B1081" s="2">
        <v>44306</v>
      </c>
      <c r="C1081" t="s">
        <v>169</v>
      </c>
      <c r="D1081" t="s">
        <v>832</v>
      </c>
      <c r="F1081" t="s">
        <v>20</v>
      </c>
      <c r="G1081" t="s">
        <v>38</v>
      </c>
      <c r="H1081" t="s">
        <v>39</v>
      </c>
      <c r="I1081" t="s">
        <v>306</v>
      </c>
      <c r="J1081" t="s">
        <v>123</v>
      </c>
      <c r="K1081" s="3">
        <v>1880</v>
      </c>
      <c r="L1081" t="s">
        <v>825</v>
      </c>
      <c r="M1081" t="s">
        <v>847</v>
      </c>
      <c r="O1081" s="4">
        <v>0.15</v>
      </c>
      <c r="P1081" s="3">
        <v>282</v>
      </c>
    </row>
    <row r="1082" spans="1:17" ht="15" customHeight="1" x14ac:dyDescent="0.3">
      <c r="A1082">
        <v>2021</v>
      </c>
      <c r="B1082" s="2">
        <v>44306</v>
      </c>
      <c r="C1082" t="s">
        <v>169</v>
      </c>
      <c r="D1082" t="s">
        <v>779</v>
      </c>
      <c r="F1082" t="s">
        <v>20</v>
      </c>
      <c r="G1082" t="s">
        <v>38</v>
      </c>
      <c r="H1082" t="s">
        <v>89</v>
      </c>
      <c r="I1082" t="s">
        <v>136</v>
      </c>
      <c r="J1082" t="s">
        <v>50</v>
      </c>
      <c r="K1082" s="3">
        <v>5141.88</v>
      </c>
      <c r="L1082" t="s">
        <v>825</v>
      </c>
      <c r="M1082" t="s">
        <v>848</v>
      </c>
      <c r="O1082" s="4">
        <v>0.15</v>
      </c>
      <c r="P1082" s="3">
        <v>771.28200000000004</v>
      </c>
    </row>
    <row r="1083" spans="1:17" ht="15" customHeight="1" x14ac:dyDescent="0.3">
      <c r="A1083">
        <v>2021</v>
      </c>
      <c r="B1083" s="2">
        <v>44307</v>
      </c>
      <c r="C1083" t="s">
        <v>169</v>
      </c>
      <c r="D1083" t="s">
        <v>485</v>
      </c>
      <c r="F1083" t="s">
        <v>20</v>
      </c>
      <c r="G1083" t="s">
        <v>38</v>
      </c>
      <c r="H1083" t="s">
        <v>39</v>
      </c>
      <c r="I1083" t="s">
        <v>306</v>
      </c>
      <c r="J1083" t="s">
        <v>50</v>
      </c>
      <c r="K1083" s="3">
        <v>26970</v>
      </c>
      <c r="L1083" t="s">
        <v>793</v>
      </c>
      <c r="M1083" t="s">
        <v>849</v>
      </c>
      <c r="O1083" s="4"/>
      <c r="P1083" s="3"/>
    </row>
    <row r="1084" spans="1:17" ht="15" customHeight="1" x14ac:dyDescent="0.3">
      <c r="A1084">
        <v>2021</v>
      </c>
      <c r="B1084" s="2">
        <v>44312</v>
      </c>
      <c r="C1084" t="s">
        <v>169</v>
      </c>
      <c r="D1084" t="s">
        <v>40</v>
      </c>
      <c r="F1084" t="s">
        <v>20</v>
      </c>
      <c r="G1084" t="s">
        <v>21</v>
      </c>
      <c r="H1084" t="s">
        <v>22</v>
      </c>
      <c r="I1084" t="s">
        <v>49</v>
      </c>
      <c r="J1084" t="s">
        <v>50</v>
      </c>
      <c r="K1084" s="3">
        <v>20000</v>
      </c>
      <c r="L1084" t="s">
        <v>813</v>
      </c>
      <c r="M1084" t="s">
        <v>850</v>
      </c>
      <c r="O1084" s="49">
        <v>0.3</v>
      </c>
      <c r="P1084" s="3">
        <f>Tabla1[[#This Row],[Margen Comercial]]*Tabla1[[#This Row],[Importe total]]</f>
        <v>6000</v>
      </c>
    </row>
    <row r="1085" spans="1:17" ht="15" customHeight="1" x14ac:dyDescent="0.3">
      <c r="A1085">
        <v>2021</v>
      </c>
      <c r="B1085" s="2">
        <v>44315</v>
      </c>
      <c r="C1085" t="s">
        <v>169</v>
      </c>
      <c r="D1085" t="s">
        <v>775</v>
      </c>
      <c r="F1085" t="s">
        <v>20</v>
      </c>
      <c r="G1085" t="s">
        <v>21</v>
      </c>
      <c r="H1085" t="s">
        <v>22</v>
      </c>
      <c r="I1085" t="s">
        <v>306</v>
      </c>
      <c r="J1085" t="s">
        <v>50</v>
      </c>
      <c r="K1085" s="3">
        <v>3923.4</v>
      </c>
      <c r="L1085" t="s">
        <v>793</v>
      </c>
      <c r="M1085" t="s">
        <v>851</v>
      </c>
      <c r="O1085" s="4">
        <v>0.22933170209512199</v>
      </c>
      <c r="P1085" s="3">
        <v>899.76000000000204</v>
      </c>
    </row>
    <row r="1086" spans="1:17" ht="15" customHeight="1" x14ac:dyDescent="0.3">
      <c r="A1086">
        <v>2021</v>
      </c>
      <c r="B1086" s="2">
        <v>44319</v>
      </c>
      <c r="C1086" t="s">
        <v>190</v>
      </c>
      <c r="D1086" t="s">
        <v>283</v>
      </c>
      <c r="F1086" t="s">
        <v>20</v>
      </c>
      <c r="G1086" t="s">
        <v>21</v>
      </c>
      <c r="H1086" t="s">
        <v>22</v>
      </c>
      <c r="I1086" t="s">
        <v>141</v>
      </c>
      <c r="J1086" t="s">
        <v>123</v>
      </c>
      <c r="K1086" s="3">
        <v>50337.1</v>
      </c>
      <c r="L1086" t="s">
        <v>793</v>
      </c>
      <c r="M1086" t="s">
        <v>852</v>
      </c>
      <c r="O1086" s="4">
        <v>0.170710867332445</v>
      </c>
      <c r="P1086" s="3">
        <v>8593.0900000000202</v>
      </c>
    </row>
    <row r="1087" spans="1:17" ht="15" customHeight="1" x14ac:dyDescent="0.3">
      <c r="A1087">
        <v>2021</v>
      </c>
      <c r="B1087" s="2">
        <v>44319</v>
      </c>
      <c r="C1087" t="s">
        <v>190</v>
      </c>
      <c r="D1087" t="s">
        <v>283</v>
      </c>
      <c r="F1087" t="s">
        <v>20</v>
      </c>
      <c r="G1087" t="s">
        <v>21</v>
      </c>
      <c r="H1087" t="s">
        <v>22</v>
      </c>
      <c r="I1087" t="s">
        <v>141</v>
      </c>
      <c r="J1087" t="s">
        <v>123</v>
      </c>
      <c r="K1087" s="3">
        <v>13482.4</v>
      </c>
      <c r="L1087" t="s">
        <v>793</v>
      </c>
      <c r="M1087" t="s">
        <v>853</v>
      </c>
      <c r="O1087" s="4">
        <v>0.171677149468937</v>
      </c>
      <c r="P1087" s="3">
        <v>2314.62</v>
      </c>
    </row>
    <row r="1088" spans="1:17" ht="15" customHeight="1" x14ac:dyDescent="0.3">
      <c r="A1088">
        <v>2021</v>
      </c>
      <c r="B1088" s="2">
        <v>44319</v>
      </c>
      <c r="C1088" t="s">
        <v>190</v>
      </c>
      <c r="D1088" t="s">
        <v>596</v>
      </c>
      <c r="E1088" t="s">
        <v>597</v>
      </c>
      <c r="F1088" t="s">
        <v>20</v>
      </c>
      <c r="G1088" t="s">
        <v>38</v>
      </c>
      <c r="H1088" t="s">
        <v>89</v>
      </c>
      <c r="I1088" t="s">
        <v>23</v>
      </c>
      <c r="J1088" t="s">
        <v>50</v>
      </c>
      <c r="K1088" s="3">
        <v>475000</v>
      </c>
      <c r="L1088" t="s">
        <v>793</v>
      </c>
      <c r="M1088" t="s">
        <v>854</v>
      </c>
      <c r="O1088" s="4">
        <v>0.152668063157895</v>
      </c>
      <c r="P1088" s="3">
        <v>72517.330000000104</v>
      </c>
    </row>
    <row r="1089" spans="1:16" ht="15" customHeight="1" x14ac:dyDescent="0.3">
      <c r="A1089">
        <v>2021</v>
      </c>
      <c r="B1089" s="2">
        <v>44320</v>
      </c>
      <c r="C1089" t="s">
        <v>190</v>
      </c>
      <c r="D1089" t="s">
        <v>773</v>
      </c>
      <c r="F1089" t="s">
        <v>20</v>
      </c>
      <c r="G1089" t="s">
        <v>38</v>
      </c>
      <c r="H1089" t="s">
        <v>39</v>
      </c>
      <c r="I1089" t="s">
        <v>136</v>
      </c>
      <c r="J1089" t="s">
        <v>50</v>
      </c>
      <c r="K1089" s="3">
        <v>188467.65</v>
      </c>
      <c r="L1089" t="s">
        <v>793</v>
      </c>
      <c r="M1089" t="s">
        <v>855</v>
      </c>
      <c r="O1089" s="4">
        <v>0.12468813613370799</v>
      </c>
      <c r="P1089" s="3">
        <v>23499.68</v>
      </c>
    </row>
    <row r="1090" spans="1:16" ht="15" customHeight="1" x14ac:dyDescent="0.3">
      <c r="A1090">
        <v>2021</v>
      </c>
      <c r="B1090" s="2">
        <v>44323</v>
      </c>
      <c r="C1090" t="s">
        <v>190</v>
      </c>
      <c r="D1090" t="s">
        <v>155</v>
      </c>
      <c r="F1090" t="s">
        <v>20</v>
      </c>
      <c r="G1090" t="s">
        <v>38</v>
      </c>
      <c r="H1090" t="s">
        <v>39</v>
      </c>
      <c r="I1090" t="s">
        <v>23</v>
      </c>
      <c r="J1090" t="s">
        <v>50</v>
      </c>
      <c r="K1090" s="3">
        <v>960</v>
      </c>
      <c r="L1090" t="s">
        <v>793</v>
      </c>
      <c r="M1090" t="s">
        <v>856</v>
      </c>
      <c r="O1090" s="4">
        <v>0.2</v>
      </c>
      <c r="P1090" s="3">
        <v>192</v>
      </c>
    </row>
    <row r="1091" spans="1:16" ht="15" customHeight="1" x14ac:dyDescent="0.3">
      <c r="A1091">
        <v>2021</v>
      </c>
      <c r="B1091" s="2">
        <v>44323</v>
      </c>
      <c r="C1091" t="s">
        <v>190</v>
      </c>
      <c r="D1091" t="s">
        <v>774</v>
      </c>
      <c r="F1091" t="s">
        <v>20</v>
      </c>
      <c r="G1091" t="s">
        <v>38</v>
      </c>
      <c r="H1091" t="s">
        <v>147</v>
      </c>
      <c r="I1091" t="s">
        <v>306</v>
      </c>
      <c r="J1091" t="s">
        <v>50</v>
      </c>
      <c r="K1091" s="3">
        <v>50803.5</v>
      </c>
      <c r="L1091" t="s">
        <v>793</v>
      </c>
      <c r="M1091" t="s">
        <v>857</v>
      </c>
      <c r="O1091" s="4">
        <v>0.13372385760823599</v>
      </c>
      <c r="P1091" s="3">
        <v>6793.6400000000203</v>
      </c>
    </row>
    <row r="1092" spans="1:16" ht="15" customHeight="1" x14ac:dyDescent="0.3">
      <c r="A1092">
        <v>2021</v>
      </c>
      <c r="B1092" s="2">
        <v>44326</v>
      </c>
      <c r="C1092" t="s">
        <v>190</v>
      </c>
      <c r="D1092" t="s">
        <v>816</v>
      </c>
      <c r="F1092" t="s">
        <v>20</v>
      </c>
      <c r="G1092" t="s">
        <v>107</v>
      </c>
      <c r="H1092" t="s">
        <v>108</v>
      </c>
      <c r="I1092" t="s">
        <v>23</v>
      </c>
      <c r="J1092" t="s">
        <v>50</v>
      </c>
      <c r="K1092" s="3">
        <v>375</v>
      </c>
      <c r="L1092" t="s">
        <v>825</v>
      </c>
      <c r="M1092" t="s">
        <v>858</v>
      </c>
      <c r="O1092" s="4">
        <v>1.0845</v>
      </c>
      <c r="P1092" s="3">
        <v>406.6875</v>
      </c>
    </row>
    <row r="1093" spans="1:16" ht="15" customHeight="1" x14ac:dyDescent="0.3">
      <c r="A1093">
        <v>2021</v>
      </c>
      <c r="B1093" s="2">
        <v>44330</v>
      </c>
      <c r="C1093" t="s">
        <v>190</v>
      </c>
      <c r="D1093" t="s">
        <v>859</v>
      </c>
      <c r="F1093" t="s">
        <v>20</v>
      </c>
      <c r="G1093" t="s">
        <v>21</v>
      </c>
      <c r="H1093" t="s">
        <v>22</v>
      </c>
      <c r="I1093" t="s">
        <v>306</v>
      </c>
      <c r="J1093" t="s">
        <v>123</v>
      </c>
      <c r="K1093" s="3">
        <v>34311.910000000003</v>
      </c>
      <c r="L1093" t="s">
        <v>793</v>
      </c>
      <c r="M1093" t="s">
        <v>860</v>
      </c>
      <c r="O1093" s="4">
        <v>0.19618902008078301</v>
      </c>
      <c r="P1093" s="3">
        <v>6731.6200000000199</v>
      </c>
    </row>
    <row r="1094" spans="1:16" ht="15" customHeight="1" x14ac:dyDescent="0.3">
      <c r="A1094">
        <v>2021</v>
      </c>
      <c r="B1094" s="2">
        <v>44330</v>
      </c>
      <c r="C1094" t="s">
        <v>190</v>
      </c>
      <c r="D1094" t="s">
        <v>859</v>
      </c>
      <c r="F1094" t="s">
        <v>20</v>
      </c>
      <c r="G1094" t="s">
        <v>21</v>
      </c>
      <c r="H1094" t="s">
        <v>22</v>
      </c>
      <c r="I1094" t="s">
        <v>306</v>
      </c>
      <c r="J1094" t="s">
        <v>123</v>
      </c>
      <c r="K1094" s="3">
        <v>49341.91</v>
      </c>
      <c r="L1094" t="s">
        <v>793</v>
      </c>
      <c r="M1094" t="s">
        <v>861</v>
      </c>
      <c r="O1094" s="4">
        <v>0.19454496187926301</v>
      </c>
      <c r="P1094" s="3">
        <v>9599.2200000000303</v>
      </c>
    </row>
    <row r="1095" spans="1:16" ht="15" customHeight="1" x14ac:dyDescent="0.3">
      <c r="A1095">
        <v>2021</v>
      </c>
      <c r="B1095" s="2">
        <v>44333</v>
      </c>
      <c r="C1095" t="s">
        <v>190</v>
      </c>
      <c r="D1095" t="s">
        <v>36</v>
      </c>
      <c r="F1095" t="s">
        <v>20</v>
      </c>
      <c r="G1095" t="s">
        <v>38</v>
      </c>
      <c r="H1095" t="s">
        <v>39</v>
      </c>
      <c r="I1095" t="s">
        <v>141</v>
      </c>
      <c r="J1095" t="s">
        <v>123</v>
      </c>
      <c r="K1095" s="3">
        <v>4450</v>
      </c>
      <c r="L1095" t="s">
        <v>825</v>
      </c>
      <c r="M1095" t="s">
        <v>862</v>
      </c>
      <c r="O1095" s="4">
        <v>0.15</v>
      </c>
      <c r="P1095" s="3">
        <v>667.5</v>
      </c>
    </row>
    <row r="1096" spans="1:16" ht="15" customHeight="1" x14ac:dyDescent="0.3">
      <c r="A1096">
        <v>2021</v>
      </c>
      <c r="B1096" s="2">
        <v>44334</v>
      </c>
      <c r="C1096" t="s">
        <v>190</v>
      </c>
      <c r="D1096" t="s">
        <v>832</v>
      </c>
      <c r="F1096" t="s">
        <v>20</v>
      </c>
      <c r="G1096" t="s">
        <v>38</v>
      </c>
      <c r="H1096" t="s">
        <v>39</v>
      </c>
      <c r="I1096" t="s">
        <v>306</v>
      </c>
      <c r="J1096" t="s">
        <v>123</v>
      </c>
      <c r="K1096" s="3">
        <v>14231.1798056156</v>
      </c>
      <c r="L1096" t="s">
        <v>793</v>
      </c>
      <c r="M1096" t="s">
        <v>863</v>
      </c>
      <c r="O1096" s="4">
        <v>8.16067122852773E-2</v>
      </c>
      <c r="P1096" s="3">
        <v>1161.3597958769201</v>
      </c>
    </row>
    <row r="1097" spans="1:16" ht="15" customHeight="1" x14ac:dyDescent="0.3">
      <c r="A1097">
        <v>2021</v>
      </c>
      <c r="B1097" s="2">
        <v>44340</v>
      </c>
      <c r="C1097" t="s">
        <v>190</v>
      </c>
      <c r="D1097" t="s">
        <v>864</v>
      </c>
      <c r="F1097" t="s">
        <v>20</v>
      </c>
      <c r="G1097" t="s">
        <v>107</v>
      </c>
      <c r="H1097" t="s">
        <v>108</v>
      </c>
      <c r="I1097" t="s">
        <v>23</v>
      </c>
      <c r="J1097" t="s">
        <v>123</v>
      </c>
      <c r="K1097" s="3">
        <v>786741.35</v>
      </c>
      <c r="L1097" t="s">
        <v>793</v>
      </c>
      <c r="M1097" t="s">
        <v>865</v>
      </c>
      <c r="O1097" s="4">
        <v>0.118499898346515</v>
      </c>
      <c r="P1097" s="3">
        <v>93228.77</v>
      </c>
    </row>
    <row r="1098" spans="1:16" ht="15" customHeight="1" x14ac:dyDescent="0.3">
      <c r="A1098">
        <v>2021</v>
      </c>
      <c r="B1098" s="2">
        <v>44340</v>
      </c>
      <c r="C1098" t="s">
        <v>190</v>
      </c>
      <c r="D1098" t="s">
        <v>596</v>
      </c>
      <c r="F1098" t="s">
        <v>20</v>
      </c>
      <c r="G1098" t="s">
        <v>38</v>
      </c>
      <c r="H1098" t="s">
        <v>89</v>
      </c>
      <c r="I1098" t="s">
        <v>23</v>
      </c>
      <c r="J1098" t="s">
        <v>50</v>
      </c>
      <c r="K1098" s="3">
        <v>284459.39</v>
      </c>
      <c r="L1098" t="s">
        <v>793</v>
      </c>
      <c r="M1098" t="s">
        <v>866</v>
      </c>
      <c r="O1098" s="4">
        <v>0.197127540771286</v>
      </c>
      <c r="P1098" s="3">
        <v>56074.780000000101</v>
      </c>
    </row>
    <row r="1099" spans="1:16" ht="15" customHeight="1" x14ac:dyDescent="0.3">
      <c r="A1099">
        <v>2021</v>
      </c>
      <c r="B1099" s="2">
        <v>44340</v>
      </c>
      <c r="C1099" t="s">
        <v>190</v>
      </c>
      <c r="D1099" t="s">
        <v>773</v>
      </c>
      <c r="F1099" t="s">
        <v>20</v>
      </c>
      <c r="G1099" t="s">
        <v>38</v>
      </c>
      <c r="H1099" t="s">
        <v>39</v>
      </c>
      <c r="I1099" t="s">
        <v>136</v>
      </c>
      <c r="J1099" t="s">
        <v>50</v>
      </c>
      <c r="K1099" s="3">
        <v>780</v>
      </c>
      <c r="L1099" t="s">
        <v>793</v>
      </c>
      <c r="M1099" t="s">
        <v>867</v>
      </c>
      <c r="O1099" s="4">
        <v>0.146153846153846</v>
      </c>
      <c r="P1099" s="3">
        <v>114</v>
      </c>
    </row>
    <row r="1100" spans="1:16" ht="15" customHeight="1" x14ac:dyDescent="0.3">
      <c r="A1100">
        <v>2021</v>
      </c>
      <c r="B1100" s="2">
        <v>44341</v>
      </c>
      <c r="C1100" t="s">
        <v>190</v>
      </c>
      <c r="D1100" t="s">
        <v>816</v>
      </c>
      <c r="F1100" t="s">
        <v>20</v>
      </c>
      <c r="G1100" t="s">
        <v>107</v>
      </c>
      <c r="H1100" t="s">
        <v>108</v>
      </c>
      <c r="I1100" t="s">
        <v>23</v>
      </c>
      <c r="J1100" t="s">
        <v>50</v>
      </c>
      <c r="K1100" s="3">
        <v>4400</v>
      </c>
      <c r="L1100" t="s">
        <v>793</v>
      </c>
      <c r="M1100" t="s">
        <v>868</v>
      </c>
      <c r="O1100" s="4">
        <v>0.217275</v>
      </c>
      <c r="P1100" s="3">
        <v>956.01</v>
      </c>
    </row>
    <row r="1101" spans="1:16" ht="15" customHeight="1" x14ac:dyDescent="0.3">
      <c r="A1101">
        <v>2021</v>
      </c>
      <c r="B1101" s="2">
        <v>44342</v>
      </c>
      <c r="C1101" t="s">
        <v>190</v>
      </c>
      <c r="D1101" t="s">
        <v>746</v>
      </c>
      <c r="F1101" t="s">
        <v>20</v>
      </c>
      <c r="G1101" t="s">
        <v>21</v>
      </c>
      <c r="H1101" t="s">
        <v>22</v>
      </c>
      <c r="I1101" t="s">
        <v>141</v>
      </c>
      <c r="J1101" t="s">
        <v>50</v>
      </c>
      <c r="K1101" s="3">
        <v>7000</v>
      </c>
      <c r="L1101" t="s">
        <v>793</v>
      </c>
      <c r="M1101" t="s">
        <v>869</v>
      </c>
      <c r="O1101" s="4">
        <v>0.2</v>
      </c>
      <c r="P1101" s="3">
        <v>1400</v>
      </c>
    </row>
    <row r="1102" spans="1:16" ht="15" customHeight="1" x14ac:dyDescent="0.3">
      <c r="A1102">
        <v>2021</v>
      </c>
      <c r="B1102" s="2">
        <v>44343</v>
      </c>
      <c r="C1102" t="s">
        <v>190</v>
      </c>
      <c r="D1102" t="s">
        <v>322</v>
      </c>
      <c r="F1102" t="s">
        <v>20</v>
      </c>
      <c r="G1102" t="s">
        <v>38</v>
      </c>
      <c r="H1102" t="s">
        <v>39</v>
      </c>
      <c r="I1102" t="s">
        <v>178</v>
      </c>
      <c r="J1102" t="s">
        <v>123</v>
      </c>
      <c r="K1102" s="3">
        <v>540000</v>
      </c>
      <c r="L1102" t="s">
        <v>793</v>
      </c>
      <c r="M1102" t="s">
        <v>870</v>
      </c>
      <c r="O1102" s="4">
        <v>0.17006507407407401</v>
      </c>
      <c r="P1102" s="3">
        <v>91835.14</v>
      </c>
    </row>
    <row r="1103" spans="1:16" ht="15" customHeight="1" x14ac:dyDescent="0.3">
      <c r="A1103">
        <v>2021</v>
      </c>
      <c r="B1103" s="2">
        <v>44348</v>
      </c>
      <c r="C1103" t="s">
        <v>218</v>
      </c>
      <c r="D1103" t="s">
        <v>832</v>
      </c>
      <c r="F1103" t="s">
        <v>20</v>
      </c>
      <c r="G1103" t="s">
        <v>38</v>
      </c>
      <c r="H1103" t="s">
        <v>39</v>
      </c>
      <c r="I1103" t="s">
        <v>306</v>
      </c>
      <c r="J1103" t="s">
        <v>123</v>
      </c>
      <c r="K1103" s="3">
        <v>1029</v>
      </c>
      <c r="L1103" t="s">
        <v>825</v>
      </c>
      <c r="M1103" t="s">
        <v>871</v>
      </c>
      <c r="O1103" s="4">
        <v>0.15</v>
      </c>
      <c r="P1103" s="3">
        <v>154.35</v>
      </c>
    </row>
    <row r="1104" spans="1:16" ht="15" customHeight="1" x14ac:dyDescent="0.3">
      <c r="A1104">
        <v>2021</v>
      </c>
      <c r="B1104" s="2">
        <v>44348</v>
      </c>
      <c r="C1104" t="s">
        <v>218</v>
      </c>
      <c r="D1104" t="s">
        <v>750</v>
      </c>
      <c r="F1104" t="s">
        <v>20</v>
      </c>
      <c r="G1104" t="s">
        <v>38</v>
      </c>
      <c r="H1104" t="s">
        <v>39</v>
      </c>
      <c r="I1104" t="s">
        <v>306</v>
      </c>
      <c r="J1104" t="s">
        <v>50</v>
      </c>
      <c r="K1104" s="3">
        <v>27670</v>
      </c>
      <c r="L1104" t="s">
        <v>793</v>
      </c>
      <c r="M1104" t="s">
        <v>872</v>
      </c>
      <c r="O1104" s="4">
        <v>0.2</v>
      </c>
      <c r="P1104" s="3">
        <v>5534</v>
      </c>
    </row>
    <row r="1105" spans="1:16" ht="15" customHeight="1" x14ac:dyDescent="0.3">
      <c r="A1105">
        <v>2021</v>
      </c>
      <c r="B1105" s="2">
        <v>44348</v>
      </c>
      <c r="C1105" t="s">
        <v>218</v>
      </c>
      <c r="D1105" t="s">
        <v>786</v>
      </c>
      <c r="F1105" t="s">
        <v>20</v>
      </c>
      <c r="G1105" t="s">
        <v>21</v>
      </c>
      <c r="H1105" t="s">
        <v>22</v>
      </c>
      <c r="I1105" t="s">
        <v>23</v>
      </c>
      <c r="J1105" t="s">
        <v>123</v>
      </c>
      <c r="K1105" s="3">
        <v>542351.78</v>
      </c>
      <c r="L1105" t="s">
        <v>793</v>
      </c>
      <c r="M1105" t="s">
        <v>873</v>
      </c>
      <c r="O1105" s="4">
        <v>0.171276141105317</v>
      </c>
      <c r="P1105" s="3">
        <v>92891.919999999896</v>
      </c>
    </row>
    <row r="1106" spans="1:16" ht="15" customHeight="1" x14ac:dyDescent="0.3">
      <c r="A1106">
        <v>2021</v>
      </c>
      <c r="B1106" s="2">
        <v>44348</v>
      </c>
      <c r="C1106" t="s">
        <v>218</v>
      </c>
      <c r="D1106" t="s">
        <v>786</v>
      </c>
      <c r="F1106" t="s">
        <v>20</v>
      </c>
      <c r="G1106" t="s">
        <v>21</v>
      </c>
      <c r="H1106" t="s">
        <v>22</v>
      </c>
      <c r="I1106" t="s">
        <v>23</v>
      </c>
      <c r="J1106" t="s">
        <v>123</v>
      </c>
      <c r="K1106" s="3">
        <v>77082.080000000002</v>
      </c>
      <c r="L1106" t="s">
        <v>793</v>
      </c>
      <c r="M1106" t="s">
        <v>874</v>
      </c>
      <c r="O1106" s="4">
        <v>0.168459647170912</v>
      </c>
      <c r="P1106" s="3">
        <v>12985.22</v>
      </c>
    </row>
    <row r="1107" spans="1:16" ht="15" customHeight="1" x14ac:dyDescent="0.3">
      <c r="A1107">
        <v>2021</v>
      </c>
      <c r="B1107" s="2">
        <v>44348</v>
      </c>
      <c r="C1107" t="s">
        <v>218</v>
      </c>
      <c r="D1107" t="s">
        <v>786</v>
      </c>
      <c r="F1107" t="s">
        <v>20</v>
      </c>
      <c r="G1107" t="s">
        <v>21</v>
      </c>
      <c r="H1107" t="s">
        <v>22</v>
      </c>
      <c r="I1107" t="s">
        <v>23</v>
      </c>
      <c r="J1107" t="s">
        <v>123</v>
      </c>
      <c r="K1107" s="3">
        <v>8002.5</v>
      </c>
      <c r="L1107" t="s">
        <v>793</v>
      </c>
      <c r="M1107" t="s">
        <v>875</v>
      </c>
      <c r="O1107" s="4">
        <v>0.175307716338644</v>
      </c>
      <c r="P1107" s="3">
        <v>1402.9</v>
      </c>
    </row>
    <row r="1108" spans="1:16" ht="15" customHeight="1" x14ac:dyDescent="0.3">
      <c r="A1108">
        <v>2021</v>
      </c>
      <c r="B1108" s="2">
        <v>44348</v>
      </c>
      <c r="C1108" t="s">
        <v>218</v>
      </c>
      <c r="D1108" t="s">
        <v>776</v>
      </c>
      <c r="F1108" t="s">
        <v>20</v>
      </c>
      <c r="G1108" t="s">
        <v>38</v>
      </c>
      <c r="H1108" t="s">
        <v>147</v>
      </c>
      <c r="I1108" t="s">
        <v>136</v>
      </c>
      <c r="J1108" t="s">
        <v>50</v>
      </c>
      <c r="K1108" s="3">
        <v>327971.33</v>
      </c>
      <c r="L1108" t="s">
        <v>793</v>
      </c>
      <c r="M1108" t="s">
        <v>876</v>
      </c>
      <c r="O1108" s="4">
        <v>0.152485981015475</v>
      </c>
      <c r="P1108" s="3">
        <v>50011.030000000101</v>
      </c>
    </row>
    <row r="1109" spans="1:16" ht="15" customHeight="1" x14ac:dyDescent="0.3">
      <c r="A1109">
        <v>2021</v>
      </c>
      <c r="B1109" s="2">
        <v>44354</v>
      </c>
      <c r="C1109" t="s">
        <v>218</v>
      </c>
      <c r="D1109" t="s">
        <v>283</v>
      </c>
      <c r="F1109" t="s">
        <v>20</v>
      </c>
      <c r="G1109" t="s">
        <v>21</v>
      </c>
      <c r="H1109" t="s">
        <v>22</v>
      </c>
      <c r="I1109" t="s">
        <v>141</v>
      </c>
      <c r="J1109" t="s">
        <v>123</v>
      </c>
      <c r="K1109" s="3">
        <v>5469.5</v>
      </c>
      <c r="L1109" t="s">
        <v>793</v>
      </c>
      <c r="M1109" t="s">
        <v>877</v>
      </c>
      <c r="O1109" s="4">
        <v>0.189031904195996</v>
      </c>
      <c r="P1109" s="3">
        <v>1033.9100000000001</v>
      </c>
    </row>
    <row r="1110" spans="1:16" ht="15" customHeight="1" x14ac:dyDescent="0.3">
      <c r="A1110">
        <v>2021</v>
      </c>
      <c r="B1110" s="2">
        <v>44356</v>
      </c>
      <c r="C1110" t="s">
        <v>218</v>
      </c>
      <c r="D1110" t="s">
        <v>743</v>
      </c>
      <c r="F1110" t="s">
        <v>20</v>
      </c>
      <c r="G1110" t="s">
        <v>38</v>
      </c>
      <c r="H1110" t="s">
        <v>89</v>
      </c>
      <c r="I1110" t="s">
        <v>141</v>
      </c>
      <c r="J1110" t="s">
        <v>123</v>
      </c>
      <c r="K1110" s="3">
        <v>73106.880000000005</v>
      </c>
      <c r="L1110" t="s">
        <v>793</v>
      </c>
      <c r="M1110" t="s">
        <v>878</v>
      </c>
      <c r="O1110" s="4">
        <v>0.17395982430107801</v>
      </c>
      <c r="P1110" s="3">
        <v>12717.66</v>
      </c>
    </row>
    <row r="1111" spans="1:16" ht="15" customHeight="1" x14ac:dyDescent="0.3">
      <c r="A1111">
        <v>2021</v>
      </c>
      <c r="B1111" s="2">
        <v>44359</v>
      </c>
      <c r="C1111" t="s">
        <v>218</v>
      </c>
      <c r="D1111" t="s">
        <v>40</v>
      </c>
      <c r="F1111" t="s">
        <v>20</v>
      </c>
      <c r="G1111" t="s">
        <v>21</v>
      </c>
      <c r="H1111" t="s">
        <v>22</v>
      </c>
      <c r="I1111" t="s">
        <v>49</v>
      </c>
      <c r="J1111" t="s">
        <v>50</v>
      </c>
      <c r="K1111" s="3">
        <v>2450000</v>
      </c>
      <c r="L1111" t="s">
        <v>793</v>
      </c>
      <c r="M1111" t="s">
        <v>879</v>
      </c>
      <c r="O1111" s="4">
        <v>0.160069036734694</v>
      </c>
      <c r="P1111" s="3">
        <v>392169.14</v>
      </c>
    </row>
    <row r="1112" spans="1:16" ht="15" customHeight="1" x14ac:dyDescent="0.3">
      <c r="A1112">
        <v>2021</v>
      </c>
      <c r="B1112" s="2">
        <v>44359</v>
      </c>
      <c r="C1112" t="s">
        <v>218</v>
      </c>
      <c r="D1112" t="s">
        <v>776</v>
      </c>
      <c r="F1112" t="s">
        <v>20</v>
      </c>
      <c r="G1112" t="s">
        <v>38</v>
      </c>
      <c r="H1112" t="s">
        <v>147</v>
      </c>
      <c r="I1112" t="s">
        <v>136</v>
      </c>
      <c r="J1112" t="s">
        <v>50</v>
      </c>
      <c r="K1112" s="3">
        <v>32605.4</v>
      </c>
      <c r="L1112" t="s">
        <v>825</v>
      </c>
      <c r="M1112" t="s">
        <v>880</v>
      </c>
      <c r="O1112" s="4">
        <v>0.15</v>
      </c>
      <c r="P1112" s="3">
        <v>4890.8100000000004</v>
      </c>
    </row>
    <row r="1113" spans="1:16" ht="15" customHeight="1" x14ac:dyDescent="0.3">
      <c r="A1113">
        <v>2021</v>
      </c>
      <c r="B1113" s="2">
        <v>44365</v>
      </c>
      <c r="C1113" t="s">
        <v>218</v>
      </c>
      <c r="D1113" t="s">
        <v>842</v>
      </c>
      <c r="F1113" t="s">
        <v>20</v>
      </c>
      <c r="G1113" t="s">
        <v>107</v>
      </c>
      <c r="H1113" t="s">
        <v>108</v>
      </c>
      <c r="I1113" t="s">
        <v>306</v>
      </c>
      <c r="J1113" t="s">
        <v>123</v>
      </c>
      <c r="K1113" s="3">
        <v>1851.08</v>
      </c>
      <c r="L1113" t="s">
        <v>825</v>
      </c>
      <c r="M1113" t="s">
        <v>881</v>
      </c>
      <c r="O1113" s="4">
        <v>0.15</v>
      </c>
      <c r="P1113" s="3">
        <v>277.66199999999998</v>
      </c>
    </row>
    <row r="1114" spans="1:16" ht="15" customHeight="1" x14ac:dyDescent="0.3">
      <c r="A1114">
        <v>2021</v>
      </c>
      <c r="B1114" s="2">
        <v>44369</v>
      </c>
      <c r="C1114" t="s">
        <v>218</v>
      </c>
      <c r="D1114" t="s">
        <v>750</v>
      </c>
      <c r="F1114" t="s">
        <v>20</v>
      </c>
      <c r="G1114" t="s">
        <v>38</v>
      </c>
      <c r="H1114" t="s">
        <v>39</v>
      </c>
      <c r="I1114" t="s">
        <v>306</v>
      </c>
      <c r="J1114" t="s">
        <v>110</v>
      </c>
      <c r="K1114" s="3">
        <v>5877.54</v>
      </c>
      <c r="L1114" t="s">
        <v>793</v>
      </c>
      <c r="M1114" t="s">
        <v>882</v>
      </c>
      <c r="O1114" s="4">
        <v>0.218035096315806</v>
      </c>
      <c r="P1114" s="3">
        <v>1281.51</v>
      </c>
    </row>
    <row r="1115" spans="1:16" ht="15" customHeight="1" x14ac:dyDescent="0.3">
      <c r="A1115">
        <v>2021</v>
      </c>
      <c r="B1115" s="2">
        <v>44369</v>
      </c>
      <c r="C1115" t="s">
        <v>218</v>
      </c>
      <c r="D1115" t="s">
        <v>750</v>
      </c>
      <c r="F1115" t="s">
        <v>20</v>
      </c>
      <c r="G1115" t="s">
        <v>38</v>
      </c>
      <c r="H1115" t="s">
        <v>39</v>
      </c>
      <c r="I1115" t="s">
        <v>306</v>
      </c>
      <c r="J1115" t="s">
        <v>110</v>
      </c>
      <c r="K1115" s="3">
        <v>4896.78</v>
      </c>
      <c r="L1115" t="s">
        <v>793</v>
      </c>
      <c r="M1115" t="s">
        <v>883</v>
      </c>
      <c r="O1115" s="4">
        <v>0.221647695015908</v>
      </c>
      <c r="P1115" s="3">
        <v>1085.3599999999999</v>
      </c>
    </row>
    <row r="1116" spans="1:16" ht="15" customHeight="1" x14ac:dyDescent="0.3">
      <c r="A1116">
        <v>2021</v>
      </c>
      <c r="B1116" s="2">
        <v>44369</v>
      </c>
      <c r="C1116" t="s">
        <v>218</v>
      </c>
      <c r="D1116" t="s">
        <v>830</v>
      </c>
      <c r="F1116" t="s">
        <v>20</v>
      </c>
      <c r="G1116" t="s">
        <v>21</v>
      </c>
      <c r="H1116" t="s">
        <v>22</v>
      </c>
      <c r="I1116" t="s">
        <v>23</v>
      </c>
      <c r="J1116" t="s">
        <v>110</v>
      </c>
      <c r="K1116" s="3">
        <v>900</v>
      </c>
      <c r="L1116" t="s">
        <v>793</v>
      </c>
      <c r="M1116" t="s">
        <v>884</v>
      </c>
      <c r="O1116" s="4">
        <v>0.28888888888888897</v>
      </c>
      <c r="P1116" s="3">
        <v>260</v>
      </c>
    </row>
    <row r="1117" spans="1:16" ht="15" customHeight="1" x14ac:dyDescent="0.3">
      <c r="A1117">
        <v>2021</v>
      </c>
      <c r="B1117" s="2">
        <v>44371</v>
      </c>
      <c r="C1117" t="s">
        <v>218</v>
      </c>
      <c r="D1117" t="s">
        <v>283</v>
      </c>
      <c r="F1117" t="s">
        <v>20</v>
      </c>
      <c r="G1117" t="s">
        <v>21</v>
      </c>
      <c r="H1117" t="s">
        <v>22</v>
      </c>
      <c r="I1117" t="s">
        <v>141</v>
      </c>
      <c r="J1117" t="s">
        <v>123</v>
      </c>
      <c r="K1117" s="3">
        <v>20900</v>
      </c>
      <c r="L1117" t="s">
        <v>793</v>
      </c>
      <c r="M1117" t="s">
        <v>885</v>
      </c>
      <c r="O1117" s="4">
        <v>0.19274066985645899</v>
      </c>
      <c r="P1117" s="3">
        <v>4028.2799999999902</v>
      </c>
    </row>
    <row r="1118" spans="1:16" ht="15" customHeight="1" x14ac:dyDescent="0.3">
      <c r="A1118">
        <v>2021</v>
      </c>
      <c r="B1118" s="2">
        <v>44371</v>
      </c>
      <c r="C1118" t="s">
        <v>218</v>
      </c>
      <c r="D1118" t="s">
        <v>36</v>
      </c>
      <c r="F1118" t="s">
        <v>20</v>
      </c>
      <c r="G1118" t="s">
        <v>38</v>
      </c>
      <c r="H1118" t="s">
        <v>39</v>
      </c>
      <c r="I1118" t="s">
        <v>141</v>
      </c>
      <c r="J1118" t="s">
        <v>123</v>
      </c>
      <c r="K1118" s="3">
        <v>7770</v>
      </c>
      <c r="L1118" t="s">
        <v>793</v>
      </c>
      <c r="M1118" t="s">
        <v>886</v>
      </c>
      <c r="O1118" s="4">
        <v>0.19819819819819801</v>
      </c>
      <c r="P1118" s="3">
        <v>1540</v>
      </c>
    </row>
    <row r="1119" spans="1:16" ht="15" customHeight="1" x14ac:dyDescent="0.3">
      <c r="A1119">
        <v>2021</v>
      </c>
      <c r="B1119" s="2">
        <v>44375</v>
      </c>
      <c r="C1119" t="s">
        <v>218</v>
      </c>
      <c r="D1119" t="s">
        <v>832</v>
      </c>
      <c r="F1119" t="s">
        <v>20</v>
      </c>
      <c r="G1119" t="s">
        <v>38</v>
      </c>
      <c r="H1119" t="s">
        <v>39</v>
      </c>
      <c r="I1119" t="s">
        <v>306</v>
      </c>
      <c r="J1119" t="s">
        <v>110</v>
      </c>
      <c r="K1119" s="3">
        <v>1900.0476787954799</v>
      </c>
      <c r="L1119" t="s">
        <v>825</v>
      </c>
      <c r="M1119" t="s">
        <v>887</v>
      </c>
      <c r="O1119" s="4">
        <v>0.146006350757206</v>
      </c>
      <c r="P1119" s="3">
        <v>277.41902784562802</v>
      </c>
    </row>
    <row r="1120" spans="1:16" ht="15" customHeight="1" x14ac:dyDescent="0.3">
      <c r="A1120">
        <v>2021</v>
      </c>
      <c r="B1120" s="2">
        <v>44378</v>
      </c>
      <c r="C1120" t="s">
        <v>262</v>
      </c>
      <c r="D1120" t="s">
        <v>662</v>
      </c>
      <c r="F1120" t="s">
        <v>20</v>
      </c>
      <c r="G1120" t="s">
        <v>107</v>
      </c>
      <c r="H1120" t="s">
        <v>108</v>
      </c>
      <c r="I1120" t="s">
        <v>136</v>
      </c>
      <c r="J1120" t="s">
        <v>123</v>
      </c>
      <c r="K1120" s="3">
        <v>179401.74</v>
      </c>
      <c r="L1120" t="s">
        <v>793</v>
      </c>
      <c r="M1120" t="s">
        <v>888</v>
      </c>
      <c r="O1120" s="4">
        <v>0.16424902010426401</v>
      </c>
      <c r="P1120" s="3">
        <v>29466.559999999899</v>
      </c>
    </row>
    <row r="1121" spans="1:16" ht="15" customHeight="1" x14ac:dyDescent="0.3">
      <c r="A1121">
        <v>2021</v>
      </c>
      <c r="B1121" s="2">
        <v>44384</v>
      </c>
      <c r="C1121" t="s">
        <v>262</v>
      </c>
      <c r="D1121" t="s">
        <v>746</v>
      </c>
      <c r="F1121" t="s">
        <v>20</v>
      </c>
      <c r="G1121" t="s">
        <v>21</v>
      </c>
      <c r="H1121" t="s">
        <v>22</v>
      </c>
      <c r="I1121" t="s">
        <v>141</v>
      </c>
      <c r="J1121" t="s">
        <v>50</v>
      </c>
      <c r="K1121" s="3">
        <v>493887.32</v>
      </c>
      <c r="L1121" t="s">
        <v>793</v>
      </c>
      <c r="M1121" t="s">
        <v>889</v>
      </c>
      <c r="O1121" s="4">
        <v>0.109748940304845</v>
      </c>
      <c r="P1121" s="3">
        <v>54203.609999999899</v>
      </c>
    </row>
    <row r="1122" spans="1:16" ht="15" customHeight="1" x14ac:dyDescent="0.3">
      <c r="A1122">
        <v>2021</v>
      </c>
      <c r="B1122" s="2">
        <v>44384</v>
      </c>
      <c r="C1122" t="s">
        <v>262</v>
      </c>
      <c r="D1122" t="s">
        <v>675</v>
      </c>
      <c r="F1122" t="s">
        <v>20</v>
      </c>
      <c r="G1122" t="s">
        <v>38</v>
      </c>
      <c r="H1122" t="s">
        <v>147</v>
      </c>
      <c r="I1122" t="s">
        <v>306</v>
      </c>
      <c r="J1122" t="s">
        <v>50</v>
      </c>
      <c r="K1122" s="3">
        <v>82000</v>
      </c>
      <c r="L1122" t="s">
        <v>793</v>
      </c>
      <c r="M1122" t="s">
        <v>890</v>
      </c>
      <c r="O1122" s="4">
        <v>0.20206487804878101</v>
      </c>
      <c r="P1122" s="3">
        <v>16569.32</v>
      </c>
    </row>
    <row r="1123" spans="1:16" ht="15" customHeight="1" x14ac:dyDescent="0.3">
      <c r="A1123">
        <v>2021</v>
      </c>
      <c r="B1123" s="2">
        <v>44385</v>
      </c>
      <c r="C1123" t="s">
        <v>262</v>
      </c>
      <c r="D1123" t="s">
        <v>859</v>
      </c>
      <c r="F1123" t="s">
        <v>20</v>
      </c>
      <c r="G1123" t="s">
        <v>21</v>
      </c>
      <c r="H1123" t="s">
        <v>22</v>
      </c>
      <c r="I1123" t="s">
        <v>306</v>
      </c>
      <c r="J1123" t="s">
        <v>123</v>
      </c>
      <c r="K1123" s="3">
        <v>815.88</v>
      </c>
      <c r="L1123" t="s">
        <v>825</v>
      </c>
      <c r="M1123" t="s">
        <v>891</v>
      </c>
      <c r="O1123" s="4">
        <v>0.15</v>
      </c>
      <c r="P1123" s="3">
        <v>122.38200000000001</v>
      </c>
    </row>
    <row r="1124" spans="1:16" ht="15" customHeight="1" x14ac:dyDescent="0.3">
      <c r="A1124">
        <v>2021</v>
      </c>
      <c r="B1124" s="2">
        <v>44386</v>
      </c>
      <c r="C1124" t="s">
        <v>262</v>
      </c>
      <c r="D1124" t="s">
        <v>395</v>
      </c>
      <c r="F1124" t="s">
        <v>20</v>
      </c>
      <c r="G1124" t="s">
        <v>21</v>
      </c>
      <c r="H1124" t="s">
        <v>22</v>
      </c>
      <c r="I1124" t="s">
        <v>23</v>
      </c>
      <c r="J1124" t="s">
        <v>123</v>
      </c>
      <c r="K1124" s="3">
        <v>87898.61</v>
      </c>
      <c r="L1124" t="s">
        <v>793</v>
      </c>
      <c r="M1124" t="s">
        <v>892</v>
      </c>
      <c r="O1124" s="4">
        <v>0.12769041512715601</v>
      </c>
      <c r="P1124" s="3">
        <v>11223.81</v>
      </c>
    </row>
    <row r="1125" spans="1:16" ht="15" customHeight="1" x14ac:dyDescent="0.3">
      <c r="A1125">
        <v>2021</v>
      </c>
      <c r="B1125" s="2">
        <v>44389</v>
      </c>
      <c r="C1125" t="s">
        <v>262</v>
      </c>
      <c r="D1125" t="s">
        <v>893</v>
      </c>
      <c r="F1125" t="s">
        <v>20</v>
      </c>
      <c r="G1125" t="s">
        <v>107</v>
      </c>
      <c r="H1125" t="s">
        <v>108</v>
      </c>
      <c r="I1125" t="s">
        <v>23</v>
      </c>
      <c r="J1125" t="s">
        <v>27</v>
      </c>
      <c r="K1125" s="3">
        <v>80000</v>
      </c>
      <c r="L1125" t="s">
        <v>793</v>
      </c>
      <c r="M1125" t="s">
        <v>894</v>
      </c>
      <c r="O1125" s="4">
        <v>0.23451112499999999</v>
      </c>
      <c r="P1125" s="3">
        <v>18760.89</v>
      </c>
    </row>
    <row r="1126" spans="1:16" ht="15" customHeight="1" x14ac:dyDescent="0.3">
      <c r="A1126">
        <v>2021</v>
      </c>
      <c r="B1126" s="2">
        <v>44392</v>
      </c>
      <c r="C1126" t="s">
        <v>262</v>
      </c>
      <c r="D1126" t="s">
        <v>675</v>
      </c>
      <c r="F1126" t="s">
        <v>20</v>
      </c>
      <c r="G1126" t="s">
        <v>38</v>
      </c>
      <c r="H1126" t="s">
        <v>147</v>
      </c>
      <c r="I1126" t="s">
        <v>306</v>
      </c>
      <c r="J1126" t="s">
        <v>50</v>
      </c>
      <c r="K1126" s="3">
        <v>235675.28</v>
      </c>
      <c r="L1126" t="s">
        <v>793</v>
      </c>
      <c r="M1126" t="s">
        <v>895</v>
      </c>
      <c r="O1126" s="4">
        <v>0.24201855196692701</v>
      </c>
      <c r="P1126" s="3">
        <v>57037.790000000103</v>
      </c>
    </row>
    <row r="1127" spans="1:16" ht="15" customHeight="1" x14ac:dyDescent="0.3">
      <c r="A1127">
        <v>2021</v>
      </c>
      <c r="B1127" s="2">
        <v>44392</v>
      </c>
      <c r="C1127" t="s">
        <v>262</v>
      </c>
      <c r="D1127" t="s">
        <v>675</v>
      </c>
      <c r="F1127" t="s">
        <v>20</v>
      </c>
      <c r="G1127" t="s">
        <v>38</v>
      </c>
      <c r="H1127" t="s">
        <v>147</v>
      </c>
      <c r="I1127" t="s">
        <v>306</v>
      </c>
      <c r="J1127" t="s">
        <v>50</v>
      </c>
      <c r="K1127" s="3">
        <v>6340</v>
      </c>
      <c r="L1127" t="s">
        <v>825</v>
      </c>
      <c r="M1127" t="s">
        <v>896</v>
      </c>
      <c r="O1127" s="4">
        <v>0.15</v>
      </c>
      <c r="P1127" s="3">
        <v>951</v>
      </c>
    </row>
    <row r="1128" spans="1:16" ht="15" customHeight="1" x14ac:dyDescent="0.3">
      <c r="A1128">
        <v>2021</v>
      </c>
      <c r="B1128" s="2">
        <v>44394</v>
      </c>
      <c r="C1128" t="s">
        <v>262</v>
      </c>
      <c r="D1128" t="s">
        <v>786</v>
      </c>
      <c r="F1128" t="s">
        <v>20</v>
      </c>
      <c r="G1128" t="s">
        <v>21</v>
      </c>
      <c r="H1128" t="s">
        <v>22</v>
      </c>
      <c r="I1128" t="s">
        <v>23</v>
      </c>
      <c r="J1128" t="s">
        <v>123</v>
      </c>
      <c r="K1128" s="3">
        <v>9269.42</v>
      </c>
      <c r="L1128" t="s">
        <v>793</v>
      </c>
      <c r="M1128" t="s">
        <v>897</v>
      </c>
      <c r="O1128" s="4">
        <v>0.132800110470774</v>
      </c>
      <c r="P1128" s="3">
        <v>1230.98</v>
      </c>
    </row>
    <row r="1129" spans="1:16" ht="15" customHeight="1" x14ac:dyDescent="0.3">
      <c r="A1129">
        <v>2021</v>
      </c>
      <c r="B1129" s="2">
        <v>44394</v>
      </c>
      <c r="C1129" t="s">
        <v>262</v>
      </c>
      <c r="D1129" t="s">
        <v>845</v>
      </c>
      <c r="F1129" t="s">
        <v>20</v>
      </c>
      <c r="G1129" t="s">
        <v>38</v>
      </c>
      <c r="H1129" t="s">
        <v>846</v>
      </c>
      <c r="I1129" t="s">
        <v>23</v>
      </c>
      <c r="J1129" t="s">
        <v>123</v>
      </c>
      <c r="K1129" s="3">
        <v>37840</v>
      </c>
      <c r="L1129" t="s">
        <v>825</v>
      </c>
      <c r="M1129" t="s">
        <v>898</v>
      </c>
      <c r="O1129" s="4">
        <v>0.15</v>
      </c>
      <c r="P1129" s="3">
        <v>5676</v>
      </c>
    </row>
    <row r="1130" spans="1:16" ht="15" customHeight="1" x14ac:dyDescent="0.3">
      <c r="A1130">
        <v>2021</v>
      </c>
      <c r="B1130" s="2">
        <v>44396</v>
      </c>
      <c r="C1130" t="s">
        <v>262</v>
      </c>
      <c r="D1130" t="s">
        <v>596</v>
      </c>
      <c r="F1130" t="s">
        <v>20</v>
      </c>
      <c r="G1130" t="s">
        <v>38</v>
      </c>
      <c r="H1130" t="s">
        <v>89</v>
      </c>
      <c r="I1130" t="s">
        <v>23</v>
      </c>
      <c r="J1130" t="s">
        <v>50</v>
      </c>
      <c r="K1130" s="3">
        <v>74687.570000000007</v>
      </c>
      <c r="L1130" t="s">
        <v>793</v>
      </c>
      <c r="M1130" t="s">
        <v>899</v>
      </c>
      <c r="O1130" s="4">
        <v>0.196962761005613</v>
      </c>
      <c r="P1130" s="3">
        <v>14710.67</v>
      </c>
    </row>
    <row r="1131" spans="1:16" ht="15" customHeight="1" x14ac:dyDescent="0.3">
      <c r="A1131">
        <v>2021</v>
      </c>
      <c r="B1131" s="2">
        <v>44396</v>
      </c>
      <c r="C1131" t="s">
        <v>262</v>
      </c>
      <c r="D1131" t="s">
        <v>786</v>
      </c>
      <c r="F1131" t="s">
        <v>20</v>
      </c>
      <c r="G1131" t="s">
        <v>21</v>
      </c>
      <c r="H1131" t="s">
        <v>22</v>
      </c>
      <c r="I1131" t="s">
        <v>23</v>
      </c>
      <c r="J1131" t="s">
        <v>123</v>
      </c>
      <c r="K1131" s="3">
        <v>34722</v>
      </c>
      <c r="L1131" t="s">
        <v>825</v>
      </c>
      <c r="M1131" t="s">
        <v>900</v>
      </c>
      <c r="O1131" s="4">
        <v>0.15</v>
      </c>
      <c r="P1131" s="3">
        <v>5208.3</v>
      </c>
    </row>
    <row r="1132" spans="1:16" ht="15" customHeight="1" x14ac:dyDescent="0.3">
      <c r="A1132">
        <v>2021</v>
      </c>
      <c r="B1132" s="2">
        <v>44396</v>
      </c>
      <c r="C1132" t="s">
        <v>262</v>
      </c>
      <c r="D1132" t="s">
        <v>786</v>
      </c>
      <c r="F1132" t="s">
        <v>20</v>
      </c>
      <c r="G1132" t="s">
        <v>21</v>
      </c>
      <c r="H1132" t="s">
        <v>22</v>
      </c>
      <c r="I1132" t="s">
        <v>23</v>
      </c>
      <c r="J1132" t="s">
        <v>123</v>
      </c>
      <c r="K1132" s="3">
        <v>7165.69</v>
      </c>
      <c r="L1132" t="s">
        <v>825</v>
      </c>
      <c r="M1132" t="s">
        <v>901</v>
      </c>
      <c r="O1132" s="4">
        <v>0.15</v>
      </c>
      <c r="P1132" s="3">
        <v>1074.8534999999999</v>
      </c>
    </row>
    <row r="1133" spans="1:16" ht="15" customHeight="1" x14ac:dyDescent="0.3">
      <c r="A1133">
        <v>2021</v>
      </c>
      <c r="B1133" s="2">
        <v>44403</v>
      </c>
      <c r="C1133" t="s">
        <v>262</v>
      </c>
      <c r="D1133" t="s">
        <v>776</v>
      </c>
      <c r="F1133" t="s">
        <v>20</v>
      </c>
      <c r="G1133" t="s">
        <v>38</v>
      </c>
      <c r="H1133" t="s">
        <v>147</v>
      </c>
      <c r="I1133" t="s">
        <v>136</v>
      </c>
      <c r="J1133" t="s">
        <v>50</v>
      </c>
      <c r="K1133" s="3">
        <v>587524.37</v>
      </c>
      <c r="L1133" t="s">
        <v>793</v>
      </c>
      <c r="M1133" t="s">
        <v>902</v>
      </c>
      <c r="O1133" s="4">
        <v>0.18561019009305099</v>
      </c>
      <c r="P1133" s="3">
        <v>109050.51</v>
      </c>
    </row>
    <row r="1134" spans="1:16" ht="15" customHeight="1" x14ac:dyDescent="0.3">
      <c r="A1134">
        <v>2021</v>
      </c>
      <c r="B1134" s="2">
        <v>44412</v>
      </c>
      <c r="C1134" t="s">
        <v>291</v>
      </c>
      <c r="D1134" t="s">
        <v>61</v>
      </c>
      <c r="F1134" t="s">
        <v>20</v>
      </c>
      <c r="G1134" t="s">
        <v>21</v>
      </c>
      <c r="H1134" t="s">
        <v>22</v>
      </c>
      <c r="I1134" t="s">
        <v>23</v>
      </c>
      <c r="J1134" t="s">
        <v>27</v>
      </c>
      <c r="K1134" s="3">
        <v>58927.86</v>
      </c>
      <c r="L1134" t="s">
        <v>793</v>
      </c>
      <c r="O1134" s="4"/>
      <c r="P1134" s="3"/>
    </row>
    <row r="1135" spans="1:16" ht="15" customHeight="1" x14ac:dyDescent="0.3">
      <c r="A1135">
        <v>2021</v>
      </c>
      <c r="B1135" s="2">
        <v>44412</v>
      </c>
      <c r="C1135" t="s">
        <v>291</v>
      </c>
      <c r="D1135" t="s">
        <v>179</v>
      </c>
      <c r="F1135" t="s">
        <v>20</v>
      </c>
      <c r="G1135" t="s">
        <v>38</v>
      </c>
      <c r="H1135" t="s">
        <v>89</v>
      </c>
      <c r="I1135" t="s">
        <v>141</v>
      </c>
      <c r="J1135" t="s">
        <v>50</v>
      </c>
      <c r="K1135" s="3">
        <v>7263.93</v>
      </c>
      <c r="L1135" t="s">
        <v>825</v>
      </c>
      <c r="O1135" s="4"/>
      <c r="P1135" s="3"/>
    </row>
    <row r="1136" spans="1:16" ht="15" customHeight="1" x14ac:dyDescent="0.3">
      <c r="A1136">
        <v>2021</v>
      </c>
      <c r="B1136" s="2">
        <v>44413</v>
      </c>
      <c r="C1136" t="s">
        <v>291</v>
      </c>
      <c r="D1136" t="s">
        <v>283</v>
      </c>
      <c r="F1136" t="s">
        <v>20</v>
      </c>
      <c r="G1136" t="s">
        <v>21</v>
      </c>
      <c r="H1136" t="s">
        <v>22</v>
      </c>
      <c r="I1136" t="s">
        <v>141</v>
      </c>
      <c r="J1136" t="s">
        <v>123</v>
      </c>
      <c r="K1136" s="3">
        <v>4062.5</v>
      </c>
      <c r="L1136" t="s">
        <v>825</v>
      </c>
      <c r="O1136" s="4"/>
      <c r="P1136" s="3"/>
    </row>
    <row r="1137" spans="1:16" ht="15" customHeight="1" x14ac:dyDescent="0.3">
      <c r="A1137">
        <v>2021</v>
      </c>
      <c r="B1137" s="2">
        <v>44417</v>
      </c>
      <c r="C1137" t="s">
        <v>291</v>
      </c>
      <c r="D1137" t="s">
        <v>746</v>
      </c>
      <c r="F1137" t="s">
        <v>20</v>
      </c>
      <c r="G1137" t="s">
        <v>21</v>
      </c>
      <c r="H1137" t="s">
        <v>22</v>
      </c>
      <c r="I1137" t="s">
        <v>141</v>
      </c>
      <c r="J1137" t="s">
        <v>766</v>
      </c>
      <c r="K1137" s="3">
        <v>57252</v>
      </c>
      <c r="L1137" t="s">
        <v>903</v>
      </c>
      <c r="O1137" s="4"/>
      <c r="P1137" s="3"/>
    </row>
    <row r="1138" spans="1:16" ht="15" customHeight="1" x14ac:dyDescent="0.3">
      <c r="A1138">
        <v>2021</v>
      </c>
      <c r="B1138" s="2">
        <v>44419</v>
      </c>
      <c r="C1138" t="s">
        <v>291</v>
      </c>
      <c r="D1138" t="s">
        <v>746</v>
      </c>
      <c r="F1138" t="s">
        <v>20</v>
      </c>
      <c r="G1138" t="s">
        <v>21</v>
      </c>
      <c r="H1138" t="s">
        <v>22</v>
      </c>
      <c r="I1138" t="s">
        <v>141</v>
      </c>
      <c r="J1138" t="s">
        <v>766</v>
      </c>
      <c r="K1138" s="3">
        <v>153374.60999999999</v>
      </c>
      <c r="L1138" t="s">
        <v>793</v>
      </c>
      <c r="O1138" s="4"/>
      <c r="P1138" s="3"/>
    </row>
    <row r="1139" spans="1:16" ht="15" customHeight="1" x14ac:dyDescent="0.3">
      <c r="A1139">
        <v>2021</v>
      </c>
      <c r="B1139" s="2">
        <v>44420</v>
      </c>
      <c r="C1139" t="s">
        <v>291</v>
      </c>
      <c r="D1139" t="s">
        <v>194</v>
      </c>
      <c r="F1139" t="s">
        <v>20</v>
      </c>
      <c r="G1139" t="s">
        <v>38</v>
      </c>
      <c r="H1139" t="s">
        <v>89</v>
      </c>
      <c r="I1139" t="s">
        <v>742</v>
      </c>
      <c r="J1139" t="s">
        <v>110</v>
      </c>
      <c r="K1139" s="3">
        <v>300</v>
      </c>
      <c r="L1139" t="s">
        <v>825</v>
      </c>
      <c r="O1139" s="4"/>
      <c r="P1139" s="3"/>
    </row>
    <row r="1140" spans="1:16" ht="15" customHeight="1" x14ac:dyDescent="0.3">
      <c r="A1140">
        <v>2021</v>
      </c>
      <c r="B1140" s="2">
        <v>44420</v>
      </c>
      <c r="C1140" t="s">
        <v>291</v>
      </c>
      <c r="D1140" t="s">
        <v>767</v>
      </c>
      <c r="F1140" t="s">
        <v>20</v>
      </c>
      <c r="G1140" t="s">
        <v>38</v>
      </c>
      <c r="H1140" t="s">
        <v>619</v>
      </c>
      <c r="I1140" t="s">
        <v>23</v>
      </c>
      <c r="J1140" t="s">
        <v>123</v>
      </c>
      <c r="K1140" s="3">
        <v>38954.36</v>
      </c>
      <c r="L1140" t="s">
        <v>793</v>
      </c>
      <c r="O1140" s="4"/>
      <c r="P1140" s="3"/>
    </row>
    <row r="1141" spans="1:16" ht="15" customHeight="1" x14ac:dyDescent="0.3">
      <c r="A1141">
        <v>2021</v>
      </c>
      <c r="B1141" s="2">
        <v>44421</v>
      </c>
      <c r="C1141" t="s">
        <v>291</v>
      </c>
      <c r="D1141" t="s">
        <v>155</v>
      </c>
      <c r="F1141" t="s">
        <v>20</v>
      </c>
      <c r="G1141" t="s">
        <v>38</v>
      </c>
      <c r="H1141" t="s">
        <v>39</v>
      </c>
      <c r="I1141" t="s">
        <v>23</v>
      </c>
      <c r="J1141" t="s">
        <v>123</v>
      </c>
      <c r="K1141" s="3">
        <v>640</v>
      </c>
      <c r="L1141" t="s">
        <v>825</v>
      </c>
      <c r="O1141" s="4"/>
      <c r="P1141" s="3"/>
    </row>
    <row r="1142" spans="1:16" ht="15" customHeight="1" x14ac:dyDescent="0.3">
      <c r="A1142">
        <v>2021</v>
      </c>
      <c r="B1142" s="2">
        <v>44421</v>
      </c>
      <c r="C1142" t="s">
        <v>291</v>
      </c>
      <c r="D1142" t="s">
        <v>769</v>
      </c>
      <c r="F1142" t="s">
        <v>20</v>
      </c>
      <c r="G1142" t="s">
        <v>21</v>
      </c>
      <c r="H1142" t="s">
        <v>101</v>
      </c>
      <c r="I1142" t="s">
        <v>141</v>
      </c>
      <c r="J1142" t="s">
        <v>123</v>
      </c>
      <c r="K1142" s="3">
        <v>376387.74</v>
      </c>
      <c r="L1142" t="s">
        <v>793</v>
      </c>
      <c r="O1142" s="4"/>
      <c r="P1142" s="3"/>
    </row>
    <row r="1143" spans="1:16" ht="15" customHeight="1" x14ac:dyDescent="0.3">
      <c r="A1143">
        <v>2021</v>
      </c>
      <c r="B1143" s="2">
        <v>44425</v>
      </c>
      <c r="C1143" t="s">
        <v>291</v>
      </c>
      <c r="D1143" t="s">
        <v>776</v>
      </c>
      <c r="F1143" t="s">
        <v>20</v>
      </c>
      <c r="G1143" t="s">
        <v>38</v>
      </c>
      <c r="H1143" t="s">
        <v>147</v>
      </c>
      <c r="I1143" t="s">
        <v>136</v>
      </c>
      <c r="J1143" t="s">
        <v>50</v>
      </c>
      <c r="K1143" s="3">
        <v>700</v>
      </c>
      <c r="L1143" t="s">
        <v>825</v>
      </c>
      <c r="O1143" s="4"/>
      <c r="P1143" s="3"/>
    </row>
    <row r="1144" spans="1:16" ht="15" customHeight="1" x14ac:dyDescent="0.3">
      <c r="A1144">
        <v>2021</v>
      </c>
      <c r="B1144" s="2">
        <v>44426</v>
      </c>
      <c r="C1144" t="s">
        <v>291</v>
      </c>
      <c r="D1144" t="s">
        <v>83</v>
      </c>
      <c r="F1144" t="s">
        <v>20</v>
      </c>
      <c r="G1144" t="s">
        <v>21</v>
      </c>
      <c r="H1144" t="s">
        <v>22</v>
      </c>
      <c r="I1144" t="s">
        <v>23</v>
      </c>
      <c r="J1144" t="s">
        <v>27</v>
      </c>
      <c r="K1144" s="3">
        <v>1700</v>
      </c>
      <c r="O1144" s="4"/>
      <c r="P1144" s="3"/>
    </row>
    <row r="1145" spans="1:16" ht="15" customHeight="1" x14ac:dyDescent="0.3">
      <c r="A1145">
        <v>2021</v>
      </c>
      <c r="B1145" s="2">
        <v>44430</v>
      </c>
      <c r="C1145" t="s">
        <v>291</v>
      </c>
      <c r="D1145" t="s">
        <v>768</v>
      </c>
      <c r="F1145" t="s">
        <v>20</v>
      </c>
      <c r="G1145" t="s">
        <v>38</v>
      </c>
      <c r="H1145" t="s">
        <v>39</v>
      </c>
      <c r="I1145" t="s">
        <v>141</v>
      </c>
      <c r="J1145" t="s">
        <v>123</v>
      </c>
      <c r="K1145" s="3">
        <v>440677.97</v>
      </c>
      <c r="L1145" t="s">
        <v>793</v>
      </c>
      <c r="O1145" s="4"/>
      <c r="P1145" s="3"/>
    </row>
    <row r="1146" spans="1:16" ht="15" customHeight="1" x14ac:dyDescent="0.3">
      <c r="A1146">
        <v>2021</v>
      </c>
      <c r="B1146" s="2">
        <v>44446</v>
      </c>
      <c r="C1146" t="s">
        <v>325</v>
      </c>
      <c r="D1146" t="s">
        <v>746</v>
      </c>
      <c r="F1146" t="s">
        <v>20</v>
      </c>
      <c r="G1146" t="s">
        <v>21</v>
      </c>
      <c r="H1146" t="s">
        <v>22</v>
      </c>
      <c r="I1146" t="s">
        <v>141</v>
      </c>
      <c r="J1146" t="s">
        <v>50</v>
      </c>
      <c r="K1146" s="3">
        <v>135922</v>
      </c>
      <c r="L1146" t="s">
        <v>793</v>
      </c>
      <c r="M1146" t="s">
        <v>904</v>
      </c>
      <c r="O1146" s="4">
        <v>0.214526860993805</v>
      </c>
      <c r="P1146" s="3">
        <v>29158.92</v>
      </c>
    </row>
    <row r="1147" spans="1:16" ht="15" customHeight="1" x14ac:dyDescent="0.3">
      <c r="A1147">
        <v>2021</v>
      </c>
      <c r="B1147" s="2">
        <v>44447</v>
      </c>
      <c r="C1147" t="s">
        <v>325</v>
      </c>
      <c r="D1147" t="s">
        <v>47</v>
      </c>
      <c r="F1147" t="s">
        <v>20</v>
      </c>
      <c r="G1147" t="s">
        <v>38</v>
      </c>
      <c r="H1147" t="s">
        <v>39</v>
      </c>
      <c r="I1147" t="s">
        <v>23</v>
      </c>
      <c r="J1147" t="s">
        <v>50</v>
      </c>
      <c r="K1147" s="3">
        <v>30560.95</v>
      </c>
      <c r="L1147" t="s">
        <v>793</v>
      </c>
      <c r="M1147" t="s">
        <v>905</v>
      </c>
      <c r="O1147" s="4">
        <v>0.25400748340611101</v>
      </c>
      <c r="P1147" s="3">
        <v>7762.70999999999</v>
      </c>
    </row>
    <row r="1148" spans="1:16" ht="15" customHeight="1" x14ac:dyDescent="0.3">
      <c r="A1148">
        <v>2021</v>
      </c>
      <c r="B1148" s="2">
        <v>44453</v>
      </c>
      <c r="C1148" t="s">
        <v>325</v>
      </c>
      <c r="D1148" t="s">
        <v>906</v>
      </c>
      <c r="F1148" t="s">
        <v>20</v>
      </c>
      <c r="G1148" t="s">
        <v>107</v>
      </c>
      <c r="H1148" t="s">
        <v>108</v>
      </c>
      <c r="I1148" t="s">
        <v>23</v>
      </c>
      <c r="J1148" t="s">
        <v>123</v>
      </c>
      <c r="K1148" s="3">
        <v>937357</v>
      </c>
      <c r="L1148" t="s">
        <v>793</v>
      </c>
      <c r="M1148" t="s">
        <v>907</v>
      </c>
      <c r="O1148" s="4">
        <v>0.14512016232876099</v>
      </c>
      <c r="P1148" s="3">
        <v>136029.4</v>
      </c>
    </row>
    <row r="1149" spans="1:16" ht="15" customHeight="1" x14ac:dyDescent="0.3">
      <c r="A1149">
        <v>2021</v>
      </c>
      <c r="B1149" s="2">
        <v>44453</v>
      </c>
      <c r="C1149" t="s">
        <v>325</v>
      </c>
      <c r="D1149" t="s">
        <v>779</v>
      </c>
      <c r="F1149" t="s">
        <v>20</v>
      </c>
      <c r="G1149" t="s">
        <v>38</v>
      </c>
      <c r="H1149" t="s">
        <v>89</v>
      </c>
      <c r="I1149" t="s">
        <v>136</v>
      </c>
      <c r="J1149" t="s">
        <v>50</v>
      </c>
      <c r="K1149" s="3">
        <v>1700.82</v>
      </c>
      <c r="L1149" t="s">
        <v>825</v>
      </c>
      <c r="M1149" t="s">
        <v>908</v>
      </c>
      <c r="O1149" s="4">
        <v>0.15</v>
      </c>
      <c r="P1149" s="3">
        <v>255.12299999999999</v>
      </c>
    </row>
    <row r="1150" spans="1:16" ht="15" customHeight="1" x14ac:dyDescent="0.3">
      <c r="A1150">
        <v>2021</v>
      </c>
      <c r="B1150" s="2">
        <v>44454</v>
      </c>
      <c r="C1150" t="s">
        <v>325</v>
      </c>
      <c r="D1150" t="s">
        <v>746</v>
      </c>
      <c r="F1150" t="s">
        <v>20</v>
      </c>
      <c r="G1150" t="s">
        <v>21</v>
      </c>
      <c r="H1150" t="s">
        <v>22</v>
      </c>
      <c r="I1150" t="s">
        <v>141</v>
      </c>
      <c r="J1150" t="s">
        <v>50</v>
      </c>
      <c r="K1150" s="3">
        <v>3022.86</v>
      </c>
      <c r="L1150" t="s">
        <v>793</v>
      </c>
      <c r="M1150" t="s">
        <v>909</v>
      </c>
      <c r="O1150" s="4">
        <v>0.190548024056688</v>
      </c>
      <c r="P1150" s="3">
        <v>576</v>
      </c>
    </row>
    <row r="1151" spans="1:16" ht="15" customHeight="1" x14ac:dyDescent="0.3">
      <c r="A1151">
        <v>2021</v>
      </c>
      <c r="B1151" s="2">
        <v>44454</v>
      </c>
      <c r="C1151" t="s">
        <v>325</v>
      </c>
      <c r="D1151" t="s">
        <v>675</v>
      </c>
      <c r="F1151" t="s">
        <v>20</v>
      </c>
      <c r="G1151" t="s">
        <v>38</v>
      </c>
      <c r="H1151" t="s">
        <v>147</v>
      </c>
      <c r="I1151" t="s">
        <v>306</v>
      </c>
      <c r="J1151" t="s">
        <v>50</v>
      </c>
      <c r="K1151" s="3">
        <v>85874.47</v>
      </c>
      <c r="L1151" t="s">
        <v>793</v>
      </c>
      <c r="M1151" t="s">
        <v>910</v>
      </c>
      <c r="O1151" s="4">
        <v>0.18737140386426801</v>
      </c>
      <c r="P1151" s="3">
        <v>16090.42</v>
      </c>
    </row>
    <row r="1152" spans="1:16" ht="15" customHeight="1" x14ac:dyDescent="0.3">
      <c r="A1152">
        <v>2021</v>
      </c>
      <c r="B1152" s="2">
        <v>44455</v>
      </c>
      <c r="C1152" t="s">
        <v>325</v>
      </c>
      <c r="D1152" t="s">
        <v>61</v>
      </c>
      <c r="F1152" t="s">
        <v>20</v>
      </c>
      <c r="G1152" t="s">
        <v>21</v>
      </c>
      <c r="H1152" t="s">
        <v>22</v>
      </c>
      <c r="I1152" t="s">
        <v>23</v>
      </c>
      <c r="J1152" t="s">
        <v>27</v>
      </c>
      <c r="K1152" s="3">
        <v>634.73</v>
      </c>
      <c r="L1152" t="s">
        <v>793</v>
      </c>
      <c r="M1152" t="s">
        <v>911</v>
      </c>
      <c r="O1152" s="4">
        <v>0.200006301892143</v>
      </c>
      <c r="P1152" s="3">
        <v>126.95</v>
      </c>
    </row>
    <row r="1153" spans="1:16" ht="15" customHeight="1" x14ac:dyDescent="0.3">
      <c r="A1153">
        <v>2021</v>
      </c>
      <c r="B1153" s="2">
        <v>44455</v>
      </c>
      <c r="C1153" t="s">
        <v>325</v>
      </c>
      <c r="D1153" t="s">
        <v>662</v>
      </c>
      <c r="F1153" t="s">
        <v>20</v>
      </c>
      <c r="G1153" t="s">
        <v>107</v>
      </c>
      <c r="H1153" t="s">
        <v>108</v>
      </c>
      <c r="I1153" t="s">
        <v>136</v>
      </c>
      <c r="J1153" t="s">
        <v>123</v>
      </c>
      <c r="K1153" s="3">
        <v>1173.8800000000001</v>
      </c>
      <c r="L1153" t="s">
        <v>793</v>
      </c>
      <c r="M1153" t="s">
        <v>912</v>
      </c>
      <c r="O1153" s="4">
        <v>0.20000340750332199</v>
      </c>
      <c r="P1153" s="3">
        <v>234.78</v>
      </c>
    </row>
    <row r="1154" spans="1:16" ht="15" customHeight="1" x14ac:dyDescent="0.3">
      <c r="A1154">
        <v>2021</v>
      </c>
      <c r="B1154" s="2">
        <v>44456</v>
      </c>
      <c r="C1154" t="s">
        <v>325</v>
      </c>
      <c r="D1154" t="s">
        <v>746</v>
      </c>
      <c r="F1154" t="s">
        <v>20</v>
      </c>
      <c r="G1154" t="s">
        <v>21</v>
      </c>
      <c r="H1154" t="s">
        <v>22</v>
      </c>
      <c r="I1154" t="s">
        <v>141</v>
      </c>
      <c r="J1154" t="s">
        <v>50</v>
      </c>
      <c r="K1154" s="3">
        <v>12000</v>
      </c>
      <c r="L1154" t="s">
        <v>903</v>
      </c>
      <c r="M1154" t="s">
        <v>913</v>
      </c>
      <c r="O1154" s="4">
        <v>0.15</v>
      </c>
      <c r="P1154" s="3">
        <v>1800</v>
      </c>
    </row>
    <row r="1155" spans="1:16" ht="15" customHeight="1" x14ac:dyDescent="0.3">
      <c r="A1155">
        <v>2021</v>
      </c>
      <c r="B1155" s="2">
        <v>44456</v>
      </c>
      <c r="C1155" t="s">
        <v>325</v>
      </c>
      <c r="D1155" t="s">
        <v>776</v>
      </c>
      <c r="F1155" t="s">
        <v>20</v>
      </c>
      <c r="G1155" t="s">
        <v>38</v>
      </c>
      <c r="H1155" t="s">
        <v>147</v>
      </c>
      <c r="I1155" t="s">
        <v>136</v>
      </c>
      <c r="J1155" t="s">
        <v>50</v>
      </c>
      <c r="K1155" s="3">
        <v>20980.15</v>
      </c>
      <c r="L1155" t="s">
        <v>825</v>
      </c>
      <c r="M1155" t="s">
        <v>914</v>
      </c>
      <c r="O1155" s="4">
        <v>0.15</v>
      </c>
      <c r="P1155" s="3">
        <v>3147.0225</v>
      </c>
    </row>
    <row r="1156" spans="1:16" ht="15" customHeight="1" x14ac:dyDescent="0.3">
      <c r="A1156">
        <v>2021</v>
      </c>
      <c r="B1156" s="2">
        <v>44459</v>
      </c>
      <c r="C1156" t="s">
        <v>325</v>
      </c>
      <c r="D1156" t="s">
        <v>915</v>
      </c>
      <c r="F1156" t="s">
        <v>20</v>
      </c>
      <c r="G1156" t="s">
        <v>107</v>
      </c>
      <c r="H1156" t="s">
        <v>916</v>
      </c>
      <c r="I1156" t="s">
        <v>23</v>
      </c>
      <c r="J1156" t="s">
        <v>123</v>
      </c>
      <c r="K1156" s="3">
        <v>35680.589999999997</v>
      </c>
      <c r="L1156" t="s">
        <v>793</v>
      </c>
      <c r="M1156" t="s">
        <v>917</v>
      </c>
      <c r="O1156" s="4">
        <v>0.18928414580588501</v>
      </c>
      <c r="P1156" s="3">
        <v>6753.77</v>
      </c>
    </row>
    <row r="1157" spans="1:16" ht="15" customHeight="1" x14ac:dyDescent="0.3">
      <c r="A1157">
        <v>2021</v>
      </c>
      <c r="B1157" s="2">
        <v>44461</v>
      </c>
      <c r="C1157" t="s">
        <v>325</v>
      </c>
      <c r="D1157" t="s">
        <v>747</v>
      </c>
      <c r="F1157" t="s">
        <v>20</v>
      </c>
      <c r="G1157" t="s">
        <v>38</v>
      </c>
      <c r="H1157" t="s">
        <v>39</v>
      </c>
      <c r="I1157" t="s">
        <v>306</v>
      </c>
      <c r="J1157" t="s">
        <v>110</v>
      </c>
      <c r="K1157" s="3">
        <v>11107.14</v>
      </c>
      <c r="L1157" t="s">
        <v>793</v>
      </c>
      <c r="M1157" t="s">
        <v>918</v>
      </c>
      <c r="O1157" s="4">
        <v>0.18250782829783399</v>
      </c>
      <c r="P1157" s="3">
        <v>2027.14</v>
      </c>
    </row>
    <row r="1158" spans="1:16" ht="15" customHeight="1" x14ac:dyDescent="0.3">
      <c r="A1158">
        <v>2021</v>
      </c>
      <c r="B1158" s="2">
        <v>44475</v>
      </c>
      <c r="C1158" t="s">
        <v>357</v>
      </c>
      <c r="D1158" t="s">
        <v>61</v>
      </c>
      <c r="F1158" t="s">
        <v>20</v>
      </c>
      <c r="G1158" t="s">
        <v>21</v>
      </c>
      <c r="H1158" t="s">
        <v>22</v>
      </c>
      <c r="I1158" t="s">
        <v>23</v>
      </c>
      <c r="J1158" t="s">
        <v>27</v>
      </c>
      <c r="K1158" s="3">
        <v>1831.14</v>
      </c>
      <c r="L1158" t="s">
        <v>793</v>
      </c>
      <c r="M1158" t="s">
        <v>919</v>
      </c>
      <c r="O1158" s="4">
        <v>0.15151217274484699</v>
      </c>
      <c r="P1158" s="3">
        <v>277.43999999999897</v>
      </c>
    </row>
    <row r="1159" spans="1:16" ht="15" customHeight="1" x14ac:dyDescent="0.3">
      <c r="A1159">
        <v>2021</v>
      </c>
      <c r="B1159" s="2">
        <v>44476</v>
      </c>
      <c r="C1159" t="s">
        <v>357</v>
      </c>
      <c r="D1159" t="s">
        <v>364</v>
      </c>
      <c r="F1159" t="s">
        <v>20</v>
      </c>
      <c r="G1159" t="s">
        <v>21</v>
      </c>
      <c r="H1159" t="s">
        <v>101</v>
      </c>
      <c r="I1159" t="s">
        <v>23</v>
      </c>
      <c r="J1159" t="s">
        <v>50</v>
      </c>
      <c r="K1159" s="3">
        <v>7900</v>
      </c>
      <c r="L1159" t="s">
        <v>793</v>
      </c>
      <c r="M1159" t="s">
        <v>920</v>
      </c>
      <c r="O1159" s="4">
        <v>0.170886075949367</v>
      </c>
      <c r="P1159" s="3">
        <v>1350</v>
      </c>
    </row>
    <row r="1160" spans="1:16" ht="15" customHeight="1" x14ac:dyDescent="0.3">
      <c r="A1160">
        <v>2021</v>
      </c>
      <c r="B1160" s="2">
        <v>44484</v>
      </c>
      <c r="C1160" t="s">
        <v>357</v>
      </c>
      <c r="D1160" t="s">
        <v>782</v>
      </c>
      <c r="F1160" t="s">
        <v>20</v>
      </c>
      <c r="G1160" t="s">
        <v>107</v>
      </c>
      <c r="H1160" t="s">
        <v>108</v>
      </c>
      <c r="I1160" t="s">
        <v>23</v>
      </c>
      <c r="J1160" t="s">
        <v>123</v>
      </c>
      <c r="K1160" s="3">
        <v>100</v>
      </c>
      <c r="L1160" t="s">
        <v>825</v>
      </c>
      <c r="M1160" t="s">
        <v>921</v>
      </c>
      <c r="O1160" s="4">
        <v>0.15</v>
      </c>
      <c r="P1160" s="3">
        <v>15</v>
      </c>
    </row>
    <row r="1161" spans="1:16" ht="15" customHeight="1" x14ac:dyDescent="0.3">
      <c r="A1161">
        <v>2021</v>
      </c>
      <c r="B1161" s="2">
        <v>44484</v>
      </c>
      <c r="C1161" t="s">
        <v>357</v>
      </c>
      <c r="D1161" t="s">
        <v>786</v>
      </c>
      <c r="F1161" t="s">
        <v>20</v>
      </c>
      <c r="G1161" t="s">
        <v>21</v>
      </c>
      <c r="H1161" t="s">
        <v>22</v>
      </c>
      <c r="I1161" t="s">
        <v>23</v>
      </c>
      <c r="J1161" t="s">
        <v>123</v>
      </c>
      <c r="K1161" s="3">
        <v>3416.06</v>
      </c>
      <c r="L1161" t="s">
        <v>825</v>
      </c>
      <c r="M1161" t="s">
        <v>922</v>
      </c>
      <c r="O1161" s="4">
        <v>0.15</v>
      </c>
      <c r="P1161" s="3">
        <v>512.40899999999999</v>
      </c>
    </row>
    <row r="1162" spans="1:16" ht="15" customHeight="1" x14ac:dyDescent="0.3">
      <c r="A1162">
        <v>2021</v>
      </c>
      <c r="B1162" s="2">
        <v>44491</v>
      </c>
      <c r="C1162" t="s">
        <v>357</v>
      </c>
      <c r="D1162" t="s">
        <v>786</v>
      </c>
      <c r="F1162" t="s">
        <v>20</v>
      </c>
      <c r="G1162" t="s">
        <v>21</v>
      </c>
      <c r="H1162" t="s">
        <v>22</v>
      </c>
      <c r="I1162" t="s">
        <v>23</v>
      </c>
      <c r="J1162" t="s">
        <v>123</v>
      </c>
      <c r="K1162" s="3">
        <v>408.24</v>
      </c>
      <c r="L1162" t="s">
        <v>825</v>
      </c>
      <c r="M1162" t="s">
        <v>923</v>
      </c>
      <c r="O1162" s="4">
        <v>0.15</v>
      </c>
      <c r="P1162" s="3">
        <v>61.235999999999997</v>
      </c>
    </row>
    <row r="1163" spans="1:16" ht="15" customHeight="1" x14ac:dyDescent="0.3">
      <c r="A1163">
        <v>2021</v>
      </c>
      <c r="B1163" s="2">
        <v>44491</v>
      </c>
      <c r="C1163" t="s">
        <v>357</v>
      </c>
      <c r="D1163" t="s">
        <v>776</v>
      </c>
      <c r="F1163" t="s">
        <v>20</v>
      </c>
      <c r="G1163" t="s">
        <v>38</v>
      </c>
      <c r="H1163" t="s">
        <v>147</v>
      </c>
      <c r="I1163" t="s">
        <v>136</v>
      </c>
      <c r="J1163" t="s">
        <v>50</v>
      </c>
      <c r="K1163" s="3">
        <v>15536.96</v>
      </c>
      <c r="L1163" t="s">
        <v>825</v>
      </c>
      <c r="M1163" t="s">
        <v>924</v>
      </c>
      <c r="O1163" s="4">
        <v>0.15</v>
      </c>
      <c r="P1163" s="3">
        <v>2330.5439999999999</v>
      </c>
    </row>
    <row r="1164" spans="1:16" ht="15" customHeight="1" x14ac:dyDescent="0.3">
      <c r="A1164">
        <v>2021</v>
      </c>
      <c r="B1164" s="2">
        <v>44491</v>
      </c>
      <c r="C1164" t="s">
        <v>357</v>
      </c>
      <c r="D1164" t="s">
        <v>747</v>
      </c>
      <c r="F1164" t="s">
        <v>20</v>
      </c>
      <c r="G1164" t="s">
        <v>38</v>
      </c>
      <c r="H1164" t="s">
        <v>39</v>
      </c>
      <c r="I1164" t="s">
        <v>23</v>
      </c>
      <c r="J1164" t="s">
        <v>110</v>
      </c>
      <c r="K1164" s="3">
        <v>4806</v>
      </c>
      <c r="L1164" t="s">
        <v>793</v>
      </c>
      <c r="M1164" t="s">
        <v>925</v>
      </c>
      <c r="O1164" s="4">
        <v>0.172950478568456</v>
      </c>
      <c r="P1164" s="3">
        <v>831.2</v>
      </c>
    </row>
    <row r="1165" spans="1:16" ht="15" customHeight="1" x14ac:dyDescent="0.3">
      <c r="A1165">
        <v>2021</v>
      </c>
      <c r="B1165" s="2">
        <v>44503</v>
      </c>
      <c r="C1165" t="s">
        <v>389</v>
      </c>
      <c r="D1165" t="s">
        <v>675</v>
      </c>
      <c r="F1165" t="s">
        <v>20</v>
      </c>
      <c r="G1165" t="s">
        <v>38</v>
      </c>
      <c r="H1165" t="s">
        <v>147</v>
      </c>
      <c r="I1165" t="s">
        <v>306</v>
      </c>
      <c r="J1165" t="s">
        <v>50</v>
      </c>
      <c r="K1165" s="3">
        <v>35832.050000000003</v>
      </c>
      <c r="L1165" t="s">
        <v>825</v>
      </c>
      <c r="M1165" t="s">
        <v>926</v>
      </c>
      <c r="O1165" s="4">
        <v>0.15</v>
      </c>
      <c r="P1165" s="3">
        <v>5374.8074999999999</v>
      </c>
    </row>
    <row r="1166" spans="1:16" ht="15" customHeight="1" x14ac:dyDescent="0.3">
      <c r="A1166">
        <v>2021</v>
      </c>
      <c r="B1166" s="2">
        <v>44505</v>
      </c>
      <c r="C1166" t="s">
        <v>389</v>
      </c>
      <c r="D1166" t="s">
        <v>776</v>
      </c>
      <c r="F1166" t="s">
        <v>20</v>
      </c>
      <c r="G1166" t="s">
        <v>38</v>
      </c>
      <c r="H1166" t="s">
        <v>147</v>
      </c>
      <c r="I1166" t="s">
        <v>136</v>
      </c>
      <c r="J1166" t="s">
        <v>50</v>
      </c>
      <c r="K1166" s="3">
        <v>2310</v>
      </c>
      <c r="L1166" t="s">
        <v>825</v>
      </c>
      <c r="M1166" t="s">
        <v>927</v>
      </c>
      <c r="O1166" s="4">
        <v>0.15</v>
      </c>
      <c r="P1166" s="3">
        <v>346.5</v>
      </c>
    </row>
    <row r="1167" spans="1:16" ht="15" customHeight="1" x14ac:dyDescent="0.3">
      <c r="A1167">
        <v>2021</v>
      </c>
      <c r="B1167" s="2">
        <v>44510</v>
      </c>
      <c r="C1167" t="s">
        <v>389</v>
      </c>
      <c r="D1167" t="s">
        <v>675</v>
      </c>
      <c r="F1167" t="s">
        <v>20</v>
      </c>
      <c r="G1167" t="s">
        <v>38</v>
      </c>
      <c r="H1167" t="s">
        <v>147</v>
      </c>
      <c r="I1167" t="s">
        <v>306</v>
      </c>
      <c r="J1167" t="s">
        <v>50</v>
      </c>
      <c r="K1167" s="3">
        <v>1880</v>
      </c>
      <c r="L1167" t="s">
        <v>793</v>
      </c>
      <c r="M1167" t="s">
        <v>928</v>
      </c>
      <c r="O1167" s="4">
        <v>0.2</v>
      </c>
      <c r="P1167" s="3">
        <v>376</v>
      </c>
    </row>
    <row r="1168" spans="1:16" ht="15" customHeight="1" x14ac:dyDescent="0.3">
      <c r="A1168">
        <v>2021</v>
      </c>
      <c r="B1168" s="2">
        <v>44511</v>
      </c>
      <c r="C1168" t="s">
        <v>389</v>
      </c>
      <c r="D1168" t="s">
        <v>743</v>
      </c>
      <c r="F1168" t="s">
        <v>20</v>
      </c>
      <c r="G1168" t="s">
        <v>38</v>
      </c>
      <c r="H1168" t="s">
        <v>89</v>
      </c>
      <c r="I1168" t="s">
        <v>141</v>
      </c>
      <c r="J1168" t="s">
        <v>123</v>
      </c>
      <c r="K1168" s="3">
        <v>537.5</v>
      </c>
      <c r="L1168" t="s">
        <v>793</v>
      </c>
      <c r="M1168" t="s">
        <v>929</v>
      </c>
      <c r="O1168" s="4">
        <v>0.162790697674419</v>
      </c>
      <c r="P1168" s="3">
        <v>87.500000000000199</v>
      </c>
    </row>
    <row r="1169" spans="1:16" ht="15" customHeight="1" x14ac:dyDescent="0.3">
      <c r="A1169">
        <v>2021</v>
      </c>
      <c r="B1169" s="2">
        <v>44516</v>
      </c>
      <c r="C1169" t="s">
        <v>389</v>
      </c>
      <c r="D1169" t="s">
        <v>768</v>
      </c>
      <c r="F1169" t="s">
        <v>20</v>
      </c>
      <c r="G1169" t="s">
        <v>38</v>
      </c>
      <c r="H1169" t="s">
        <v>39</v>
      </c>
      <c r="I1169" t="s">
        <v>141</v>
      </c>
      <c r="J1169" t="s">
        <v>123</v>
      </c>
      <c r="K1169" s="3">
        <v>12000</v>
      </c>
      <c r="L1169" t="s">
        <v>793</v>
      </c>
      <c r="M1169" t="s">
        <v>930</v>
      </c>
      <c r="O1169" s="4">
        <v>0.30156666666666698</v>
      </c>
      <c r="P1169" s="3">
        <v>3618.8</v>
      </c>
    </row>
    <row r="1170" spans="1:16" ht="15" customHeight="1" x14ac:dyDescent="0.3">
      <c r="A1170">
        <v>2021</v>
      </c>
      <c r="B1170" s="2">
        <v>44522</v>
      </c>
      <c r="C1170" t="s">
        <v>389</v>
      </c>
      <c r="D1170" t="s">
        <v>844</v>
      </c>
      <c r="F1170" t="s">
        <v>20</v>
      </c>
      <c r="G1170" t="s">
        <v>107</v>
      </c>
      <c r="H1170" t="s">
        <v>108</v>
      </c>
      <c r="I1170" t="s">
        <v>23</v>
      </c>
      <c r="J1170" t="s">
        <v>123</v>
      </c>
      <c r="K1170" s="3">
        <v>551965.65</v>
      </c>
      <c r="L1170" t="s">
        <v>793</v>
      </c>
      <c r="M1170" t="s">
        <v>931</v>
      </c>
      <c r="O1170" s="4">
        <v>0.1965431725688</v>
      </c>
      <c r="P1170" s="3">
        <v>108485.08</v>
      </c>
    </row>
    <row r="1171" spans="1:16" ht="15" customHeight="1" x14ac:dyDescent="0.3">
      <c r="A1171">
        <v>2021</v>
      </c>
      <c r="B1171" s="2">
        <v>44522</v>
      </c>
      <c r="C1171" t="s">
        <v>389</v>
      </c>
      <c r="D1171" t="s">
        <v>205</v>
      </c>
      <c r="F1171" t="s">
        <v>20</v>
      </c>
      <c r="G1171" t="s">
        <v>21</v>
      </c>
      <c r="H1171" t="s">
        <v>22</v>
      </c>
      <c r="I1171" t="s">
        <v>23</v>
      </c>
      <c r="J1171" t="s">
        <v>123</v>
      </c>
      <c r="K1171" s="3">
        <v>62125.01</v>
      </c>
      <c r="L1171" t="s">
        <v>793</v>
      </c>
      <c r="M1171" t="s">
        <v>932</v>
      </c>
      <c r="O1171" s="4">
        <v>0.161972126845533</v>
      </c>
      <c r="P1171" s="3">
        <v>10062.52</v>
      </c>
    </row>
    <row r="1172" spans="1:16" ht="15" customHeight="1" x14ac:dyDescent="0.3">
      <c r="A1172">
        <v>2021</v>
      </c>
      <c r="B1172" s="2">
        <v>44522</v>
      </c>
      <c r="C1172" t="s">
        <v>389</v>
      </c>
      <c r="D1172" t="s">
        <v>743</v>
      </c>
      <c r="F1172" t="s">
        <v>20</v>
      </c>
      <c r="G1172" t="s">
        <v>38</v>
      </c>
      <c r="H1172" t="s">
        <v>89</v>
      </c>
      <c r="I1172" t="s">
        <v>141</v>
      </c>
      <c r="J1172" t="s">
        <v>123</v>
      </c>
      <c r="K1172" s="3">
        <v>5634.26</v>
      </c>
      <c r="L1172" t="s">
        <v>793</v>
      </c>
      <c r="M1172" t="s">
        <v>933</v>
      </c>
      <c r="O1172" s="4">
        <v>0.163776609528137</v>
      </c>
      <c r="P1172" s="3">
        <v>922.76000000000101</v>
      </c>
    </row>
    <row r="1173" spans="1:16" ht="15" customHeight="1" x14ac:dyDescent="0.3">
      <c r="A1173">
        <v>2021</v>
      </c>
      <c r="B1173" s="2">
        <v>44522</v>
      </c>
      <c r="C1173" t="s">
        <v>389</v>
      </c>
      <c r="D1173" t="s">
        <v>279</v>
      </c>
      <c r="F1173" t="s">
        <v>20</v>
      </c>
      <c r="G1173" t="s">
        <v>21</v>
      </c>
      <c r="H1173" t="s">
        <v>22</v>
      </c>
      <c r="I1173" t="s">
        <v>23</v>
      </c>
      <c r="J1173" t="s">
        <v>110</v>
      </c>
      <c r="K1173" s="3">
        <v>29103.83</v>
      </c>
      <c r="L1173" t="s">
        <v>793</v>
      </c>
      <c r="M1173" t="s">
        <v>934</v>
      </c>
      <c r="O1173" s="4">
        <v>0.18205713818421801</v>
      </c>
      <c r="P1173" s="3">
        <v>5298.5599999999904</v>
      </c>
    </row>
    <row r="1174" spans="1:16" ht="15" customHeight="1" x14ac:dyDescent="0.3">
      <c r="A1174">
        <v>2021</v>
      </c>
      <c r="B1174" s="2">
        <v>44524</v>
      </c>
      <c r="C1174" t="s">
        <v>389</v>
      </c>
      <c r="D1174" t="s">
        <v>462</v>
      </c>
      <c r="F1174" t="s">
        <v>20</v>
      </c>
      <c r="G1174" t="s">
        <v>21</v>
      </c>
      <c r="H1174" t="s">
        <v>22</v>
      </c>
      <c r="I1174" t="s">
        <v>136</v>
      </c>
      <c r="J1174" t="s">
        <v>110</v>
      </c>
      <c r="K1174" s="3">
        <v>24365.5</v>
      </c>
      <c r="L1174" t="s">
        <v>793</v>
      </c>
      <c r="M1174" t="s">
        <v>935</v>
      </c>
      <c r="O1174" s="4">
        <v>0.18690115121791101</v>
      </c>
      <c r="P1174" s="3">
        <v>4553.9400000000096</v>
      </c>
    </row>
    <row r="1175" spans="1:16" ht="15" customHeight="1" x14ac:dyDescent="0.3">
      <c r="A1175">
        <v>2021</v>
      </c>
      <c r="B1175" s="2">
        <v>44524</v>
      </c>
      <c r="C1175" t="s">
        <v>389</v>
      </c>
      <c r="D1175" t="s">
        <v>782</v>
      </c>
      <c r="F1175" t="s">
        <v>20</v>
      </c>
      <c r="G1175" t="s">
        <v>107</v>
      </c>
      <c r="H1175" t="s">
        <v>108</v>
      </c>
      <c r="I1175" t="s">
        <v>23</v>
      </c>
      <c r="J1175" t="s">
        <v>123</v>
      </c>
      <c r="K1175" s="3">
        <v>2540.5</v>
      </c>
      <c r="L1175" t="s">
        <v>825</v>
      </c>
      <c r="M1175" t="s">
        <v>936</v>
      </c>
      <c r="O1175" s="4">
        <v>0.15</v>
      </c>
      <c r="P1175" s="3">
        <v>381.07499999999999</v>
      </c>
    </row>
    <row r="1176" spans="1:16" ht="15" customHeight="1" x14ac:dyDescent="0.3">
      <c r="A1176">
        <v>2021</v>
      </c>
      <c r="B1176" s="2">
        <v>44524</v>
      </c>
      <c r="C1176" t="s">
        <v>389</v>
      </c>
      <c r="D1176" t="s">
        <v>937</v>
      </c>
      <c r="F1176" t="s">
        <v>20</v>
      </c>
      <c r="G1176" t="s">
        <v>21</v>
      </c>
      <c r="H1176" t="s">
        <v>128</v>
      </c>
      <c r="I1176" t="s">
        <v>23</v>
      </c>
      <c r="J1176" t="s">
        <v>123</v>
      </c>
      <c r="K1176" s="3">
        <v>144930.01</v>
      </c>
      <c r="L1176" t="s">
        <v>793</v>
      </c>
      <c r="M1176" t="s">
        <v>938</v>
      </c>
      <c r="O1176" s="4">
        <v>0.18318255825691299</v>
      </c>
      <c r="P1176" s="3">
        <v>26548.65</v>
      </c>
    </row>
    <row r="1177" spans="1:16" ht="15" customHeight="1" x14ac:dyDescent="0.3">
      <c r="A1177">
        <v>2021</v>
      </c>
      <c r="B1177" s="2">
        <v>44524</v>
      </c>
      <c r="C1177" t="s">
        <v>389</v>
      </c>
      <c r="D1177" t="s">
        <v>939</v>
      </c>
      <c r="F1177" t="s">
        <v>20</v>
      </c>
      <c r="G1177" t="s">
        <v>107</v>
      </c>
      <c r="H1177" t="s">
        <v>108</v>
      </c>
      <c r="I1177" t="s">
        <v>23</v>
      </c>
      <c r="J1177" t="s">
        <v>110</v>
      </c>
      <c r="K1177" s="3">
        <v>15000</v>
      </c>
      <c r="L1177" t="s">
        <v>813</v>
      </c>
      <c r="M1177" t="s">
        <v>940</v>
      </c>
      <c r="O1177" s="49">
        <v>0.3</v>
      </c>
      <c r="P1177" s="3">
        <f>Tabla1[[#This Row],[Margen Comercial]]*Tabla1[[#This Row],[Importe total]]</f>
        <v>4500</v>
      </c>
    </row>
    <row r="1178" spans="1:16" ht="15" customHeight="1" x14ac:dyDescent="0.3">
      <c r="A1178">
        <v>2021</v>
      </c>
      <c r="B1178" s="2">
        <v>44525</v>
      </c>
      <c r="C1178" t="s">
        <v>389</v>
      </c>
      <c r="D1178" t="s">
        <v>941</v>
      </c>
      <c r="F1178" t="s">
        <v>20</v>
      </c>
      <c r="G1178" t="s">
        <v>21</v>
      </c>
      <c r="H1178" t="s">
        <v>22</v>
      </c>
      <c r="I1178" t="s">
        <v>23</v>
      </c>
      <c r="J1178" t="s">
        <v>110</v>
      </c>
      <c r="K1178" s="3">
        <v>5593.42</v>
      </c>
      <c r="L1178" t="s">
        <v>793</v>
      </c>
      <c r="M1178" t="s">
        <v>942</v>
      </c>
      <c r="O1178" s="4">
        <v>0.28165594573623998</v>
      </c>
      <c r="P1178" s="3">
        <v>1575.42</v>
      </c>
    </row>
    <row r="1179" spans="1:16" ht="15" customHeight="1" x14ac:dyDescent="0.3">
      <c r="A1179">
        <v>2021</v>
      </c>
      <c r="B1179" s="2">
        <v>44525</v>
      </c>
      <c r="C1179" t="s">
        <v>389</v>
      </c>
      <c r="D1179" t="s">
        <v>767</v>
      </c>
      <c r="F1179" t="s">
        <v>20</v>
      </c>
      <c r="G1179" t="s">
        <v>38</v>
      </c>
      <c r="H1179" t="s">
        <v>619</v>
      </c>
      <c r="I1179" t="s">
        <v>23</v>
      </c>
      <c r="J1179" t="s">
        <v>123</v>
      </c>
      <c r="K1179" s="3">
        <v>174578.7</v>
      </c>
      <c r="L1179" t="s">
        <v>793</v>
      </c>
      <c r="M1179" t="s">
        <v>943</v>
      </c>
      <c r="O1179" s="4">
        <v>0.16548387632626399</v>
      </c>
      <c r="P1179" s="3">
        <v>28889.959999999901</v>
      </c>
    </row>
    <row r="1180" spans="1:16" ht="15" customHeight="1" x14ac:dyDescent="0.3">
      <c r="A1180">
        <v>2021</v>
      </c>
      <c r="B1180" s="2">
        <v>44526</v>
      </c>
      <c r="C1180" t="s">
        <v>389</v>
      </c>
      <c r="D1180" t="s">
        <v>767</v>
      </c>
      <c r="F1180" t="s">
        <v>20</v>
      </c>
      <c r="G1180" t="s">
        <v>38</v>
      </c>
      <c r="H1180" t="s">
        <v>619</v>
      </c>
      <c r="I1180" t="s">
        <v>23</v>
      </c>
      <c r="J1180" t="s">
        <v>123</v>
      </c>
      <c r="K1180" s="3">
        <v>79808.850000000006</v>
      </c>
      <c r="L1180" t="s">
        <v>793</v>
      </c>
      <c r="M1180" t="s">
        <v>944</v>
      </c>
      <c r="O1180" s="4">
        <v>0.17381455815990299</v>
      </c>
      <c r="P1180" s="3">
        <v>13871.94</v>
      </c>
    </row>
    <row r="1181" spans="1:16" ht="15" customHeight="1" x14ac:dyDescent="0.3">
      <c r="A1181">
        <v>2021</v>
      </c>
      <c r="B1181" s="2">
        <v>44531</v>
      </c>
      <c r="C1181" t="s">
        <v>416</v>
      </c>
      <c r="D1181" t="s">
        <v>47</v>
      </c>
      <c r="F1181" t="s">
        <v>20</v>
      </c>
      <c r="G1181" t="s">
        <v>38</v>
      </c>
      <c r="H1181" t="s">
        <v>39</v>
      </c>
      <c r="I1181" t="s">
        <v>23</v>
      </c>
      <c r="J1181" t="s">
        <v>50</v>
      </c>
      <c r="K1181" s="3">
        <v>122079</v>
      </c>
      <c r="L1181" t="s">
        <v>793</v>
      </c>
      <c r="M1181" t="s">
        <v>945</v>
      </c>
      <c r="O1181" s="4">
        <v>0.15480664160093099</v>
      </c>
      <c r="P1181" s="3">
        <v>18898.640000000101</v>
      </c>
    </row>
    <row r="1182" spans="1:16" ht="15" customHeight="1" x14ac:dyDescent="0.3">
      <c r="A1182">
        <v>2021</v>
      </c>
      <c r="B1182" s="2">
        <v>44531</v>
      </c>
      <c r="C1182" t="s">
        <v>416</v>
      </c>
      <c r="D1182" t="s">
        <v>462</v>
      </c>
      <c r="F1182" t="s">
        <v>20</v>
      </c>
      <c r="G1182" t="s">
        <v>21</v>
      </c>
      <c r="H1182" t="s">
        <v>22</v>
      </c>
      <c r="I1182" t="s">
        <v>136</v>
      </c>
      <c r="J1182" t="s">
        <v>110</v>
      </c>
      <c r="K1182" s="3">
        <v>1616</v>
      </c>
      <c r="L1182" t="s">
        <v>825</v>
      </c>
      <c r="M1182" t="s">
        <v>946</v>
      </c>
      <c r="O1182" s="4">
        <v>0.14851485148514901</v>
      </c>
      <c r="P1182" s="3">
        <v>240.00000000000099</v>
      </c>
    </row>
    <row r="1183" spans="1:16" ht="15" customHeight="1" x14ac:dyDescent="0.3">
      <c r="A1183">
        <v>2021</v>
      </c>
      <c r="B1183" s="2">
        <v>44539</v>
      </c>
      <c r="C1183" t="s">
        <v>416</v>
      </c>
      <c r="D1183" t="s">
        <v>844</v>
      </c>
      <c r="F1183" t="s">
        <v>20</v>
      </c>
      <c r="G1183" t="s">
        <v>107</v>
      </c>
      <c r="H1183" t="s">
        <v>108</v>
      </c>
      <c r="I1183" t="s">
        <v>306</v>
      </c>
      <c r="J1183" t="s">
        <v>123</v>
      </c>
      <c r="K1183" s="3">
        <v>402841</v>
      </c>
      <c r="L1183" t="s">
        <v>793</v>
      </c>
      <c r="M1183" t="s">
        <v>947</v>
      </c>
      <c r="O1183" s="4">
        <v>0.198173919735082</v>
      </c>
      <c r="P1183" s="3">
        <v>79832.580000000205</v>
      </c>
    </row>
    <row r="1184" spans="1:16" ht="15" customHeight="1" x14ac:dyDescent="0.3">
      <c r="A1184">
        <v>2021</v>
      </c>
      <c r="B1184" s="2">
        <v>44544</v>
      </c>
      <c r="C1184" t="s">
        <v>416</v>
      </c>
      <c r="D1184" t="s">
        <v>283</v>
      </c>
      <c r="F1184" t="s">
        <v>20</v>
      </c>
      <c r="G1184" t="s">
        <v>21</v>
      </c>
      <c r="H1184" t="s">
        <v>22</v>
      </c>
      <c r="I1184" t="s">
        <v>141</v>
      </c>
      <c r="J1184" t="s">
        <v>123</v>
      </c>
      <c r="K1184" s="3">
        <v>608500</v>
      </c>
      <c r="L1184" t="s">
        <v>793</v>
      </c>
      <c r="M1184" t="s">
        <v>948</v>
      </c>
      <c r="O1184" s="4">
        <v>0.13469980279375501</v>
      </c>
      <c r="P1184" s="3">
        <v>81964.8299999999</v>
      </c>
    </row>
    <row r="1185" spans="1:16" ht="15" customHeight="1" x14ac:dyDescent="0.3">
      <c r="A1185">
        <v>2021</v>
      </c>
      <c r="B1185" s="2">
        <v>44544</v>
      </c>
      <c r="C1185" t="s">
        <v>416</v>
      </c>
      <c r="D1185" t="s">
        <v>816</v>
      </c>
      <c r="F1185" t="s">
        <v>20</v>
      </c>
      <c r="G1185" t="s">
        <v>107</v>
      </c>
      <c r="H1185" t="s">
        <v>108</v>
      </c>
      <c r="I1185" t="s">
        <v>23</v>
      </c>
      <c r="J1185" t="s">
        <v>50</v>
      </c>
      <c r="K1185" s="3">
        <v>77939.899999999994</v>
      </c>
      <c r="L1185" t="s">
        <v>793</v>
      </c>
      <c r="M1185" t="s">
        <v>949</v>
      </c>
      <c r="O1185" s="4">
        <v>0.13507061209983601</v>
      </c>
      <c r="P1185" s="3">
        <v>10527.39</v>
      </c>
    </row>
    <row r="1186" spans="1:16" ht="15" customHeight="1" x14ac:dyDescent="0.3">
      <c r="A1186">
        <v>2021</v>
      </c>
      <c r="B1186" s="2">
        <v>44544</v>
      </c>
      <c r="C1186" t="s">
        <v>416</v>
      </c>
      <c r="D1186" t="s">
        <v>950</v>
      </c>
      <c r="F1186" t="s">
        <v>20</v>
      </c>
      <c r="G1186" t="s">
        <v>21</v>
      </c>
      <c r="H1186" t="s">
        <v>101</v>
      </c>
      <c r="I1186" t="s">
        <v>23</v>
      </c>
      <c r="J1186" t="s">
        <v>123</v>
      </c>
      <c r="K1186" s="3">
        <v>2439.02</v>
      </c>
      <c r="L1186" t="s">
        <v>793</v>
      </c>
      <c r="M1186" t="s">
        <v>951</v>
      </c>
      <c r="O1186" s="4">
        <v>0.25431202761934701</v>
      </c>
      <c r="P1186" s="3">
        <v>620.27212160414001</v>
      </c>
    </row>
    <row r="1187" spans="1:16" ht="15" customHeight="1" x14ac:dyDescent="0.3">
      <c r="A1187">
        <v>2021</v>
      </c>
      <c r="B1187" s="2">
        <v>44545</v>
      </c>
      <c r="C1187" t="s">
        <v>416</v>
      </c>
      <c r="D1187" t="s">
        <v>915</v>
      </c>
      <c r="F1187" t="s">
        <v>20</v>
      </c>
      <c r="G1187" t="s">
        <v>107</v>
      </c>
      <c r="H1187" t="s">
        <v>916</v>
      </c>
      <c r="I1187" t="s">
        <v>23</v>
      </c>
      <c r="J1187" t="s">
        <v>110</v>
      </c>
      <c r="K1187" s="3">
        <v>3097</v>
      </c>
      <c r="L1187" t="s">
        <v>825</v>
      </c>
      <c r="M1187" t="s">
        <v>952</v>
      </c>
      <c r="O1187" s="4">
        <v>0.15</v>
      </c>
      <c r="P1187" s="3">
        <v>464.55</v>
      </c>
    </row>
    <row r="1188" spans="1:16" ht="15" customHeight="1" x14ac:dyDescent="0.3">
      <c r="A1188">
        <v>2021</v>
      </c>
      <c r="B1188" s="2">
        <v>44547</v>
      </c>
      <c r="C1188" t="s">
        <v>416</v>
      </c>
      <c r="D1188" t="s">
        <v>155</v>
      </c>
      <c r="F1188" t="s">
        <v>20</v>
      </c>
      <c r="G1188" t="s">
        <v>38</v>
      </c>
      <c r="H1188" t="s">
        <v>39</v>
      </c>
      <c r="I1188" t="s">
        <v>23</v>
      </c>
      <c r="J1188" t="s">
        <v>50</v>
      </c>
      <c r="K1188" s="3">
        <v>150000</v>
      </c>
      <c r="L1188" t="s">
        <v>793</v>
      </c>
      <c r="M1188" t="s">
        <v>953</v>
      </c>
      <c r="O1188" s="4">
        <v>0.10900700000000001</v>
      </c>
      <c r="P1188" s="3">
        <v>16351.05</v>
      </c>
    </row>
    <row r="1189" spans="1:16" ht="15" customHeight="1" x14ac:dyDescent="0.3">
      <c r="A1189">
        <v>2021</v>
      </c>
      <c r="B1189" s="2">
        <v>44547</v>
      </c>
      <c r="C1189" t="s">
        <v>416</v>
      </c>
      <c r="D1189" t="s">
        <v>816</v>
      </c>
      <c r="F1189" t="s">
        <v>20</v>
      </c>
      <c r="G1189" t="s">
        <v>107</v>
      </c>
      <c r="H1189" t="s">
        <v>108</v>
      </c>
      <c r="I1189" t="s">
        <v>23</v>
      </c>
      <c r="J1189" t="s">
        <v>50</v>
      </c>
      <c r="K1189" s="3">
        <v>44470.34</v>
      </c>
      <c r="L1189" t="s">
        <v>793</v>
      </c>
      <c r="M1189" t="s">
        <v>954</v>
      </c>
      <c r="O1189" s="4">
        <v>0.17334924806061699</v>
      </c>
      <c r="P1189" s="3">
        <v>7708.8999999999796</v>
      </c>
    </row>
    <row r="1190" spans="1:16" ht="15" customHeight="1" x14ac:dyDescent="0.3">
      <c r="A1190">
        <v>2021</v>
      </c>
      <c r="B1190" s="2">
        <v>44550</v>
      </c>
      <c r="C1190" t="s">
        <v>416</v>
      </c>
      <c r="D1190" t="s">
        <v>155</v>
      </c>
      <c r="F1190" t="s">
        <v>20</v>
      </c>
      <c r="G1190" t="s">
        <v>38</v>
      </c>
      <c r="H1190" t="s">
        <v>39</v>
      </c>
      <c r="I1190" t="s">
        <v>23</v>
      </c>
      <c r="J1190" t="s">
        <v>50</v>
      </c>
      <c r="K1190" s="3">
        <v>667734.44999999995</v>
      </c>
      <c r="L1190" t="s">
        <v>793</v>
      </c>
      <c r="M1190" t="s">
        <v>955</v>
      </c>
      <c r="O1190" s="4">
        <v>0.18368021898525699</v>
      </c>
      <c r="P1190" s="3">
        <v>122649.61</v>
      </c>
    </row>
    <row r="1191" spans="1:16" ht="15" customHeight="1" x14ac:dyDescent="0.3">
      <c r="A1191">
        <v>2021</v>
      </c>
      <c r="B1191" s="2">
        <v>44552</v>
      </c>
      <c r="C1191" t="s">
        <v>416</v>
      </c>
      <c r="D1191" t="s">
        <v>864</v>
      </c>
      <c r="F1191" t="s">
        <v>20</v>
      </c>
      <c r="G1191" t="s">
        <v>107</v>
      </c>
      <c r="H1191" t="s">
        <v>108</v>
      </c>
      <c r="I1191" t="s">
        <v>23</v>
      </c>
      <c r="J1191" t="s">
        <v>123</v>
      </c>
      <c r="K1191" s="3">
        <v>136276</v>
      </c>
      <c r="L1191" t="s">
        <v>825</v>
      </c>
      <c r="M1191" t="s">
        <v>956</v>
      </c>
      <c r="O1191" s="4">
        <v>0.15</v>
      </c>
      <c r="P1191" s="3">
        <v>20441.400000000001</v>
      </c>
    </row>
    <row r="1192" spans="1:16" ht="15" customHeight="1" x14ac:dyDescent="0.3">
      <c r="A1192">
        <v>2021</v>
      </c>
      <c r="B1192" s="2">
        <v>44552</v>
      </c>
      <c r="C1192" t="s">
        <v>416</v>
      </c>
      <c r="D1192" t="s">
        <v>40</v>
      </c>
      <c r="F1192" t="s">
        <v>20</v>
      </c>
      <c r="G1192" t="s">
        <v>21</v>
      </c>
      <c r="H1192" t="s">
        <v>22</v>
      </c>
      <c r="I1192" t="s">
        <v>49</v>
      </c>
      <c r="J1192" t="s">
        <v>50</v>
      </c>
      <c r="K1192" s="3">
        <v>1500</v>
      </c>
      <c r="L1192" t="s">
        <v>825</v>
      </c>
      <c r="M1192" t="s">
        <v>957</v>
      </c>
      <c r="O1192" s="4"/>
      <c r="P1192" s="3"/>
    </row>
    <row r="1193" spans="1:16" ht="15" customHeight="1" x14ac:dyDescent="0.3">
      <c r="A1193">
        <v>2021</v>
      </c>
      <c r="B1193" s="2">
        <v>44560</v>
      </c>
      <c r="C1193" t="s">
        <v>416</v>
      </c>
      <c r="D1193" t="s">
        <v>45</v>
      </c>
      <c r="F1193" t="s">
        <v>20</v>
      </c>
      <c r="G1193" t="s">
        <v>38</v>
      </c>
      <c r="H1193" t="s">
        <v>39</v>
      </c>
      <c r="I1193" t="s">
        <v>23</v>
      </c>
      <c r="J1193" t="s">
        <v>50</v>
      </c>
      <c r="K1193" s="3">
        <v>394617.54</v>
      </c>
      <c r="L1193" t="s">
        <v>793</v>
      </c>
      <c r="M1193" t="s">
        <v>958</v>
      </c>
      <c r="O1193" s="4">
        <v>0.11570005225819401</v>
      </c>
      <c r="P1193" s="3">
        <v>45657.27</v>
      </c>
    </row>
    <row r="1194" spans="1:16" ht="15" customHeight="1" x14ac:dyDescent="0.3">
      <c r="A1194">
        <v>2021</v>
      </c>
      <c r="B1194" s="2">
        <v>44560</v>
      </c>
      <c r="C1194" t="s">
        <v>416</v>
      </c>
      <c r="D1194" t="s">
        <v>279</v>
      </c>
      <c r="F1194" t="s">
        <v>20</v>
      </c>
      <c r="G1194" t="s">
        <v>21</v>
      </c>
      <c r="H1194" t="s">
        <v>22</v>
      </c>
      <c r="I1194" t="s">
        <v>23</v>
      </c>
      <c r="J1194" t="s">
        <v>123</v>
      </c>
      <c r="K1194" s="3">
        <v>2230</v>
      </c>
      <c r="L1194" t="s">
        <v>793</v>
      </c>
      <c r="M1194" t="s">
        <v>959</v>
      </c>
      <c r="O1194" s="4">
        <v>0.15964125560538101</v>
      </c>
      <c r="P1194" s="3">
        <v>356</v>
      </c>
    </row>
    <row r="1195" spans="1:16" ht="15" customHeight="1" x14ac:dyDescent="0.3">
      <c r="A1195">
        <v>2022</v>
      </c>
      <c r="B1195" s="2">
        <v>44566</v>
      </c>
      <c r="C1195" t="s">
        <v>17</v>
      </c>
      <c r="D1195" t="s">
        <v>675</v>
      </c>
      <c r="F1195" t="s">
        <v>20</v>
      </c>
      <c r="G1195" t="s">
        <v>38</v>
      </c>
      <c r="H1195" t="s">
        <v>147</v>
      </c>
      <c r="I1195" t="s">
        <v>306</v>
      </c>
      <c r="J1195" t="s">
        <v>50</v>
      </c>
      <c r="K1195" s="3">
        <v>5750</v>
      </c>
      <c r="L1195" t="s">
        <v>825</v>
      </c>
      <c r="M1195" t="s">
        <v>960</v>
      </c>
      <c r="O1195" s="4">
        <v>0.15</v>
      </c>
      <c r="P1195" s="3">
        <v>862.5</v>
      </c>
    </row>
    <row r="1196" spans="1:16" ht="15" customHeight="1" x14ac:dyDescent="0.3">
      <c r="A1196">
        <v>2022</v>
      </c>
      <c r="B1196" s="2">
        <v>44571</v>
      </c>
      <c r="C1196" t="s">
        <v>17</v>
      </c>
      <c r="D1196" t="s">
        <v>40</v>
      </c>
      <c r="F1196" t="s">
        <v>20</v>
      </c>
      <c r="G1196" t="s">
        <v>21</v>
      </c>
      <c r="H1196" t="s">
        <v>22</v>
      </c>
      <c r="I1196" t="s">
        <v>49</v>
      </c>
      <c r="J1196" t="s">
        <v>50</v>
      </c>
      <c r="K1196" s="3">
        <v>1350</v>
      </c>
      <c r="L1196" t="s">
        <v>825</v>
      </c>
      <c r="M1196" t="s">
        <v>961</v>
      </c>
      <c r="O1196" s="4">
        <v>0.15</v>
      </c>
      <c r="P1196" s="3">
        <v>202.5</v>
      </c>
    </row>
    <row r="1197" spans="1:16" ht="15" customHeight="1" x14ac:dyDescent="0.3">
      <c r="A1197">
        <v>2022</v>
      </c>
      <c r="B1197" s="2">
        <v>44572</v>
      </c>
      <c r="C1197" t="s">
        <v>17</v>
      </c>
      <c r="D1197" t="s">
        <v>103</v>
      </c>
      <c r="F1197" t="s">
        <v>20</v>
      </c>
      <c r="G1197" t="s">
        <v>21</v>
      </c>
      <c r="H1197" t="s">
        <v>22</v>
      </c>
      <c r="I1197" t="s">
        <v>23</v>
      </c>
      <c r="J1197" t="s">
        <v>123</v>
      </c>
      <c r="K1197" s="3">
        <v>26969</v>
      </c>
      <c r="L1197" t="s">
        <v>793</v>
      </c>
      <c r="M1197" t="s">
        <v>962</v>
      </c>
      <c r="O1197" s="4">
        <v>0.16418220920315901</v>
      </c>
      <c r="P1197" s="3">
        <v>4427.83</v>
      </c>
    </row>
    <row r="1198" spans="1:16" ht="15" customHeight="1" x14ac:dyDescent="0.3">
      <c r="A1198">
        <v>2022</v>
      </c>
      <c r="B1198" s="2">
        <v>44572</v>
      </c>
      <c r="C1198" t="s">
        <v>17</v>
      </c>
      <c r="D1198" t="s">
        <v>773</v>
      </c>
      <c r="F1198" t="s">
        <v>20</v>
      </c>
      <c r="G1198" t="s">
        <v>38</v>
      </c>
      <c r="H1198" t="s">
        <v>39</v>
      </c>
      <c r="I1198" t="s">
        <v>136</v>
      </c>
      <c r="J1198" t="s">
        <v>50</v>
      </c>
      <c r="K1198" s="3">
        <v>27956.54</v>
      </c>
      <c r="L1198" t="s">
        <v>793</v>
      </c>
      <c r="M1198" t="s">
        <v>963</v>
      </c>
      <c r="O1198" s="4">
        <v>0.145486172466264</v>
      </c>
      <c r="P1198" s="3">
        <v>4067.29000000001</v>
      </c>
    </row>
    <row r="1199" spans="1:16" ht="15" customHeight="1" x14ac:dyDescent="0.3">
      <c r="A1199">
        <v>2022</v>
      </c>
      <c r="B1199" s="2">
        <v>44572</v>
      </c>
      <c r="C1199" t="s">
        <v>17</v>
      </c>
      <c r="D1199" t="s">
        <v>773</v>
      </c>
      <c r="F1199" t="s">
        <v>20</v>
      </c>
      <c r="G1199" t="s">
        <v>38</v>
      </c>
      <c r="H1199" t="s">
        <v>39</v>
      </c>
      <c r="I1199" t="s">
        <v>136</v>
      </c>
      <c r="J1199" t="s">
        <v>50</v>
      </c>
      <c r="K1199" s="3">
        <v>23640.14</v>
      </c>
      <c r="L1199" t="s">
        <v>793</v>
      </c>
      <c r="M1199" t="s">
        <v>964</v>
      </c>
      <c r="O1199" s="4">
        <v>0.17389448624246701</v>
      </c>
      <c r="P1199" s="3">
        <v>4110.8899999999903</v>
      </c>
    </row>
    <row r="1200" spans="1:16" ht="15" customHeight="1" x14ac:dyDescent="0.3">
      <c r="A1200">
        <v>2022</v>
      </c>
      <c r="B1200" s="2">
        <v>44580</v>
      </c>
      <c r="C1200" t="s">
        <v>17</v>
      </c>
      <c r="D1200" t="s">
        <v>40</v>
      </c>
      <c r="F1200" t="s">
        <v>20</v>
      </c>
      <c r="G1200" t="s">
        <v>21</v>
      </c>
      <c r="H1200" t="s">
        <v>22</v>
      </c>
      <c r="I1200" t="s">
        <v>49</v>
      </c>
      <c r="J1200" t="s">
        <v>50</v>
      </c>
      <c r="K1200" s="3">
        <v>19666</v>
      </c>
      <c r="L1200" t="s">
        <v>825</v>
      </c>
      <c r="M1200" t="s">
        <v>965</v>
      </c>
      <c r="O1200" s="4">
        <v>0.15</v>
      </c>
      <c r="P1200" s="3">
        <v>2949.9</v>
      </c>
    </row>
    <row r="1201" spans="1:16" ht="15" customHeight="1" x14ac:dyDescent="0.3">
      <c r="A1201">
        <v>2022</v>
      </c>
      <c r="B1201" s="2">
        <v>44582</v>
      </c>
      <c r="C1201" t="s">
        <v>17</v>
      </c>
      <c r="D1201" t="s">
        <v>844</v>
      </c>
      <c r="F1201" t="s">
        <v>20</v>
      </c>
      <c r="G1201" t="s">
        <v>107</v>
      </c>
      <c r="H1201" t="s">
        <v>108</v>
      </c>
      <c r="I1201" t="s">
        <v>306</v>
      </c>
      <c r="J1201" t="s">
        <v>50</v>
      </c>
      <c r="K1201" s="3">
        <v>112385.07</v>
      </c>
      <c r="L1201" t="s">
        <v>825</v>
      </c>
      <c r="M1201" t="s">
        <v>966</v>
      </c>
      <c r="O1201" s="4">
        <v>0.14600479850215001</v>
      </c>
      <c r="P1201" s="3">
        <v>16408.7595</v>
      </c>
    </row>
    <row r="1202" spans="1:16" ht="15" customHeight="1" x14ac:dyDescent="0.3">
      <c r="A1202">
        <v>2022</v>
      </c>
      <c r="B1202" s="2">
        <v>44582</v>
      </c>
      <c r="C1202" t="s">
        <v>17</v>
      </c>
      <c r="D1202" t="s">
        <v>844</v>
      </c>
      <c r="F1202" t="s">
        <v>20</v>
      </c>
      <c r="G1202" t="s">
        <v>107</v>
      </c>
      <c r="H1202" t="s">
        <v>108</v>
      </c>
      <c r="I1202" t="s">
        <v>306</v>
      </c>
      <c r="J1202" t="s">
        <v>50</v>
      </c>
      <c r="K1202" s="3">
        <v>11238.37</v>
      </c>
      <c r="L1202" t="s">
        <v>825</v>
      </c>
      <c r="M1202" t="s">
        <v>967</v>
      </c>
      <c r="O1202" s="4">
        <v>0.112699706452092</v>
      </c>
      <c r="P1202" s="3">
        <v>1266.5609999999999</v>
      </c>
    </row>
    <row r="1203" spans="1:16" ht="15" customHeight="1" x14ac:dyDescent="0.3">
      <c r="A1203">
        <v>2022</v>
      </c>
      <c r="B1203" s="2">
        <v>44586</v>
      </c>
      <c r="C1203" t="s">
        <v>17</v>
      </c>
      <c r="D1203" t="s">
        <v>782</v>
      </c>
      <c r="F1203" t="s">
        <v>20</v>
      </c>
      <c r="G1203" t="s">
        <v>107</v>
      </c>
      <c r="H1203" t="s">
        <v>108</v>
      </c>
      <c r="I1203" t="s">
        <v>23</v>
      </c>
      <c r="J1203" t="s">
        <v>123</v>
      </c>
      <c r="K1203" s="3">
        <v>801.58</v>
      </c>
      <c r="L1203" t="s">
        <v>825</v>
      </c>
      <c r="M1203" t="s">
        <v>968</v>
      </c>
      <c r="O1203" s="4">
        <v>0.15</v>
      </c>
      <c r="P1203" s="3">
        <v>120.23699999999999</v>
      </c>
    </row>
    <row r="1204" spans="1:16" ht="15" customHeight="1" x14ac:dyDescent="0.3">
      <c r="A1204">
        <v>2022</v>
      </c>
      <c r="B1204" s="2">
        <v>44594</v>
      </c>
      <c r="C1204" t="s">
        <v>71</v>
      </c>
      <c r="D1204" t="s">
        <v>61</v>
      </c>
      <c r="F1204" t="s">
        <v>20</v>
      </c>
      <c r="G1204" t="s">
        <v>21</v>
      </c>
      <c r="H1204" t="s">
        <v>22</v>
      </c>
      <c r="I1204" t="s">
        <v>23</v>
      </c>
      <c r="J1204" t="s">
        <v>27</v>
      </c>
      <c r="K1204" s="3">
        <v>32030.62</v>
      </c>
      <c r="L1204" t="s">
        <v>793</v>
      </c>
      <c r="M1204" t="s">
        <v>969</v>
      </c>
      <c r="O1204" s="4">
        <v>0.138568032713697</v>
      </c>
      <c r="P1204" s="3">
        <v>4438.42</v>
      </c>
    </row>
    <row r="1205" spans="1:16" ht="15" customHeight="1" x14ac:dyDescent="0.3">
      <c r="A1205">
        <v>2022</v>
      </c>
      <c r="B1205" s="2">
        <v>44600</v>
      </c>
      <c r="C1205" t="s">
        <v>71</v>
      </c>
      <c r="D1205" t="s">
        <v>970</v>
      </c>
      <c r="F1205" t="s">
        <v>20</v>
      </c>
      <c r="G1205" t="s">
        <v>107</v>
      </c>
      <c r="H1205" t="s">
        <v>916</v>
      </c>
      <c r="I1205" t="s">
        <v>23</v>
      </c>
      <c r="J1205" t="s">
        <v>123</v>
      </c>
      <c r="K1205" s="3">
        <v>85321.16</v>
      </c>
      <c r="L1205" t="s">
        <v>793</v>
      </c>
      <c r="M1205" t="s">
        <v>971</v>
      </c>
      <c r="O1205" s="4">
        <v>0.145551115338798</v>
      </c>
      <c r="P1205" s="3">
        <v>12418.59</v>
      </c>
    </row>
    <row r="1206" spans="1:16" ht="15" customHeight="1" x14ac:dyDescent="0.3">
      <c r="A1206">
        <v>2022</v>
      </c>
      <c r="B1206" s="2">
        <v>44600</v>
      </c>
      <c r="C1206" t="s">
        <v>71</v>
      </c>
      <c r="D1206" t="s">
        <v>773</v>
      </c>
      <c r="F1206" t="s">
        <v>20</v>
      </c>
      <c r="G1206" t="s">
        <v>38</v>
      </c>
      <c r="H1206" t="s">
        <v>39</v>
      </c>
      <c r="I1206" t="s">
        <v>136</v>
      </c>
      <c r="J1206" t="s">
        <v>50</v>
      </c>
      <c r="K1206" s="3">
        <v>76112.45</v>
      </c>
      <c r="L1206" t="s">
        <v>793</v>
      </c>
      <c r="M1206" t="s">
        <v>972</v>
      </c>
      <c r="O1206" s="4">
        <v>0.17165811900681199</v>
      </c>
      <c r="P1206" s="3">
        <v>13065.32</v>
      </c>
    </row>
    <row r="1207" spans="1:16" ht="15" customHeight="1" x14ac:dyDescent="0.3">
      <c r="A1207">
        <v>2022</v>
      </c>
      <c r="B1207" s="2">
        <v>44601</v>
      </c>
      <c r="C1207" t="s">
        <v>71</v>
      </c>
      <c r="D1207" t="s">
        <v>973</v>
      </c>
      <c r="F1207" t="s">
        <v>20</v>
      </c>
      <c r="G1207" t="s">
        <v>38</v>
      </c>
      <c r="H1207" t="s">
        <v>89</v>
      </c>
      <c r="I1207" t="s">
        <v>23</v>
      </c>
      <c r="J1207" t="s">
        <v>50</v>
      </c>
      <c r="K1207" s="3">
        <v>296008</v>
      </c>
      <c r="L1207" t="s">
        <v>793</v>
      </c>
      <c r="M1207" t="s">
        <v>974</v>
      </c>
      <c r="O1207" s="4">
        <v>0.14698585849031101</v>
      </c>
      <c r="P1207" s="3">
        <v>43508.99</v>
      </c>
    </row>
    <row r="1208" spans="1:16" ht="15" customHeight="1" x14ac:dyDescent="0.3">
      <c r="A1208">
        <v>2022</v>
      </c>
      <c r="B1208" s="2">
        <v>44603</v>
      </c>
      <c r="C1208" t="s">
        <v>71</v>
      </c>
      <c r="D1208" t="s">
        <v>791</v>
      </c>
      <c r="F1208" t="s">
        <v>20</v>
      </c>
      <c r="G1208" t="s">
        <v>21</v>
      </c>
      <c r="H1208" t="s">
        <v>22</v>
      </c>
      <c r="I1208" t="s">
        <v>23</v>
      </c>
      <c r="J1208" t="s">
        <v>123</v>
      </c>
      <c r="K1208" s="3">
        <v>276263.59999999998</v>
      </c>
      <c r="L1208" t="s">
        <v>793</v>
      </c>
      <c r="M1208" t="s">
        <v>975</v>
      </c>
      <c r="O1208" s="4">
        <v>0.16871220095589901</v>
      </c>
      <c r="P1208" s="3">
        <v>46609.040000000103</v>
      </c>
    </row>
    <row r="1209" spans="1:16" ht="15" customHeight="1" x14ac:dyDescent="0.3">
      <c r="A1209">
        <v>2022</v>
      </c>
      <c r="B1209" s="2">
        <v>44606</v>
      </c>
      <c r="C1209" t="s">
        <v>71</v>
      </c>
      <c r="D1209" t="s">
        <v>155</v>
      </c>
      <c r="F1209" t="s">
        <v>20</v>
      </c>
      <c r="G1209" t="s">
        <v>38</v>
      </c>
      <c r="H1209" t="s">
        <v>39</v>
      </c>
      <c r="I1209" t="s">
        <v>23</v>
      </c>
      <c r="J1209" t="s">
        <v>50</v>
      </c>
      <c r="K1209" s="3">
        <v>13019.35</v>
      </c>
      <c r="L1209" t="s">
        <v>793</v>
      </c>
      <c r="M1209" t="s">
        <v>976</v>
      </c>
      <c r="O1209" s="4">
        <v>0.14550265566253301</v>
      </c>
      <c r="P1209" s="3">
        <v>1894.35</v>
      </c>
    </row>
    <row r="1210" spans="1:16" ht="15" customHeight="1" x14ac:dyDescent="0.3">
      <c r="A1210">
        <v>2022</v>
      </c>
      <c r="B1210" s="2">
        <v>44607</v>
      </c>
      <c r="C1210" t="s">
        <v>71</v>
      </c>
      <c r="D1210" t="s">
        <v>970</v>
      </c>
      <c r="F1210" t="s">
        <v>20</v>
      </c>
      <c r="G1210" t="s">
        <v>107</v>
      </c>
      <c r="H1210" t="s">
        <v>916</v>
      </c>
      <c r="I1210" t="s">
        <v>23</v>
      </c>
      <c r="J1210" t="s">
        <v>123</v>
      </c>
      <c r="K1210" s="3">
        <v>9716.84</v>
      </c>
      <c r="L1210" t="s">
        <v>825</v>
      </c>
      <c r="M1210" t="s">
        <v>977</v>
      </c>
      <c r="O1210" s="4">
        <v>0.15</v>
      </c>
      <c r="P1210" s="3">
        <v>1457.5260000000001</v>
      </c>
    </row>
    <row r="1211" spans="1:16" ht="15" customHeight="1" x14ac:dyDescent="0.3">
      <c r="A1211">
        <v>2022</v>
      </c>
      <c r="B1211" s="2">
        <v>44610</v>
      </c>
      <c r="C1211" t="s">
        <v>71</v>
      </c>
      <c r="D1211" t="s">
        <v>155</v>
      </c>
      <c r="F1211" t="s">
        <v>20</v>
      </c>
      <c r="G1211" t="s">
        <v>38</v>
      </c>
      <c r="H1211" t="s">
        <v>39</v>
      </c>
      <c r="I1211" t="s">
        <v>23</v>
      </c>
      <c r="J1211" t="s">
        <v>50</v>
      </c>
      <c r="K1211" s="3">
        <v>1750000</v>
      </c>
      <c r="L1211" t="s">
        <v>793</v>
      </c>
      <c r="M1211" t="s">
        <v>978</v>
      </c>
      <c r="O1211" s="4">
        <v>0.13882922857142899</v>
      </c>
      <c r="P1211" s="3">
        <v>242951.15000000101</v>
      </c>
    </row>
    <row r="1212" spans="1:16" ht="15" customHeight="1" x14ac:dyDescent="0.3">
      <c r="A1212">
        <v>2022</v>
      </c>
      <c r="B1212" s="2">
        <v>44610</v>
      </c>
      <c r="C1212" t="s">
        <v>71</v>
      </c>
      <c r="D1212" t="s">
        <v>746</v>
      </c>
      <c r="F1212" t="s">
        <v>20</v>
      </c>
      <c r="G1212" t="s">
        <v>21</v>
      </c>
      <c r="H1212" t="s">
        <v>22</v>
      </c>
      <c r="I1212" t="s">
        <v>141</v>
      </c>
      <c r="J1212" t="s">
        <v>50</v>
      </c>
      <c r="K1212" s="3">
        <v>300</v>
      </c>
      <c r="L1212" t="s">
        <v>825</v>
      </c>
      <c r="M1212" t="s">
        <v>979</v>
      </c>
      <c r="O1212" s="4">
        <v>0.15</v>
      </c>
      <c r="P1212" s="3">
        <v>45</v>
      </c>
    </row>
    <row r="1213" spans="1:16" ht="15" customHeight="1" x14ac:dyDescent="0.3">
      <c r="A1213">
        <v>2022</v>
      </c>
      <c r="B1213" s="2">
        <v>44613</v>
      </c>
      <c r="C1213" t="s">
        <v>71</v>
      </c>
      <c r="D1213" t="s">
        <v>776</v>
      </c>
      <c r="F1213" t="s">
        <v>20</v>
      </c>
      <c r="G1213" t="s">
        <v>38</v>
      </c>
      <c r="H1213" t="s">
        <v>147</v>
      </c>
      <c r="I1213" t="s">
        <v>136</v>
      </c>
      <c r="J1213" t="s">
        <v>50</v>
      </c>
      <c r="K1213" s="3">
        <v>1226.01</v>
      </c>
      <c r="L1213" t="s">
        <v>793</v>
      </c>
      <c r="M1213" t="s">
        <v>980</v>
      </c>
      <c r="O1213" s="4"/>
      <c r="P1213" s="3"/>
    </row>
    <row r="1214" spans="1:16" ht="15" customHeight="1" x14ac:dyDescent="0.3">
      <c r="A1214">
        <v>2022</v>
      </c>
      <c r="B1214" s="2">
        <v>44613</v>
      </c>
      <c r="C1214" t="s">
        <v>71</v>
      </c>
      <c r="D1214" t="s">
        <v>767</v>
      </c>
      <c r="F1214" t="s">
        <v>20</v>
      </c>
      <c r="G1214" t="s">
        <v>38</v>
      </c>
      <c r="H1214" t="s">
        <v>619</v>
      </c>
      <c r="I1214" t="s">
        <v>23</v>
      </c>
      <c r="J1214" t="s">
        <v>123</v>
      </c>
      <c r="K1214" s="3">
        <v>10421.299999999999</v>
      </c>
      <c r="L1214" t="s">
        <v>825</v>
      </c>
      <c r="M1214" t="s">
        <v>981</v>
      </c>
      <c r="O1214" s="4">
        <v>0.15</v>
      </c>
      <c r="P1214" s="3">
        <v>1563.1949999999999</v>
      </c>
    </row>
    <row r="1215" spans="1:16" ht="15" customHeight="1" x14ac:dyDescent="0.3">
      <c r="A1215">
        <v>2022</v>
      </c>
      <c r="B1215" s="2">
        <v>44614</v>
      </c>
      <c r="C1215" t="s">
        <v>71</v>
      </c>
      <c r="D1215" t="s">
        <v>864</v>
      </c>
      <c r="F1215" t="s">
        <v>20</v>
      </c>
      <c r="G1215" t="s">
        <v>107</v>
      </c>
      <c r="H1215" t="s">
        <v>108</v>
      </c>
      <c r="I1215" t="s">
        <v>23</v>
      </c>
      <c r="J1215" t="s">
        <v>123</v>
      </c>
      <c r="K1215" s="3">
        <v>517.28</v>
      </c>
      <c r="L1215" t="s">
        <v>825</v>
      </c>
      <c r="M1215" t="s">
        <v>982</v>
      </c>
      <c r="O1215" s="4">
        <v>0.15</v>
      </c>
      <c r="P1215" s="3">
        <v>77.591999999999999</v>
      </c>
    </row>
    <row r="1216" spans="1:16" ht="15" customHeight="1" x14ac:dyDescent="0.3">
      <c r="A1216">
        <v>2022</v>
      </c>
      <c r="B1216" s="2">
        <v>44614</v>
      </c>
      <c r="C1216" t="s">
        <v>71</v>
      </c>
      <c r="D1216" t="s">
        <v>675</v>
      </c>
      <c r="F1216" t="s">
        <v>20</v>
      </c>
      <c r="G1216" t="s">
        <v>38</v>
      </c>
      <c r="H1216" t="s">
        <v>147</v>
      </c>
      <c r="I1216" t="s">
        <v>306</v>
      </c>
      <c r="J1216" t="s">
        <v>50</v>
      </c>
      <c r="K1216" s="3">
        <v>33577.43</v>
      </c>
      <c r="L1216" t="s">
        <v>825</v>
      </c>
      <c r="M1216" t="s">
        <v>983</v>
      </c>
      <c r="O1216" s="4">
        <v>0.15</v>
      </c>
      <c r="P1216" s="3">
        <v>5036.6144999999997</v>
      </c>
    </row>
    <row r="1217" spans="1:16" ht="15" customHeight="1" x14ac:dyDescent="0.3">
      <c r="A1217">
        <v>2022</v>
      </c>
      <c r="B1217" s="2">
        <v>44615</v>
      </c>
      <c r="C1217" t="s">
        <v>71</v>
      </c>
      <c r="D1217" t="s">
        <v>970</v>
      </c>
      <c r="F1217" t="s">
        <v>20</v>
      </c>
      <c r="G1217" t="s">
        <v>107</v>
      </c>
      <c r="H1217" t="s">
        <v>916</v>
      </c>
      <c r="I1217" t="s">
        <v>23</v>
      </c>
      <c r="J1217" t="s">
        <v>123</v>
      </c>
      <c r="K1217" s="3">
        <v>2310</v>
      </c>
      <c r="L1217" t="s">
        <v>825</v>
      </c>
      <c r="M1217" t="s">
        <v>984</v>
      </c>
      <c r="O1217" s="4">
        <v>0.15</v>
      </c>
      <c r="P1217" s="3">
        <v>346.5</v>
      </c>
    </row>
    <row r="1218" spans="1:16" ht="15" customHeight="1" x14ac:dyDescent="0.3">
      <c r="A1218">
        <v>2022</v>
      </c>
      <c r="B1218" s="2">
        <v>44615</v>
      </c>
      <c r="C1218" t="s">
        <v>71</v>
      </c>
      <c r="D1218" t="s">
        <v>773</v>
      </c>
      <c r="F1218" t="s">
        <v>20</v>
      </c>
      <c r="G1218" t="s">
        <v>38</v>
      </c>
      <c r="H1218" t="s">
        <v>39</v>
      </c>
      <c r="I1218" t="s">
        <v>136</v>
      </c>
      <c r="J1218" t="s">
        <v>50</v>
      </c>
      <c r="K1218" s="3">
        <v>795643.63</v>
      </c>
      <c r="L1218" t="s">
        <v>793</v>
      </c>
      <c r="M1218" t="s">
        <v>985</v>
      </c>
      <c r="O1218" s="4">
        <v>0.10643388171159</v>
      </c>
      <c r="P1218" s="3">
        <v>84683.440000000104</v>
      </c>
    </row>
    <row r="1219" spans="1:16" ht="15" customHeight="1" x14ac:dyDescent="0.3">
      <c r="A1219">
        <v>2022</v>
      </c>
      <c r="B1219" s="2">
        <v>44615</v>
      </c>
      <c r="C1219" t="s">
        <v>71</v>
      </c>
      <c r="D1219" t="s">
        <v>773</v>
      </c>
      <c r="F1219" t="s">
        <v>20</v>
      </c>
      <c r="G1219" t="s">
        <v>38</v>
      </c>
      <c r="H1219" t="s">
        <v>39</v>
      </c>
      <c r="I1219" t="s">
        <v>136</v>
      </c>
      <c r="J1219" t="s">
        <v>50</v>
      </c>
      <c r="K1219" s="3">
        <v>22222.27</v>
      </c>
      <c r="L1219" t="s">
        <v>793</v>
      </c>
      <c r="M1219" t="s">
        <v>986</v>
      </c>
      <c r="O1219" s="4">
        <v>0.19284978537296099</v>
      </c>
      <c r="P1219" s="3">
        <v>4285.5599999999904</v>
      </c>
    </row>
    <row r="1220" spans="1:16" ht="15" customHeight="1" x14ac:dyDescent="0.3">
      <c r="A1220">
        <v>2022</v>
      </c>
      <c r="B1220" s="2">
        <v>44616</v>
      </c>
      <c r="C1220" t="s">
        <v>71</v>
      </c>
      <c r="D1220" t="s">
        <v>906</v>
      </c>
      <c r="F1220" t="s">
        <v>20</v>
      </c>
      <c r="G1220" t="s">
        <v>107</v>
      </c>
      <c r="H1220" t="s">
        <v>108</v>
      </c>
      <c r="I1220" t="s">
        <v>23</v>
      </c>
      <c r="J1220" t="s">
        <v>110</v>
      </c>
      <c r="K1220" s="3">
        <v>1137.0999999999999</v>
      </c>
      <c r="L1220" t="s">
        <v>825</v>
      </c>
      <c r="M1220" t="s">
        <v>987</v>
      </c>
      <c r="O1220" s="4">
        <v>0.29020930437076797</v>
      </c>
      <c r="P1220" s="3">
        <v>329.99700000000001</v>
      </c>
    </row>
    <row r="1221" spans="1:16" ht="15" customHeight="1" x14ac:dyDescent="0.3">
      <c r="A1221">
        <v>2022</v>
      </c>
      <c r="B1221" s="2">
        <v>44616</v>
      </c>
      <c r="C1221" t="s">
        <v>71</v>
      </c>
      <c r="D1221" t="s">
        <v>988</v>
      </c>
      <c r="F1221" t="s">
        <v>20</v>
      </c>
      <c r="G1221" t="s">
        <v>38</v>
      </c>
      <c r="H1221" t="s">
        <v>147</v>
      </c>
      <c r="I1221" t="s">
        <v>23</v>
      </c>
      <c r="J1221" t="s">
        <v>123</v>
      </c>
      <c r="K1221" s="3">
        <v>435000</v>
      </c>
      <c r="L1221" t="s">
        <v>793</v>
      </c>
      <c r="M1221" t="s">
        <v>989</v>
      </c>
      <c r="O1221" s="4">
        <v>0.132738620689655</v>
      </c>
      <c r="P1221" s="3">
        <v>57741.299999999901</v>
      </c>
    </row>
    <row r="1222" spans="1:16" ht="15" customHeight="1" x14ac:dyDescent="0.3">
      <c r="A1222">
        <v>2022</v>
      </c>
      <c r="B1222" s="2">
        <v>44616</v>
      </c>
      <c r="C1222" t="s">
        <v>71</v>
      </c>
      <c r="D1222" t="s">
        <v>462</v>
      </c>
      <c r="F1222" t="s">
        <v>20</v>
      </c>
      <c r="G1222" t="s">
        <v>21</v>
      </c>
      <c r="H1222" t="s">
        <v>22</v>
      </c>
      <c r="I1222" t="s">
        <v>136</v>
      </c>
      <c r="J1222" t="s">
        <v>110</v>
      </c>
      <c r="K1222" s="3">
        <v>22494.3</v>
      </c>
      <c r="L1222" t="s">
        <v>793</v>
      </c>
      <c r="M1222" t="s">
        <v>990</v>
      </c>
      <c r="O1222" s="4">
        <v>0.27983578061997899</v>
      </c>
      <c r="P1222" s="3">
        <v>6294.70999999999</v>
      </c>
    </row>
    <row r="1223" spans="1:16" ht="15" customHeight="1" x14ac:dyDescent="0.3">
      <c r="A1223">
        <v>2022</v>
      </c>
      <c r="B1223" s="2">
        <v>44617</v>
      </c>
      <c r="C1223" t="s">
        <v>71</v>
      </c>
      <c r="D1223" t="s">
        <v>844</v>
      </c>
      <c r="F1223" t="s">
        <v>20</v>
      </c>
      <c r="G1223" t="s">
        <v>107</v>
      </c>
      <c r="H1223" t="s">
        <v>108</v>
      </c>
      <c r="I1223" t="s">
        <v>306</v>
      </c>
      <c r="J1223" t="s">
        <v>50</v>
      </c>
      <c r="K1223" s="3">
        <v>8514.26</v>
      </c>
      <c r="L1223" t="s">
        <v>793</v>
      </c>
      <c r="M1223" t="s">
        <v>991</v>
      </c>
      <c r="O1223" s="4">
        <v>0.30000023490003802</v>
      </c>
      <c r="P1223" s="3">
        <v>2554.2800000000002</v>
      </c>
    </row>
    <row r="1224" spans="1:16" ht="15" customHeight="1" x14ac:dyDescent="0.3">
      <c r="A1224">
        <v>2022</v>
      </c>
      <c r="B1224" s="2">
        <v>44621</v>
      </c>
      <c r="C1224" t="s">
        <v>137</v>
      </c>
      <c r="D1224" t="s">
        <v>61</v>
      </c>
      <c r="F1224" t="s">
        <v>20</v>
      </c>
      <c r="G1224" t="s">
        <v>21</v>
      </c>
      <c r="H1224" t="s">
        <v>22</v>
      </c>
      <c r="I1224" t="s">
        <v>23</v>
      </c>
      <c r="J1224" t="s">
        <v>123</v>
      </c>
      <c r="K1224" s="3">
        <v>266477.55</v>
      </c>
      <c r="L1224" t="s">
        <v>793</v>
      </c>
      <c r="M1224" t="s">
        <v>992</v>
      </c>
      <c r="O1224" s="4">
        <v>0.12897431697341899</v>
      </c>
      <c r="P1224" s="3">
        <v>34368.760000000097</v>
      </c>
    </row>
    <row r="1225" spans="1:16" ht="15" customHeight="1" x14ac:dyDescent="0.3">
      <c r="A1225">
        <v>2022</v>
      </c>
      <c r="B1225" s="2">
        <v>44621</v>
      </c>
      <c r="C1225" t="s">
        <v>137</v>
      </c>
      <c r="D1225" t="s">
        <v>61</v>
      </c>
      <c r="F1225" t="s">
        <v>20</v>
      </c>
      <c r="G1225" t="s">
        <v>21</v>
      </c>
      <c r="H1225" t="s">
        <v>22</v>
      </c>
      <c r="I1225" t="s">
        <v>23</v>
      </c>
      <c r="J1225" t="s">
        <v>123</v>
      </c>
      <c r="K1225" s="3">
        <v>2999.46</v>
      </c>
      <c r="L1225" t="s">
        <v>825</v>
      </c>
      <c r="M1225" t="s">
        <v>993</v>
      </c>
      <c r="O1225" s="4">
        <v>0.15</v>
      </c>
      <c r="P1225" s="3">
        <v>449.91899999999998</v>
      </c>
    </row>
    <row r="1226" spans="1:16" ht="15" customHeight="1" x14ac:dyDescent="0.3">
      <c r="A1226">
        <v>2022</v>
      </c>
      <c r="B1226" s="2">
        <v>44621</v>
      </c>
      <c r="C1226" t="s">
        <v>137</v>
      </c>
      <c r="D1226" t="s">
        <v>767</v>
      </c>
      <c r="F1226" t="s">
        <v>20</v>
      </c>
      <c r="G1226" t="s">
        <v>38</v>
      </c>
      <c r="H1226" t="s">
        <v>619</v>
      </c>
      <c r="I1226" t="s">
        <v>23</v>
      </c>
      <c r="J1226" t="s">
        <v>50</v>
      </c>
      <c r="K1226" s="3">
        <v>211972.04</v>
      </c>
      <c r="L1226" t="s">
        <v>793</v>
      </c>
      <c r="M1226" t="s">
        <v>994</v>
      </c>
      <c r="O1226" s="4">
        <v>0.18707486138266199</v>
      </c>
      <c r="P1226" s="3">
        <v>39654.640000000101</v>
      </c>
    </row>
    <row r="1227" spans="1:16" ht="15" customHeight="1" x14ac:dyDescent="0.3">
      <c r="A1227">
        <v>2022</v>
      </c>
      <c r="B1227" s="2">
        <v>44623</v>
      </c>
      <c r="C1227" t="s">
        <v>137</v>
      </c>
      <c r="D1227" t="s">
        <v>864</v>
      </c>
      <c r="F1227" t="s">
        <v>20</v>
      </c>
      <c r="G1227" t="s">
        <v>107</v>
      </c>
      <c r="H1227" t="s">
        <v>108</v>
      </c>
      <c r="I1227" t="s">
        <v>23</v>
      </c>
      <c r="J1227" t="s">
        <v>123</v>
      </c>
      <c r="K1227" s="3">
        <v>3148.89</v>
      </c>
      <c r="L1227" t="s">
        <v>825</v>
      </c>
      <c r="M1227" t="s">
        <v>995</v>
      </c>
      <c r="O1227" s="4">
        <v>0.15</v>
      </c>
      <c r="P1227" s="3">
        <v>472.33350000000002</v>
      </c>
    </row>
    <row r="1228" spans="1:16" ht="15" customHeight="1" x14ac:dyDescent="0.3">
      <c r="A1228">
        <v>2022</v>
      </c>
      <c r="B1228" s="2">
        <v>44627</v>
      </c>
      <c r="C1228" t="s">
        <v>137</v>
      </c>
      <c r="D1228" t="s">
        <v>155</v>
      </c>
      <c r="F1228" t="s">
        <v>20</v>
      </c>
      <c r="G1228" t="s">
        <v>38</v>
      </c>
      <c r="H1228" t="s">
        <v>39</v>
      </c>
      <c r="I1228" t="s">
        <v>23</v>
      </c>
      <c r="J1228" t="s">
        <v>50</v>
      </c>
      <c r="K1228" s="3">
        <v>2071.9299999999998</v>
      </c>
      <c r="L1228" t="s">
        <v>793</v>
      </c>
      <c r="M1228" t="s">
        <v>996</v>
      </c>
      <c r="O1228" s="4">
        <v>0.18581708841514899</v>
      </c>
      <c r="P1228" s="3">
        <v>385</v>
      </c>
    </row>
    <row r="1229" spans="1:16" ht="15" customHeight="1" x14ac:dyDescent="0.3">
      <c r="A1229">
        <v>2022</v>
      </c>
      <c r="B1229" s="2">
        <v>44627</v>
      </c>
      <c r="C1229" t="s">
        <v>137</v>
      </c>
      <c r="D1229" t="s">
        <v>662</v>
      </c>
      <c r="F1229" t="s">
        <v>20</v>
      </c>
      <c r="G1229" t="s">
        <v>107</v>
      </c>
      <c r="H1229" t="s">
        <v>108</v>
      </c>
      <c r="I1229" t="s">
        <v>136</v>
      </c>
      <c r="J1229" t="s">
        <v>110</v>
      </c>
      <c r="K1229" s="3">
        <v>246.79</v>
      </c>
      <c r="L1229" t="s">
        <v>825</v>
      </c>
      <c r="M1229" t="s">
        <v>997</v>
      </c>
      <c r="O1229" s="4"/>
      <c r="P1229" s="3"/>
    </row>
    <row r="1230" spans="1:16" ht="15" customHeight="1" x14ac:dyDescent="0.3">
      <c r="A1230">
        <v>2022</v>
      </c>
      <c r="B1230" s="2">
        <v>44634</v>
      </c>
      <c r="C1230" t="s">
        <v>137</v>
      </c>
      <c r="D1230" t="s">
        <v>596</v>
      </c>
      <c r="F1230" t="s">
        <v>20</v>
      </c>
      <c r="G1230" t="s">
        <v>38</v>
      </c>
      <c r="H1230" t="s">
        <v>89</v>
      </c>
      <c r="I1230" t="s">
        <v>23</v>
      </c>
      <c r="J1230" t="s">
        <v>50</v>
      </c>
      <c r="K1230" s="3">
        <v>1616</v>
      </c>
      <c r="L1230" t="s">
        <v>825</v>
      </c>
      <c r="M1230" t="s">
        <v>998</v>
      </c>
      <c r="O1230" s="4">
        <v>0.15</v>
      </c>
      <c r="P1230" s="3">
        <v>242.4</v>
      </c>
    </row>
    <row r="1231" spans="1:16" ht="15" customHeight="1" x14ac:dyDescent="0.3">
      <c r="A1231">
        <v>2022</v>
      </c>
      <c r="B1231" s="2">
        <v>44649</v>
      </c>
      <c r="C1231" t="s">
        <v>137</v>
      </c>
      <c r="D1231" t="s">
        <v>864</v>
      </c>
      <c r="F1231" t="s">
        <v>20</v>
      </c>
      <c r="G1231" t="s">
        <v>107</v>
      </c>
      <c r="H1231" t="s">
        <v>108</v>
      </c>
      <c r="I1231" t="s">
        <v>23</v>
      </c>
      <c r="J1231" t="s">
        <v>123</v>
      </c>
      <c r="K1231" s="3">
        <v>742.64</v>
      </c>
      <c r="L1231" t="s">
        <v>825</v>
      </c>
      <c r="M1231" t="s">
        <v>999</v>
      </c>
      <c r="O1231" s="4">
        <v>0.15</v>
      </c>
      <c r="P1231" s="3">
        <v>111.396</v>
      </c>
    </row>
    <row r="1232" spans="1:16" ht="15" customHeight="1" x14ac:dyDescent="0.3">
      <c r="A1232">
        <v>2022</v>
      </c>
      <c r="B1232" s="2">
        <v>44649</v>
      </c>
      <c r="C1232" t="s">
        <v>137</v>
      </c>
      <c r="D1232" t="s">
        <v>40</v>
      </c>
      <c r="F1232" t="s">
        <v>20</v>
      </c>
      <c r="G1232" t="s">
        <v>21</v>
      </c>
      <c r="H1232" t="s">
        <v>22</v>
      </c>
      <c r="I1232" t="s">
        <v>49</v>
      </c>
      <c r="J1232" t="s">
        <v>50</v>
      </c>
      <c r="K1232" s="3">
        <v>3100000</v>
      </c>
      <c r="L1232" t="s">
        <v>793</v>
      </c>
      <c r="M1232" t="s">
        <v>1000</v>
      </c>
      <c r="O1232" s="4">
        <v>0.16344572258064499</v>
      </c>
      <c r="P1232" s="3">
        <v>506681.74</v>
      </c>
    </row>
    <row r="1233" spans="1:16" ht="15" customHeight="1" x14ac:dyDescent="0.3">
      <c r="A1233">
        <v>2022</v>
      </c>
      <c r="B1233" s="2">
        <v>44650</v>
      </c>
      <c r="C1233" t="s">
        <v>137</v>
      </c>
      <c r="D1233" t="s">
        <v>864</v>
      </c>
      <c r="F1233" t="s">
        <v>20</v>
      </c>
      <c r="G1233" t="s">
        <v>107</v>
      </c>
      <c r="H1233" t="s">
        <v>108</v>
      </c>
      <c r="I1233" t="s">
        <v>23</v>
      </c>
      <c r="J1233" t="s">
        <v>123</v>
      </c>
      <c r="K1233" s="3">
        <v>12840.78</v>
      </c>
      <c r="L1233" t="s">
        <v>793</v>
      </c>
      <c r="M1233" t="s">
        <v>1001</v>
      </c>
      <c r="O1233" s="4">
        <v>0.34782622239458999</v>
      </c>
      <c r="P1233" s="3">
        <v>4466.3599999999997</v>
      </c>
    </row>
    <row r="1234" spans="1:16" ht="15" customHeight="1" x14ac:dyDescent="0.3">
      <c r="A1234">
        <v>2022</v>
      </c>
      <c r="B1234" s="2">
        <v>44652</v>
      </c>
      <c r="C1234" t="s">
        <v>169</v>
      </c>
      <c r="D1234" t="s">
        <v>675</v>
      </c>
      <c r="F1234" t="s">
        <v>20</v>
      </c>
      <c r="G1234" t="s">
        <v>38</v>
      </c>
      <c r="H1234" t="s">
        <v>147</v>
      </c>
      <c r="I1234" t="s">
        <v>306</v>
      </c>
      <c r="J1234" t="s">
        <v>50</v>
      </c>
      <c r="K1234" s="3">
        <v>6574</v>
      </c>
      <c r="O1234" s="4"/>
      <c r="P1234" s="3"/>
    </row>
    <row r="1235" spans="1:16" ht="15" customHeight="1" x14ac:dyDescent="0.3">
      <c r="A1235">
        <v>2022</v>
      </c>
      <c r="B1235" s="2">
        <v>44657</v>
      </c>
      <c r="C1235" t="s">
        <v>169</v>
      </c>
      <c r="D1235" t="s">
        <v>745</v>
      </c>
      <c r="F1235" t="s">
        <v>20</v>
      </c>
      <c r="G1235" t="s">
        <v>107</v>
      </c>
      <c r="H1235" t="s">
        <v>108</v>
      </c>
      <c r="I1235" t="s">
        <v>23</v>
      </c>
      <c r="J1235" t="s">
        <v>123</v>
      </c>
      <c r="K1235" s="3">
        <v>173441.15</v>
      </c>
      <c r="O1235" s="4"/>
      <c r="P1235" s="3"/>
    </row>
    <row r="1236" spans="1:16" ht="15" customHeight="1" x14ac:dyDescent="0.3">
      <c r="A1236">
        <v>2022</v>
      </c>
      <c r="B1236" s="2">
        <v>44659</v>
      </c>
      <c r="C1236" t="s">
        <v>169</v>
      </c>
      <c r="D1236" t="s">
        <v>45</v>
      </c>
      <c r="F1236" t="s">
        <v>20</v>
      </c>
      <c r="G1236" t="s">
        <v>38</v>
      </c>
      <c r="H1236" t="s">
        <v>39</v>
      </c>
      <c r="I1236" t="s">
        <v>136</v>
      </c>
      <c r="J1236" t="s">
        <v>50</v>
      </c>
      <c r="K1236" s="3">
        <v>17701.64</v>
      </c>
      <c r="O1236" s="4"/>
      <c r="P1236" s="3"/>
    </row>
    <row r="1237" spans="1:16" ht="15" customHeight="1" x14ac:dyDescent="0.3">
      <c r="A1237">
        <v>2022</v>
      </c>
      <c r="B1237" s="2">
        <v>44662</v>
      </c>
      <c r="C1237" t="s">
        <v>169</v>
      </c>
      <c r="D1237" t="s">
        <v>155</v>
      </c>
      <c r="F1237" t="s">
        <v>20</v>
      </c>
      <c r="G1237" t="s">
        <v>38</v>
      </c>
      <c r="H1237" t="s">
        <v>39</v>
      </c>
      <c r="I1237" t="s">
        <v>23</v>
      </c>
      <c r="J1237" t="s">
        <v>50</v>
      </c>
      <c r="K1237" s="3">
        <v>440</v>
      </c>
      <c r="O1237" s="4"/>
      <c r="P1237" s="3"/>
    </row>
    <row r="1238" spans="1:16" ht="15" customHeight="1" x14ac:dyDescent="0.3">
      <c r="A1238">
        <v>2022</v>
      </c>
      <c r="B1238" s="2">
        <v>44662</v>
      </c>
      <c r="C1238" t="s">
        <v>169</v>
      </c>
      <c r="D1238" t="s">
        <v>1002</v>
      </c>
      <c r="F1238" t="s">
        <v>20</v>
      </c>
      <c r="G1238" t="s">
        <v>107</v>
      </c>
      <c r="H1238" t="s">
        <v>108</v>
      </c>
      <c r="I1238" t="s">
        <v>538</v>
      </c>
      <c r="J1238" t="s">
        <v>123</v>
      </c>
      <c r="K1238" s="3">
        <v>169900</v>
      </c>
      <c r="O1238" s="4"/>
      <c r="P1238" s="3"/>
    </row>
    <row r="1239" spans="1:16" ht="15" customHeight="1" x14ac:dyDescent="0.3">
      <c r="A1239">
        <v>2022</v>
      </c>
      <c r="B1239" s="2">
        <v>44662</v>
      </c>
      <c r="C1239" t="s">
        <v>169</v>
      </c>
      <c r="D1239" t="s">
        <v>746</v>
      </c>
      <c r="F1239" t="s">
        <v>20</v>
      </c>
      <c r="G1239" t="s">
        <v>21</v>
      </c>
      <c r="H1239" t="s">
        <v>22</v>
      </c>
      <c r="I1239" t="s">
        <v>141</v>
      </c>
      <c r="J1239" t="s">
        <v>50</v>
      </c>
      <c r="K1239" s="3">
        <v>2560</v>
      </c>
      <c r="O1239" s="4"/>
      <c r="P1239" s="3"/>
    </row>
    <row r="1240" spans="1:16" ht="15" customHeight="1" x14ac:dyDescent="0.3">
      <c r="A1240">
        <v>2022</v>
      </c>
      <c r="B1240" s="2">
        <v>44662</v>
      </c>
      <c r="C1240" t="s">
        <v>169</v>
      </c>
      <c r="D1240" t="s">
        <v>45</v>
      </c>
      <c r="F1240" t="s">
        <v>20</v>
      </c>
      <c r="G1240" t="s">
        <v>38</v>
      </c>
      <c r="H1240" t="s">
        <v>39</v>
      </c>
      <c r="I1240" t="s">
        <v>136</v>
      </c>
      <c r="J1240" t="s">
        <v>50</v>
      </c>
      <c r="K1240" s="3">
        <v>12207.37</v>
      </c>
      <c r="O1240" s="4"/>
      <c r="P1240" s="3"/>
    </row>
    <row r="1241" spans="1:16" ht="15" customHeight="1" x14ac:dyDescent="0.3">
      <c r="A1241">
        <v>2022</v>
      </c>
      <c r="B1241" s="2">
        <v>44664</v>
      </c>
      <c r="C1241" t="s">
        <v>169</v>
      </c>
      <c r="D1241" t="s">
        <v>61</v>
      </c>
      <c r="F1241" t="s">
        <v>20</v>
      </c>
      <c r="G1241" t="s">
        <v>21</v>
      </c>
      <c r="H1241" t="s">
        <v>22</v>
      </c>
      <c r="I1241" t="s">
        <v>23</v>
      </c>
      <c r="J1241" t="s">
        <v>123</v>
      </c>
      <c r="K1241" s="3">
        <v>55522.94</v>
      </c>
      <c r="O1241" s="4"/>
      <c r="P1241" s="3"/>
    </row>
    <row r="1242" spans="1:16" ht="15" customHeight="1" x14ac:dyDescent="0.3">
      <c r="A1242">
        <v>2022</v>
      </c>
      <c r="B1242" s="2">
        <v>44669</v>
      </c>
      <c r="C1242" t="s">
        <v>169</v>
      </c>
      <c r="D1242" t="s">
        <v>283</v>
      </c>
      <c r="F1242" t="s">
        <v>20</v>
      </c>
      <c r="G1242" t="s">
        <v>21</v>
      </c>
      <c r="H1242" t="s">
        <v>22</v>
      </c>
      <c r="I1242" t="s">
        <v>141</v>
      </c>
      <c r="J1242" t="s">
        <v>123</v>
      </c>
      <c r="K1242" s="3">
        <v>138384.99</v>
      </c>
      <c r="O1242" s="4"/>
      <c r="P1242" s="3"/>
    </row>
    <row r="1243" spans="1:16" ht="15" customHeight="1" x14ac:dyDescent="0.3">
      <c r="A1243">
        <v>2022</v>
      </c>
      <c r="B1243" s="2">
        <v>44670</v>
      </c>
      <c r="C1243" t="s">
        <v>169</v>
      </c>
      <c r="D1243" t="s">
        <v>844</v>
      </c>
      <c r="F1243" t="s">
        <v>20</v>
      </c>
      <c r="G1243" t="s">
        <v>107</v>
      </c>
      <c r="H1243" t="s">
        <v>108</v>
      </c>
      <c r="I1243" t="s">
        <v>306</v>
      </c>
      <c r="J1243" t="s">
        <v>50</v>
      </c>
      <c r="K1243" s="3">
        <v>352840.89</v>
      </c>
      <c r="O1243" s="4"/>
      <c r="P1243" s="3"/>
    </row>
    <row r="1244" spans="1:16" ht="15" customHeight="1" x14ac:dyDescent="0.3">
      <c r="A1244">
        <v>2022</v>
      </c>
      <c r="B1244" s="2">
        <v>44671</v>
      </c>
      <c r="C1244" t="s">
        <v>169</v>
      </c>
      <c r="D1244" t="s">
        <v>973</v>
      </c>
      <c r="F1244" t="s">
        <v>20</v>
      </c>
      <c r="G1244" t="s">
        <v>38</v>
      </c>
      <c r="H1244" t="s">
        <v>89</v>
      </c>
      <c r="I1244" t="s">
        <v>23</v>
      </c>
      <c r="J1244" t="s">
        <v>50</v>
      </c>
      <c r="K1244" s="3">
        <v>103913.42</v>
      </c>
      <c r="O1244" s="4"/>
      <c r="P1244" s="3"/>
    </row>
    <row r="1245" spans="1:16" ht="15" customHeight="1" x14ac:dyDescent="0.3">
      <c r="A1245">
        <v>2022</v>
      </c>
      <c r="B1245" s="2">
        <v>44672</v>
      </c>
      <c r="C1245" t="s">
        <v>169</v>
      </c>
      <c r="D1245" t="s">
        <v>763</v>
      </c>
      <c r="F1245" t="s">
        <v>20</v>
      </c>
      <c r="G1245" t="s">
        <v>21</v>
      </c>
      <c r="H1245" t="s">
        <v>764</v>
      </c>
      <c r="I1245" t="s">
        <v>23</v>
      </c>
      <c r="J1245" t="s">
        <v>123</v>
      </c>
      <c r="K1245" s="3">
        <v>324989</v>
      </c>
      <c r="O1245" s="4"/>
      <c r="P1245" s="3"/>
    </row>
    <row r="1246" spans="1:16" ht="15" customHeight="1" x14ac:dyDescent="0.3">
      <c r="A1246">
        <v>2022</v>
      </c>
      <c r="B1246" s="2">
        <v>44677</v>
      </c>
      <c r="C1246" t="s">
        <v>169</v>
      </c>
      <c r="D1246" t="s">
        <v>47</v>
      </c>
      <c r="F1246" t="s">
        <v>20</v>
      </c>
      <c r="G1246" t="s">
        <v>38</v>
      </c>
      <c r="H1246" t="s">
        <v>39</v>
      </c>
      <c r="I1246" t="s">
        <v>23</v>
      </c>
      <c r="J1246" t="s">
        <v>123</v>
      </c>
      <c r="K1246" s="3">
        <v>1150</v>
      </c>
      <c r="O1246" s="4"/>
      <c r="P1246" s="3"/>
    </row>
    <row r="1247" spans="1:16" ht="15" customHeight="1" x14ac:dyDescent="0.3">
      <c r="A1247">
        <v>2022</v>
      </c>
      <c r="B1247" s="2">
        <v>44678</v>
      </c>
      <c r="C1247" t="s">
        <v>169</v>
      </c>
      <c r="D1247" t="s">
        <v>1003</v>
      </c>
      <c r="F1247" t="s">
        <v>20</v>
      </c>
      <c r="G1247" t="s">
        <v>38</v>
      </c>
      <c r="H1247" t="s">
        <v>147</v>
      </c>
      <c r="J1247" t="s">
        <v>123</v>
      </c>
      <c r="K1247" s="3">
        <v>2443763.36</v>
      </c>
      <c r="L1247" t="s">
        <v>793</v>
      </c>
      <c r="M1247" t="s">
        <v>1004</v>
      </c>
      <c r="O1247" s="4">
        <v>0.13711393888809301</v>
      </c>
      <c r="P1247" s="3">
        <v>335074.02000000101</v>
      </c>
    </row>
    <row r="1248" spans="1:16" ht="15" customHeight="1" x14ac:dyDescent="0.3">
      <c r="A1248">
        <v>2022</v>
      </c>
      <c r="B1248" s="2">
        <v>44679</v>
      </c>
      <c r="C1248" t="s">
        <v>169</v>
      </c>
      <c r="D1248" t="s">
        <v>844</v>
      </c>
      <c r="F1248" t="s">
        <v>20</v>
      </c>
      <c r="G1248" t="s">
        <v>107</v>
      </c>
      <c r="H1248" t="s">
        <v>108</v>
      </c>
      <c r="I1248" t="s">
        <v>306</v>
      </c>
      <c r="J1248" t="s">
        <v>50</v>
      </c>
      <c r="K1248" s="3">
        <v>388446.52</v>
      </c>
      <c r="O1248" s="4"/>
      <c r="P1248" s="3"/>
    </row>
    <row r="1249" spans="1:16" ht="15" customHeight="1" x14ac:dyDescent="0.3">
      <c r="A1249">
        <v>2022</v>
      </c>
      <c r="B1249" s="2">
        <v>44680</v>
      </c>
      <c r="C1249" t="s">
        <v>169</v>
      </c>
      <c r="D1249" t="s">
        <v>61</v>
      </c>
      <c r="F1249" t="s">
        <v>20</v>
      </c>
      <c r="G1249" t="s">
        <v>21</v>
      </c>
      <c r="H1249" t="s">
        <v>22</v>
      </c>
      <c r="I1249" t="s">
        <v>23</v>
      </c>
      <c r="J1249" t="s">
        <v>50</v>
      </c>
      <c r="K1249" s="3">
        <v>1964400</v>
      </c>
      <c r="O1249" s="4"/>
      <c r="P1249" s="3"/>
    </row>
    <row r="1250" spans="1:16" ht="15" customHeight="1" x14ac:dyDescent="0.3">
      <c r="A1250">
        <v>2022</v>
      </c>
      <c r="B1250" s="2">
        <v>44680</v>
      </c>
      <c r="C1250" t="s">
        <v>169</v>
      </c>
      <c r="D1250" t="s">
        <v>761</v>
      </c>
      <c r="F1250" t="s">
        <v>20</v>
      </c>
      <c r="G1250" t="s">
        <v>21</v>
      </c>
      <c r="H1250" t="s">
        <v>22</v>
      </c>
      <c r="I1250" t="s">
        <v>23</v>
      </c>
      <c r="J1250" t="s">
        <v>123</v>
      </c>
      <c r="K1250" s="3">
        <v>74323</v>
      </c>
      <c r="O1250" s="4"/>
      <c r="P1250" s="3"/>
    </row>
    <row r="1251" spans="1:16" ht="15" customHeight="1" x14ac:dyDescent="0.3">
      <c r="A1251">
        <v>2022</v>
      </c>
      <c r="B1251" s="2">
        <v>44685</v>
      </c>
      <c r="C1251" t="s">
        <v>190</v>
      </c>
      <c r="D1251" t="s">
        <v>767</v>
      </c>
      <c r="F1251" t="s">
        <v>20</v>
      </c>
      <c r="G1251" t="s">
        <v>38</v>
      </c>
      <c r="H1251" t="s">
        <v>619</v>
      </c>
      <c r="I1251" t="s">
        <v>23</v>
      </c>
      <c r="J1251" t="s">
        <v>123</v>
      </c>
      <c r="K1251" s="3">
        <v>1414433.32</v>
      </c>
      <c r="L1251" t="s">
        <v>793</v>
      </c>
      <c r="M1251" t="s">
        <v>1005</v>
      </c>
      <c r="O1251" s="4">
        <v>0.14324111793407099</v>
      </c>
      <c r="P1251" s="3">
        <v>202605.01</v>
      </c>
    </row>
    <row r="1252" spans="1:16" ht="15" customHeight="1" x14ac:dyDescent="0.3">
      <c r="A1252">
        <v>2022</v>
      </c>
      <c r="B1252" s="2">
        <v>44687</v>
      </c>
      <c r="C1252" t="s">
        <v>190</v>
      </c>
      <c r="D1252" t="s">
        <v>61</v>
      </c>
      <c r="F1252" t="s">
        <v>20</v>
      </c>
      <c r="G1252" t="s">
        <v>21</v>
      </c>
      <c r="H1252" t="s">
        <v>22</v>
      </c>
      <c r="I1252" t="s">
        <v>306</v>
      </c>
      <c r="J1252" t="s">
        <v>123</v>
      </c>
      <c r="K1252" s="3">
        <v>997757.16</v>
      </c>
      <c r="L1252" t="s">
        <v>793</v>
      </c>
      <c r="M1252" t="s">
        <v>1006</v>
      </c>
      <c r="O1252" s="4">
        <v>0.16821967982670299</v>
      </c>
      <c r="P1252" s="3">
        <v>167842.390000001</v>
      </c>
    </row>
    <row r="1253" spans="1:16" ht="15" customHeight="1" x14ac:dyDescent="0.3">
      <c r="A1253">
        <v>2022</v>
      </c>
      <c r="B1253" s="2">
        <v>44687</v>
      </c>
      <c r="C1253" t="s">
        <v>190</v>
      </c>
      <c r="D1253" t="s">
        <v>1007</v>
      </c>
      <c r="F1253" t="s">
        <v>20</v>
      </c>
      <c r="G1253" t="s">
        <v>38</v>
      </c>
      <c r="H1253" t="s">
        <v>39</v>
      </c>
      <c r="I1253" t="s">
        <v>306</v>
      </c>
      <c r="J1253" t="s">
        <v>123</v>
      </c>
      <c r="K1253" s="3">
        <v>1180000</v>
      </c>
      <c r="L1253" t="s">
        <v>793</v>
      </c>
      <c r="M1253" t="s">
        <v>1008</v>
      </c>
      <c r="O1253" s="4">
        <v>0.148745550847458</v>
      </c>
      <c r="P1253" s="3">
        <v>175519.75</v>
      </c>
    </row>
    <row r="1254" spans="1:16" ht="15" customHeight="1" x14ac:dyDescent="0.3">
      <c r="A1254">
        <v>2022</v>
      </c>
      <c r="B1254" s="2">
        <v>44687</v>
      </c>
      <c r="C1254" t="s">
        <v>190</v>
      </c>
      <c r="D1254" t="s">
        <v>749</v>
      </c>
      <c r="F1254" t="s">
        <v>20</v>
      </c>
      <c r="G1254" t="s">
        <v>38</v>
      </c>
      <c r="H1254" t="s">
        <v>39</v>
      </c>
      <c r="I1254" t="s">
        <v>141</v>
      </c>
      <c r="J1254" t="s">
        <v>50</v>
      </c>
      <c r="K1254" s="3">
        <v>1216763.76</v>
      </c>
      <c r="L1254" t="s">
        <v>793</v>
      </c>
      <c r="M1254" t="s">
        <v>1009</v>
      </c>
      <c r="O1254" s="4">
        <v>0.239972991963534</v>
      </c>
      <c r="P1254" s="3">
        <v>291990.43999999901</v>
      </c>
    </row>
    <row r="1255" spans="1:16" ht="15" customHeight="1" x14ac:dyDescent="0.3">
      <c r="A1255">
        <v>2022</v>
      </c>
      <c r="B1255" s="2">
        <v>44691</v>
      </c>
      <c r="C1255" t="s">
        <v>190</v>
      </c>
      <c r="D1255" t="s">
        <v>816</v>
      </c>
      <c r="F1255" t="s">
        <v>20</v>
      </c>
      <c r="G1255" t="s">
        <v>107</v>
      </c>
      <c r="H1255" t="s">
        <v>108</v>
      </c>
      <c r="I1255" t="s">
        <v>23</v>
      </c>
      <c r="J1255" t="s">
        <v>50</v>
      </c>
      <c r="K1255" s="3">
        <v>4500</v>
      </c>
      <c r="L1255" t="s">
        <v>825</v>
      </c>
      <c r="M1255" t="s">
        <v>1010</v>
      </c>
      <c r="O1255" s="4">
        <v>0.15</v>
      </c>
      <c r="P1255" s="3">
        <v>675</v>
      </c>
    </row>
    <row r="1256" spans="1:16" ht="15" customHeight="1" x14ac:dyDescent="0.3">
      <c r="A1256">
        <v>2022</v>
      </c>
      <c r="B1256" s="2">
        <v>44691</v>
      </c>
      <c r="C1256" t="s">
        <v>190</v>
      </c>
      <c r="D1256" t="s">
        <v>745</v>
      </c>
      <c r="F1256" t="s">
        <v>20</v>
      </c>
      <c r="G1256" t="s">
        <v>107</v>
      </c>
      <c r="H1256" t="s">
        <v>108</v>
      </c>
      <c r="I1256" t="s">
        <v>23</v>
      </c>
      <c r="J1256" t="s">
        <v>123</v>
      </c>
      <c r="K1256" s="3">
        <v>853.76</v>
      </c>
      <c r="L1256" t="s">
        <v>825</v>
      </c>
      <c r="M1256" t="s">
        <v>1011</v>
      </c>
      <c r="O1256" s="4">
        <v>0.15</v>
      </c>
      <c r="P1256" s="3">
        <v>128.06399999999999</v>
      </c>
    </row>
    <row r="1257" spans="1:16" ht="15" customHeight="1" x14ac:dyDescent="0.3">
      <c r="A1257">
        <v>2022</v>
      </c>
      <c r="B1257" s="2">
        <v>44693</v>
      </c>
      <c r="C1257" t="s">
        <v>190</v>
      </c>
      <c r="D1257" t="s">
        <v>970</v>
      </c>
      <c r="F1257" t="s">
        <v>20</v>
      </c>
      <c r="G1257" t="s">
        <v>107</v>
      </c>
      <c r="H1257" t="s">
        <v>916</v>
      </c>
      <c r="I1257" t="s">
        <v>23</v>
      </c>
      <c r="J1257" t="s">
        <v>123</v>
      </c>
      <c r="K1257" s="3">
        <v>3320</v>
      </c>
      <c r="L1257" t="s">
        <v>825</v>
      </c>
      <c r="M1257" t="s">
        <v>1012</v>
      </c>
      <c r="O1257" s="4">
        <v>0.15</v>
      </c>
      <c r="P1257" s="3">
        <v>498</v>
      </c>
    </row>
    <row r="1258" spans="1:16" ht="15" customHeight="1" x14ac:dyDescent="0.3">
      <c r="A1258">
        <v>2022</v>
      </c>
      <c r="B1258" s="2">
        <v>44694</v>
      </c>
      <c r="C1258" t="s">
        <v>190</v>
      </c>
      <c r="D1258" t="s">
        <v>155</v>
      </c>
      <c r="F1258" t="s">
        <v>20</v>
      </c>
      <c r="G1258" t="s">
        <v>38</v>
      </c>
      <c r="H1258" t="s">
        <v>39</v>
      </c>
      <c r="I1258" t="s">
        <v>23</v>
      </c>
      <c r="J1258" t="s">
        <v>50</v>
      </c>
      <c r="K1258" s="3">
        <v>351</v>
      </c>
      <c r="L1258" t="s">
        <v>825</v>
      </c>
      <c r="M1258" t="s">
        <v>1013</v>
      </c>
      <c r="O1258" s="4">
        <v>0.15</v>
      </c>
      <c r="P1258" s="3">
        <v>52.65</v>
      </c>
    </row>
    <row r="1259" spans="1:16" ht="15" customHeight="1" x14ac:dyDescent="0.3">
      <c r="A1259">
        <v>2022</v>
      </c>
      <c r="B1259" s="2">
        <v>44700</v>
      </c>
      <c r="C1259" t="s">
        <v>190</v>
      </c>
      <c r="D1259" t="s">
        <v>816</v>
      </c>
      <c r="F1259" t="s">
        <v>20</v>
      </c>
      <c r="G1259" t="s">
        <v>107</v>
      </c>
      <c r="H1259" t="s">
        <v>108</v>
      </c>
      <c r="I1259" t="s">
        <v>23</v>
      </c>
      <c r="J1259" t="s">
        <v>50</v>
      </c>
      <c r="K1259" s="3">
        <v>10000</v>
      </c>
      <c r="L1259" t="s">
        <v>793</v>
      </c>
      <c r="M1259" t="s">
        <v>1014</v>
      </c>
      <c r="O1259" s="4">
        <v>0.38800000000000001</v>
      </c>
      <c r="P1259" s="3">
        <v>3880</v>
      </c>
    </row>
    <row r="1260" spans="1:16" ht="15" customHeight="1" x14ac:dyDescent="0.3">
      <c r="A1260">
        <v>2022</v>
      </c>
      <c r="B1260" s="2">
        <v>44700</v>
      </c>
      <c r="C1260" t="s">
        <v>190</v>
      </c>
      <c r="D1260" t="s">
        <v>1015</v>
      </c>
      <c r="F1260" t="s">
        <v>20</v>
      </c>
      <c r="G1260" t="s">
        <v>107</v>
      </c>
      <c r="H1260" t="s">
        <v>22</v>
      </c>
      <c r="I1260" t="s">
        <v>23</v>
      </c>
      <c r="J1260" t="s">
        <v>123</v>
      </c>
      <c r="K1260" s="3">
        <v>398.6</v>
      </c>
      <c r="L1260" t="s">
        <v>793</v>
      </c>
      <c r="M1260" t="s">
        <v>1016</v>
      </c>
      <c r="O1260" s="4">
        <v>0.23432012042147499</v>
      </c>
      <c r="P1260" s="3">
        <v>93.399999999999906</v>
      </c>
    </row>
    <row r="1261" spans="1:16" ht="15" customHeight="1" x14ac:dyDescent="0.3">
      <c r="A1261">
        <v>2022</v>
      </c>
      <c r="B1261" s="2">
        <v>44704</v>
      </c>
      <c r="C1261" t="s">
        <v>190</v>
      </c>
      <c r="D1261" t="s">
        <v>786</v>
      </c>
      <c r="F1261" t="s">
        <v>20</v>
      </c>
      <c r="G1261" t="s">
        <v>21</v>
      </c>
      <c r="H1261" t="s">
        <v>22</v>
      </c>
      <c r="I1261" t="s">
        <v>23</v>
      </c>
      <c r="J1261" t="s">
        <v>123</v>
      </c>
      <c r="K1261" s="3">
        <v>26000.01</v>
      </c>
      <c r="L1261" t="s">
        <v>793</v>
      </c>
      <c r="M1261" t="s">
        <v>1017</v>
      </c>
      <c r="O1261" s="4">
        <v>0.158398400616</v>
      </c>
      <c r="P1261" s="3">
        <v>4118.3600000000097</v>
      </c>
    </row>
    <row r="1262" spans="1:16" ht="15" customHeight="1" x14ac:dyDescent="0.3">
      <c r="A1262">
        <v>2022</v>
      </c>
      <c r="B1262" s="2">
        <v>44707</v>
      </c>
      <c r="C1262" t="s">
        <v>190</v>
      </c>
      <c r="D1262" t="s">
        <v>1018</v>
      </c>
      <c r="F1262" t="s">
        <v>20</v>
      </c>
      <c r="G1262" t="s">
        <v>21</v>
      </c>
      <c r="H1262" t="s">
        <v>147</v>
      </c>
      <c r="J1262" t="s">
        <v>123</v>
      </c>
      <c r="K1262" s="3">
        <v>35313.870000000003</v>
      </c>
      <c r="L1262" t="s">
        <v>793</v>
      </c>
      <c r="M1262" t="s">
        <v>1019</v>
      </c>
      <c r="O1262" s="4">
        <v>0.180777977604833</v>
      </c>
      <c r="P1262" s="3">
        <v>6383.9699999999802</v>
      </c>
    </row>
    <row r="1263" spans="1:16" ht="15" customHeight="1" x14ac:dyDescent="0.3">
      <c r="A1263">
        <v>2022</v>
      </c>
      <c r="B1263" s="2">
        <v>44707</v>
      </c>
      <c r="C1263" t="s">
        <v>190</v>
      </c>
      <c r="D1263" t="s">
        <v>675</v>
      </c>
      <c r="F1263" t="s">
        <v>20</v>
      </c>
      <c r="G1263" t="s">
        <v>38</v>
      </c>
      <c r="H1263" t="s">
        <v>147</v>
      </c>
      <c r="I1263" t="s">
        <v>306</v>
      </c>
      <c r="J1263" t="s">
        <v>50</v>
      </c>
      <c r="K1263" s="3">
        <v>297728.98</v>
      </c>
      <c r="L1263" t="s">
        <v>793</v>
      </c>
      <c r="M1263" t="s">
        <v>1020</v>
      </c>
      <c r="O1263" s="4">
        <v>0.178631284062438</v>
      </c>
      <c r="P1263" s="3">
        <v>53183.709999999897</v>
      </c>
    </row>
    <row r="1264" spans="1:16" ht="15" customHeight="1" x14ac:dyDescent="0.3">
      <c r="A1264">
        <v>2022</v>
      </c>
      <c r="B1264" s="2">
        <v>44711</v>
      </c>
      <c r="C1264" t="s">
        <v>190</v>
      </c>
      <c r="D1264" t="s">
        <v>155</v>
      </c>
      <c r="F1264" t="s">
        <v>20</v>
      </c>
      <c r="G1264" t="s">
        <v>38</v>
      </c>
      <c r="H1264" t="s">
        <v>39</v>
      </c>
      <c r="I1264" t="s">
        <v>23</v>
      </c>
      <c r="J1264" t="s">
        <v>50</v>
      </c>
      <c r="K1264" s="3">
        <v>35514.47</v>
      </c>
      <c r="L1264" t="s">
        <v>793</v>
      </c>
      <c r="M1264" t="s">
        <v>1021</v>
      </c>
      <c r="O1264" s="4">
        <v>0.182460839201599</v>
      </c>
      <c r="P1264" s="3">
        <v>6480.00000000001</v>
      </c>
    </row>
    <row r="1265" spans="1:16" ht="15" customHeight="1" x14ac:dyDescent="0.3">
      <c r="A1265">
        <v>2022</v>
      </c>
      <c r="B1265" s="2">
        <v>44714</v>
      </c>
      <c r="C1265" t="s">
        <v>218</v>
      </c>
      <c r="D1265" t="s">
        <v>155</v>
      </c>
      <c r="E1265" t="s">
        <v>1022</v>
      </c>
      <c r="F1265" t="s">
        <v>20</v>
      </c>
      <c r="G1265" t="s">
        <v>38</v>
      </c>
      <c r="H1265" t="s">
        <v>39</v>
      </c>
      <c r="I1265" t="s">
        <v>23</v>
      </c>
      <c r="J1265" t="s">
        <v>50</v>
      </c>
      <c r="K1265" s="3">
        <v>1550.01</v>
      </c>
      <c r="L1265" t="s">
        <v>793</v>
      </c>
      <c r="M1265" t="s">
        <v>1023</v>
      </c>
      <c r="O1265" s="4">
        <v>0.17419887613628299</v>
      </c>
      <c r="P1265" s="3">
        <v>270.01</v>
      </c>
    </row>
    <row r="1266" spans="1:16" ht="15" customHeight="1" x14ac:dyDescent="0.3">
      <c r="A1266">
        <v>2022</v>
      </c>
      <c r="B1266" s="2">
        <v>44715</v>
      </c>
      <c r="C1266" t="s">
        <v>218</v>
      </c>
      <c r="D1266" t="s">
        <v>61</v>
      </c>
      <c r="F1266" t="s">
        <v>20</v>
      </c>
      <c r="G1266" t="s">
        <v>21</v>
      </c>
      <c r="H1266" t="s">
        <v>22</v>
      </c>
      <c r="I1266" t="s">
        <v>306</v>
      </c>
      <c r="J1266" t="s">
        <v>123</v>
      </c>
      <c r="K1266" s="3">
        <v>214820.74</v>
      </c>
      <c r="L1266" t="s">
        <v>825</v>
      </c>
      <c r="M1266" t="s">
        <v>1024</v>
      </c>
      <c r="O1266" s="4">
        <v>0.15</v>
      </c>
      <c r="P1266" s="3">
        <v>32223.111000000001</v>
      </c>
    </row>
    <row r="1267" spans="1:16" ht="15" customHeight="1" x14ac:dyDescent="0.3">
      <c r="A1267">
        <v>2022</v>
      </c>
      <c r="B1267" s="2">
        <v>44722</v>
      </c>
      <c r="C1267" t="s">
        <v>218</v>
      </c>
      <c r="D1267" t="s">
        <v>973</v>
      </c>
      <c r="F1267" t="s">
        <v>20</v>
      </c>
      <c r="G1267" t="s">
        <v>38</v>
      </c>
      <c r="H1267" t="s">
        <v>89</v>
      </c>
      <c r="I1267" t="s">
        <v>23</v>
      </c>
      <c r="J1267" t="s">
        <v>110</v>
      </c>
      <c r="K1267" s="3">
        <v>67994.3</v>
      </c>
      <c r="L1267" t="s">
        <v>793</v>
      </c>
      <c r="M1267" t="s">
        <v>1025</v>
      </c>
      <c r="O1267" s="4">
        <v>0.13215666607348001</v>
      </c>
      <c r="P1267" s="3">
        <v>8985.9000000000196</v>
      </c>
    </row>
    <row r="1268" spans="1:16" ht="15" customHeight="1" x14ac:dyDescent="0.3">
      <c r="A1268">
        <v>2022</v>
      </c>
      <c r="B1268" s="2">
        <v>44722</v>
      </c>
      <c r="C1268" t="s">
        <v>218</v>
      </c>
      <c r="D1268" t="s">
        <v>1026</v>
      </c>
      <c r="F1268" t="s">
        <v>20</v>
      </c>
      <c r="G1268" t="s">
        <v>107</v>
      </c>
      <c r="H1268" t="s">
        <v>108</v>
      </c>
      <c r="J1268" t="s">
        <v>110</v>
      </c>
      <c r="K1268" s="3">
        <v>270069.90000000002</v>
      </c>
      <c r="L1268" t="s">
        <v>793</v>
      </c>
      <c r="M1268" t="s">
        <v>1027</v>
      </c>
      <c r="O1268" s="4">
        <v>0.19263523998786999</v>
      </c>
      <c r="P1268" s="3">
        <v>52024.980000000098</v>
      </c>
    </row>
    <row r="1269" spans="1:16" ht="15" customHeight="1" x14ac:dyDescent="0.3">
      <c r="A1269">
        <v>2022</v>
      </c>
      <c r="B1269" s="2">
        <v>44722</v>
      </c>
      <c r="C1269" t="s">
        <v>218</v>
      </c>
      <c r="D1269" t="s">
        <v>662</v>
      </c>
      <c r="F1269" t="s">
        <v>20</v>
      </c>
      <c r="G1269" t="s">
        <v>107</v>
      </c>
      <c r="H1269" t="s">
        <v>108</v>
      </c>
      <c r="I1269" t="s">
        <v>136</v>
      </c>
      <c r="J1269" t="s">
        <v>123</v>
      </c>
      <c r="K1269" s="3">
        <v>49698.91</v>
      </c>
      <c r="L1269" t="s">
        <v>793</v>
      </c>
      <c r="M1269" t="s">
        <v>1028</v>
      </c>
      <c r="O1269" s="4">
        <v>0.163099955310891</v>
      </c>
      <c r="P1269" s="3">
        <v>8105.8899999999903</v>
      </c>
    </row>
    <row r="1270" spans="1:16" ht="15" customHeight="1" x14ac:dyDescent="0.3">
      <c r="A1270">
        <v>2022</v>
      </c>
      <c r="B1270" s="2">
        <v>44726</v>
      </c>
      <c r="C1270" t="s">
        <v>218</v>
      </c>
      <c r="D1270" t="s">
        <v>782</v>
      </c>
      <c r="F1270" t="s">
        <v>20</v>
      </c>
      <c r="G1270" t="s">
        <v>107</v>
      </c>
      <c r="H1270" t="s">
        <v>108</v>
      </c>
      <c r="I1270" t="s">
        <v>23</v>
      </c>
      <c r="J1270" t="s">
        <v>110</v>
      </c>
      <c r="K1270" s="3">
        <v>911.17</v>
      </c>
      <c r="L1270" t="s">
        <v>793</v>
      </c>
      <c r="M1270" t="s">
        <v>1029</v>
      </c>
      <c r="O1270" s="4">
        <v>0.390355257526038</v>
      </c>
      <c r="P1270" s="3">
        <v>355.68</v>
      </c>
    </row>
    <row r="1271" spans="1:16" ht="15" customHeight="1" x14ac:dyDescent="0.3">
      <c r="A1271">
        <v>2022</v>
      </c>
      <c r="B1271" s="2">
        <v>44726</v>
      </c>
      <c r="C1271" t="s">
        <v>218</v>
      </c>
      <c r="D1271" t="s">
        <v>773</v>
      </c>
      <c r="F1271" t="s">
        <v>20</v>
      </c>
      <c r="G1271" t="s">
        <v>38</v>
      </c>
      <c r="H1271" t="s">
        <v>39</v>
      </c>
      <c r="I1271" t="s">
        <v>136</v>
      </c>
      <c r="J1271" t="s">
        <v>110</v>
      </c>
      <c r="K1271" s="3">
        <v>477.6</v>
      </c>
      <c r="L1271" t="s">
        <v>825</v>
      </c>
      <c r="M1271" t="s">
        <v>1030</v>
      </c>
      <c r="O1271" s="4">
        <v>0.15</v>
      </c>
      <c r="P1271" s="3">
        <v>71.64</v>
      </c>
    </row>
    <row r="1272" spans="1:16" ht="15" customHeight="1" x14ac:dyDescent="0.3">
      <c r="A1272">
        <v>2022</v>
      </c>
      <c r="B1272" s="2">
        <v>44728</v>
      </c>
      <c r="C1272" t="s">
        <v>218</v>
      </c>
      <c r="D1272" t="s">
        <v>786</v>
      </c>
      <c r="F1272" t="s">
        <v>20</v>
      </c>
      <c r="G1272" t="s">
        <v>21</v>
      </c>
      <c r="H1272" t="s">
        <v>22</v>
      </c>
      <c r="I1272" t="s">
        <v>23</v>
      </c>
      <c r="J1272" t="s">
        <v>123</v>
      </c>
      <c r="K1272" s="3">
        <v>356495.49</v>
      </c>
      <c r="L1272" t="s">
        <v>793</v>
      </c>
      <c r="M1272" t="s">
        <v>1031</v>
      </c>
      <c r="O1272" s="4">
        <v>0.16522621366121601</v>
      </c>
      <c r="P1272" s="3">
        <v>58902.3999999999</v>
      </c>
    </row>
    <row r="1273" spans="1:16" ht="15" customHeight="1" x14ac:dyDescent="0.3">
      <c r="A1273">
        <v>2022</v>
      </c>
      <c r="B1273" s="2">
        <v>44728</v>
      </c>
      <c r="C1273" t="s">
        <v>218</v>
      </c>
      <c r="D1273" t="s">
        <v>786</v>
      </c>
      <c r="F1273" t="s">
        <v>20</v>
      </c>
      <c r="G1273" t="s">
        <v>21</v>
      </c>
      <c r="H1273" t="s">
        <v>22</v>
      </c>
      <c r="I1273" t="s">
        <v>23</v>
      </c>
      <c r="J1273" t="s">
        <v>123</v>
      </c>
      <c r="K1273" s="3">
        <v>83350.19</v>
      </c>
      <c r="L1273" t="s">
        <v>793</v>
      </c>
      <c r="M1273" t="s">
        <v>1032</v>
      </c>
      <c r="O1273" s="4">
        <v>0.164920799820612</v>
      </c>
      <c r="P1273" s="3">
        <v>13746.18</v>
      </c>
    </row>
    <row r="1274" spans="1:16" ht="15" customHeight="1" x14ac:dyDescent="0.3">
      <c r="A1274">
        <v>2022</v>
      </c>
      <c r="B1274" s="2">
        <v>44728</v>
      </c>
      <c r="C1274" t="s">
        <v>218</v>
      </c>
      <c r="D1274" t="s">
        <v>786</v>
      </c>
      <c r="F1274" t="s">
        <v>20</v>
      </c>
      <c r="G1274" t="s">
        <v>21</v>
      </c>
      <c r="H1274" t="s">
        <v>22</v>
      </c>
      <c r="I1274" t="s">
        <v>23</v>
      </c>
      <c r="J1274" t="s">
        <v>110</v>
      </c>
      <c r="K1274" s="3">
        <v>108513.48</v>
      </c>
      <c r="L1274" t="s">
        <v>793</v>
      </c>
      <c r="M1274" t="s">
        <v>1033</v>
      </c>
      <c r="O1274" s="4">
        <v>0.167419660672573</v>
      </c>
      <c r="P1274" s="3">
        <v>18167.29</v>
      </c>
    </row>
    <row r="1275" spans="1:16" ht="15" customHeight="1" x14ac:dyDescent="0.3">
      <c r="A1275">
        <v>2022</v>
      </c>
      <c r="B1275" s="2">
        <v>44729</v>
      </c>
      <c r="C1275" t="s">
        <v>218</v>
      </c>
      <c r="D1275" t="s">
        <v>786</v>
      </c>
      <c r="F1275" t="s">
        <v>20</v>
      </c>
      <c r="G1275" t="s">
        <v>21</v>
      </c>
      <c r="H1275" t="s">
        <v>22</v>
      </c>
      <c r="I1275" t="s">
        <v>23</v>
      </c>
      <c r="J1275" t="s">
        <v>110</v>
      </c>
      <c r="K1275" s="3">
        <v>63152.62</v>
      </c>
      <c r="L1275" t="s">
        <v>793</v>
      </c>
      <c r="M1275" t="s">
        <v>1034</v>
      </c>
      <c r="O1275" s="4">
        <v>0.21062879101453</v>
      </c>
      <c r="P1275" s="3">
        <v>13301.76</v>
      </c>
    </row>
    <row r="1276" spans="1:16" ht="15" customHeight="1" x14ac:dyDescent="0.3">
      <c r="A1276">
        <v>2022</v>
      </c>
      <c r="B1276" s="2">
        <v>44729</v>
      </c>
      <c r="C1276" t="s">
        <v>218</v>
      </c>
      <c r="D1276" t="s">
        <v>786</v>
      </c>
      <c r="F1276" t="s">
        <v>20</v>
      </c>
      <c r="G1276" t="s">
        <v>21</v>
      </c>
      <c r="H1276" t="s">
        <v>22</v>
      </c>
      <c r="I1276" t="s">
        <v>23</v>
      </c>
      <c r="J1276" t="s">
        <v>110</v>
      </c>
      <c r="K1276" s="3">
        <v>29279.46</v>
      </c>
      <c r="L1276" t="s">
        <v>793</v>
      </c>
      <c r="M1276" t="s">
        <v>1035</v>
      </c>
      <c r="O1276" s="4">
        <v>0.17347416926405099</v>
      </c>
      <c r="P1276" s="3">
        <v>5079.2300000000096</v>
      </c>
    </row>
    <row r="1277" spans="1:16" ht="15" customHeight="1" x14ac:dyDescent="0.3">
      <c r="A1277">
        <v>2022</v>
      </c>
      <c r="B1277" s="2">
        <v>44729</v>
      </c>
      <c r="C1277" t="s">
        <v>218</v>
      </c>
      <c r="D1277" t="s">
        <v>786</v>
      </c>
      <c r="F1277" t="s">
        <v>20</v>
      </c>
      <c r="G1277" t="s">
        <v>21</v>
      </c>
      <c r="H1277" t="s">
        <v>22</v>
      </c>
      <c r="I1277" t="s">
        <v>23</v>
      </c>
      <c r="J1277" t="s">
        <v>110</v>
      </c>
      <c r="K1277" s="3">
        <v>32977.440000000002</v>
      </c>
      <c r="L1277" t="s">
        <v>793</v>
      </c>
      <c r="M1277" t="s">
        <v>1036</v>
      </c>
      <c r="O1277" s="4">
        <v>0.17967677296964199</v>
      </c>
      <c r="P1277" s="3">
        <v>5925.2799999999897</v>
      </c>
    </row>
    <row r="1278" spans="1:16" ht="15" customHeight="1" x14ac:dyDescent="0.3">
      <c r="A1278">
        <v>2022</v>
      </c>
      <c r="B1278" s="2">
        <v>44734</v>
      </c>
      <c r="C1278" t="s">
        <v>218</v>
      </c>
      <c r="D1278" t="s">
        <v>844</v>
      </c>
      <c r="F1278" t="s">
        <v>20</v>
      </c>
      <c r="G1278" t="s">
        <v>107</v>
      </c>
      <c r="H1278" t="s">
        <v>108</v>
      </c>
      <c r="I1278" t="s">
        <v>306</v>
      </c>
      <c r="J1278" t="s">
        <v>50</v>
      </c>
      <c r="K1278" s="3">
        <v>20071.580000000002</v>
      </c>
      <c r="L1278" t="s">
        <v>825</v>
      </c>
      <c r="M1278" t="s">
        <v>1037</v>
      </c>
      <c r="O1278" s="4">
        <v>0.15</v>
      </c>
      <c r="P1278" s="3">
        <v>3010.7370000000001</v>
      </c>
    </row>
    <row r="1279" spans="1:16" ht="15" customHeight="1" x14ac:dyDescent="0.3">
      <c r="A1279">
        <v>2022</v>
      </c>
      <c r="B1279" s="2">
        <v>44739</v>
      </c>
      <c r="C1279" t="s">
        <v>218</v>
      </c>
      <c r="D1279" t="s">
        <v>973</v>
      </c>
      <c r="F1279" t="s">
        <v>20</v>
      </c>
      <c r="G1279" t="s">
        <v>38</v>
      </c>
      <c r="H1279" t="s">
        <v>89</v>
      </c>
      <c r="I1279" t="s">
        <v>23</v>
      </c>
      <c r="J1279" t="s">
        <v>110</v>
      </c>
      <c r="K1279" s="3">
        <v>27512.5</v>
      </c>
      <c r="L1279" t="s">
        <v>825</v>
      </c>
      <c r="M1279" t="s">
        <v>1038</v>
      </c>
      <c r="O1279" s="4">
        <v>0.15</v>
      </c>
      <c r="P1279" s="3">
        <v>4126.875</v>
      </c>
    </row>
    <row r="1280" spans="1:16" ht="15" customHeight="1" x14ac:dyDescent="0.3">
      <c r="A1280">
        <v>2022</v>
      </c>
      <c r="B1280" s="2">
        <v>44739</v>
      </c>
      <c r="C1280" t="s">
        <v>218</v>
      </c>
      <c r="D1280" t="s">
        <v>462</v>
      </c>
      <c r="F1280" t="s">
        <v>20</v>
      </c>
      <c r="G1280" t="s">
        <v>21</v>
      </c>
      <c r="H1280" t="s">
        <v>22</v>
      </c>
      <c r="I1280" t="s">
        <v>136</v>
      </c>
      <c r="J1280" t="s">
        <v>110</v>
      </c>
      <c r="K1280" s="3">
        <v>995</v>
      </c>
      <c r="L1280" t="s">
        <v>793</v>
      </c>
      <c r="M1280" t="s">
        <v>1039</v>
      </c>
      <c r="O1280" s="4">
        <v>0.18015075376884401</v>
      </c>
      <c r="P1280" s="3">
        <v>179.25</v>
      </c>
    </row>
    <row r="1281" spans="1:16" ht="15" customHeight="1" x14ac:dyDescent="0.3">
      <c r="A1281">
        <v>2022</v>
      </c>
      <c r="B1281" s="2">
        <v>44739</v>
      </c>
      <c r="C1281" t="s">
        <v>218</v>
      </c>
      <c r="D1281" t="s">
        <v>675</v>
      </c>
      <c r="F1281" t="s">
        <v>20</v>
      </c>
      <c r="G1281" t="s">
        <v>38</v>
      </c>
      <c r="H1281" t="s">
        <v>147</v>
      </c>
      <c r="I1281" t="s">
        <v>306</v>
      </c>
      <c r="J1281" t="s">
        <v>110</v>
      </c>
      <c r="K1281" s="3">
        <v>2660</v>
      </c>
      <c r="L1281" t="s">
        <v>793</v>
      </c>
      <c r="M1281" t="s">
        <v>1040</v>
      </c>
      <c r="O1281" s="4">
        <v>0.157894736842105</v>
      </c>
      <c r="P1281" s="3">
        <v>419.99999999999898</v>
      </c>
    </row>
    <row r="1282" spans="1:16" ht="15" customHeight="1" x14ac:dyDescent="0.3">
      <c r="A1282">
        <v>2022</v>
      </c>
      <c r="B1282" s="2">
        <v>44742</v>
      </c>
      <c r="C1282" t="s">
        <v>218</v>
      </c>
      <c r="D1282" t="s">
        <v>786</v>
      </c>
      <c r="F1282" t="s">
        <v>20</v>
      </c>
      <c r="G1282" t="s">
        <v>21</v>
      </c>
      <c r="H1282" t="s">
        <v>22</v>
      </c>
      <c r="I1282" t="s">
        <v>23</v>
      </c>
      <c r="J1282" t="s">
        <v>110</v>
      </c>
      <c r="K1282" s="3">
        <v>97259.5</v>
      </c>
      <c r="L1282" t="s">
        <v>793</v>
      </c>
      <c r="M1282" t="s">
        <v>1041</v>
      </c>
      <c r="O1282" s="4">
        <v>0.179220950138547</v>
      </c>
      <c r="P1282" s="3">
        <v>17430.939999999999</v>
      </c>
    </row>
    <row r="1283" spans="1:16" ht="15" customHeight="1" x14ac:dyDescent="0.3">
      <c r="A1283">
        <v>2022</v>
      </c>
      <c r="B1283" s="2">
        <v>44743</v>
      </c>
      <c r="C1283" t="s">
        <v>262</v>
      </c>
      <c r="D1283" t="s">
        <v>61</v>
      </c>
      <c r="F1283" t="s">
        <v>20</v>
      </c>
      <c r="G1283" t="s">
        <v>21</v>
      </c>
      <c r="H1283" t="s">
        <v>22</v>
      </c>
      <c r="I1283" t="s">
        <v>306</v>
      </c>
      <c r="J1283" t="s">
        <v>50</v>
      </c>
      <c r="K1283" s="3">
        <v>2409031.39</v>
      </c>
      <c r="L1283" t="s">
        <v>793</v>
      </c>
      <c r="M1283" t="s">
        <v>1042</v>
      </c>
      <c r="O1283" s="4">
        <v>0.18743345224737801</v>
      </c>
      <c r="P1283" s="3">
        <v>451533.07</v>
      </c>
    </row>
    <row r="1284" spans="1:16" ht="15" customHeight="1" x14ac:dyDescent="0.3">
      <c r="A1284">
        <v>2022</v>
      </c>
      <c r="B1284" s="2">
        <v>44743</v>
      </c>
      <c r="C1284" t="s">
        <v>262</v>
      </c>
      <c r="D1284" t="s">
        <v>750</v>
      </c>
      <c r="F1284" t="s">
        <v>20</v>
      </c>
      <c r="G1284" t="s">
        <v>38</v>
      </c>
      <c r="H1284" t="s">
        <v>39</v>
      </c>
      <c r="I1284" t="s">
        <v>306</v>
      </c>
      <c r="J1284" t="s">
        <v>50</v>
      </c>
      <c r="K1284" s="3">
        <v>83832.34</v>
      </c>
      <c r="L1284" t="s">
        <v>793</v>
      </c>
      <c r="M1284" t="s">
        <v>1043</v>
      </c>
      <c r="O1284" s="4">
        <v>0.25373119729211902</v>
      </c>
      <c r="P1284" s="3">
        <v>21270.880000000001</v>
      </c>
    </row>
    <row r="1285" spans="1:16" ht="15" customHeight="1" x14ac:dyDescent="0.3">
      <c r="A1285">
        <v>2022</v>
      </c>
      <c r="B1285" s="2">
        <v>44747</v>
      </c>
      <c r="C1285" t="s">
        <v>262</v>
      </c>
      <c r="D1285" t="s">
        <v>773</v>
      </c>
      <c r="F1285" t="s">
        <v>20</v>
      </c>
      <c r="G1285" t="s">
        <v>38</v>
      </c>
      <c r="H1285" t="s">
        <v>39</v>
      </c>
      <c r="I1285" t="s">
        <v>136</v>
      </c>
      <c r="J1285" t="s">
        <v>50</v>
      </c>
      <c r="K1285" s="3">
        <v>325</v>
      </c>
      <c r="L1285" t="s">
        <v>825</v>
      </c>
      <c r="M1285" t="s">
        <v>1044</v>
      </c>
      <c r="O1285" s="4">
        <v>0.15</v>
      </c>
      <c r="P1285" s="3">
        <v>48.75</v>
      </c>
    </row>
    <row r="1286" spans="1:16" ht="15" customHeight="1" x14ac:dyDescent="0.3">
      <c r="A1286">
        <v>2022</v>
      </c>
      <c r="B1286" s="2">
        <v>44748</v>
      </c>
      <c r="C1286" t="s">
        <v>262</v>
      </c>
      <c r="D1286" t="s">
        <v>791</v>
      </c>
      <c r="F1286" t="s">
        <v>20</v>
      </c>
      <c r="G1286" t="s">
        <v>21</v>
      </c>
      <c r="H1286" t="s">
        <v>22</v>
      </c>
      <c r="I1286" t="s">
        <v>23</v>
      </c>
      <c r="J1286" t="s">
        <v>123</v>
      </c>
      <c r="K1286" s="3">
        <v>3917.75</v>
      </c>
      <c r="L1286" t="s">
        <v>825</v>
      </c>
      <c r="M1286" t="s">
        <v>1045</v>
      </c>
      <c r="O1286" s="4">
        <v>0.15</v>
      </c>
      <c r="P1286" s="3">
        <v>587.66250000000002</v>
      </c>
    </row>
    <row r="1287" spans="1:16" ht="15" customHeight="1" x14ac:dyDescent="0.3">
      <c r="A1287">
        <v>2022</v>
      </c>
      <c r="B1287" s="2">
        <v>44753</v>
      </c>
      <c r="C1287" t="s">
        <v>262</v>
      </c>
      <c r="D1287" t="s">
        <v>786</v>
      </c>
      <c r="F1287" t="s">
        <v>20</v>
      </c>
      <c r="G1287" t="s">
        <v>21</v>
      </c>
      <c r="H1287" t="s">
        <v>22</v>
      </c>
      <c r="I1287" t="s">
        <v>23</v>
      </c>
      <c r="J1287" t="s">
        <v>123</v>
      </c>
      <c r="K1287" s="3">
        <v>14000.97</v>
      </c>
      <c r="L1287" t="s">
        <v>825</v>
      </c>
      <c r="M1287" t="s">
        <v>1046</v>
      </c>
      <c r="O1287" s="4">
        <v>0.15</v>
      </c>
      <c r="P1287" s="3">
        <v>2100.1455000000001</v>
      </c>
    </row>
    <row r="1288" spans="1:16" ht="15" customHeight="1" x14ac:dyDescent="0.3">
      <c r="A1288">
        <v>2022</v>
      </c>
      <c r="B1288" s="2">
        <v>44753</v>
      </c>
      <c r="C1288" t="s">
        <v>262</v>
      </c>
      <c r="D1288" t="s">
        <v>59</v>
      </c>
      <c r="F1288" t="s">
        <v>20</v>
      </c>
      <c r="G1288" t="s">
        <v>21</v>
      </c>
      <c r="H1288" t="s">
        <v>22</v>
      </c>
      <c r="I1288" t="s">
        <v>141</v>
      </c>
      <c r="J1288" t="s">
        <v>50</v>
      </c>
      <c r="K1288" s="3">
        <v>52832.99</v>
      </c>
      <c r="L1288" t="s">
        <v>793</v>
      </c>
      <c r="M1288" t="s">
        <v>1047</v>
      </c>
      <c r="O1288" s="4">
        <v>0.19981076217719301</v>
      </c>
      <c r="P1288" s="3">
        <v>10556.6</v>
      </c>
    </row>
    <row r="1289" spans="1:16" ht="15" customHeight="1" x14ac:dyDescent="0.3">
      <c r="A1289">
        <v>2022</v>
      </c>
      <c r="B1289" s="2">
        <v>44754</v>
      </c>
      <c r="C1289" t="s">
        <v>262</v>
      </c>
      <c r="D1289" t="s">
        <v>786</v>
      </c>
      <c r="F1289" t="s">
        <v>20</v>
      </c>
      <c r="G1289" t="s">
        <v>21</v>
      </c>
      <c r="H1289" t="s">
        <v>22</v>
      </c>
      <c r="I1289" t="s">
        <v>23</v>
      </c>
      <c r="J1289" t="s">
        <v>123</v>
      </c>
      <c r="K1289" s="3">
        <v>176655.78</v>
      </c>
      <c r="L1289" t="s">
        <v>793</v>
      </c>
      <c r="M1289" t="s">
        <v>1048</v>
      </c>
      <c r="O1289" s="4">
        <v>0.17290093763136399</v>
      </c>
      <c r="P1289" s="3">
        <v>30543.95</v>
      </c>
    </row>
    <row r="1290" spans="1:16" ht="15" customHeight="1" x14ac:dyDescent="0.3">
      <c r="A1290">
        <v>2022</v>
      </c>
      <c r="B1290" s="2">
        <v>44756</v>
      </c>
      <c r="C1290" t="s">
        <v>262</v>
      </c>
      <c r="D1290" t="s">
        <v>973</v>
      </c>
      <c r="F1290" t="s">
        <v>20</v>
      </c>
      <c r="G1290" t="s">
        <v>38</v>
      </c>
      <c r="H1290" t="s">
        <v>89</v>
      </c>
      <c r="I1290" t="s">
        <v>23</v>
      </c>
      <c r="J1290" t="s">
        <v>123</v>
      </c>
      <c r="K1290" s="3">
        <v>13407.24</v>
      </c>
      <c r="L1290" t="s">
        <v>793</v>
      </c>
      <c r="M1290" t="s">
        <v>1049</v>
      </c>
      <c r="O1290" s="4">
        <v>0.189156008246291</v>
      </c>
      <c r="P1290" s="3">
        <v>2536.06</v>
      </c>
    </row>
    <row r="1291" spans="1:16" ht="15" customHeight="1" x14ac:dyDescent="0.3">
      <c r="A1291">
        <v>2022</v>
      </c>
      <c r="B1291" s="2">
        <v>44760</v>
      </c>
      <c r="C1291" t="s">
        <v>262</v>
      </c>
      <c r="D1291" t="s">
        <v>155</v>
      </c>
      <c r="F1291" t="s">
        <v>20</v>
      </c>
      <c r="G1291" t="s">
        <v>38</v>
      </c>
      <c r="H1291" t="s">
        <v>39</v>
      </c>
      <c r="I1291" t="s">
        <v>23</v>
      </c>
      <c r="J1291" t="s">
        <v>110</v>
      </c>
      <c r="K1291" s="3">
        <v>495</v>
      </c>
      <c r="L1291" t="s">
        <v>825</v>
      </c>
      <c r="M1291" t="s">
        <v>1050</v>
      </c>
      <c r="O1291" s="4">
        <v>0.15</v>
      </c>
      <c r="P1291" s="3">
        <v>74.25</v>
      </c>
    </row>
    <row r="1292" spans="1:16" ht="15" customHeight="1" x14ac:dyDescent="0.3">
      <c r="A1292">
        <v>2022</v>
      </c>
      <c r="B1292" s="2">
        <v>44761</v>
      </c>
      <c r="C1292" t="s">
        <v>262</v>
      </c>
      <c r="D1292" t="s">
        <v>155</v>
      </c>
      <c r="F1292" t="s">
        <v>20</v>
      </c>
      <c r="G1292" t="s">
        <v>38</v>
      </c>
      <c r="H1292" t="s">
        <v>39</v>
      </c>
      <c r="I1292" t="s">
        <v>23</v>
      </c>
      <c r="J1292" t="s">
        <v>110</v>
      </c>
      <c r="K1292" s="3">
        <v>1330</v>
      </c>
      <c r="L1292" t="s">
        <v>793</v>
      </c>
      <c r="M1292" t="s">
        <v>1051</v>
      </c>
      <c r="O1292" s="4">
        <v>0.62405263157894697</v>
      </c>
      <c r="P1292" s="3">
        <v>829.98999999999899</v>
      </c>
    </row>
    <row r="1293" spans="1:16" ht="15" customHeight="1" x14ac:dyDescent="0.3">
      <c r="A1293">
        <v>2022</v>
      </c>
      <c r="B1293" s="2">
        <v>44762</v>
      </c>
      <c r="C1293" t="s">
        <v>262</v>
      </c>
      <c r="D1293" t="s">
        <v>155</v>
      </c>
      <c r="F1293" t="s">
        <v>20</v>
      </c>
      <c r="G1293" t="s">
        <v>38</v>
      </c>
      <c r="H1293" t="s">
        <v>39</v>
      </c>
      <c r="I1293" t="s">
        <v>23</v>
      </c>
      <c r="J1293" t="s">
        <v>110</v>
      </c>
      <c r="K1293" s="3">
        <v>1440</v>
      </c>
      <c r="L1293" t="s">
        <v>825</v>
      </c>
      <c r="M1293" t="s">
        <v>1052</v>
      </c>
      <c r="O1293" s="4">
        <v>0.15</v>
      </c>
      <c r="P1293" s="3">
        <v>216</v>
      </c>
    </row>
    <row r="1294" spans="1:16" ht="15" customHeight="1" x14ac:dyDescent="0.3">
      <c r="A1294">
        <v>2022</v>
      </c>
      <c r="B1294" s="2">
        <v>44762</v>
      </c>
      <c r="C1294" t="s">
        <v>262</v>
      </c>
      <c r="D1294" t="s">
        <v>30</v>
      </c>
      <c r="F1294" t="s">
        <v>20</v>
      </c>
      <c r="G1294" t="s">
        <v>21</v>
      </c>
      <c r="H1294" t="s">
        <v>22</v>
      </c>
      <c r="I1294" t="s">
        <v>23</v>
      </c>
      <c r="J1294" t="s">
        <v>50</v>
      </c>
      <c r="K1294" s="3">
        <v>200696.88</v>
      </c>
      <c r="L1294" t="s">
        <v>793</v>
      </c>
      <c r="O1294" s="4"/>
      <c r="P1294" s="3"/>
    </row>
    <row r="1295" spans="1:16" ht="15" customHeight="1" x14ac:dyDescent="0.3">
      <c r="A1295">
        <v>2022</v>
      </c>
      <c r="B1295" s="2">
        <v>44762</v>
      </c>
      <c r="C1295" t="s">
        <v>262</v>
      </c>
      <c r="D1295" t="s">
        <v>30</v>
      </c>
      <c r="F1295" t="s">
        <v>20</v>
      </c>
      <c r="G1295" t="s">
        <v>21</v>
      </c>
      <c r="H1295" t="s">
        <v>22</v>
      </c>
      <c r="I1295" t="s">
        <v>23</v>
      </c>
      <c r="J1295" t="s">
        <v>50</v>
      </c>
      <c r="K1295" s="3">
        <v>329389.34000000003</v>
      </c>
      <c r="L1295" t="s">
        <v>793</v>
      </c>
      <c r="M1295" t="s">
        <v>1053</v>
      </c>
      <c r="O1295" s="4">
        <v>0.18125650332217799</v>
      </c>
      <c r="P1295" s="3">
        <v>59703.96</v>
      </c>
    </row>
    <row r="1296" spans="1:16" ht="15" customHeight="1" x14ac:dyDescent="0.3">
      <c r="A1296">
        <v>2022</v>
      </c>
      <c r="B1296" s="2">
        <v>44762</v>
      </c>
      <c r="C1296" t="s">
        <v>262</v>
      </c>
      <c r="D1296" t="s">
        <v>1007</v>
      </c>
      <c r="F1296" t="s">
        <v>20</v>
      </c>
      <c r="G1296" t="s">
        <v>38</v>
      </c>
      <c r="H1296" t="s">
        <v>39</v>
      </c>
      <c r="I1296" t="s">
        <v>306</v>
      </c>
      <c r="J1296" t="s">
        <v>123</v>
      </c>
      <c r="K1296" s="3">
        <v>37094.85</v>
      </c>
      <c r="L1296" t="s">
        <v>793</v>
      </c>
      <c r="O1296" s="4"/>
      <c r="P1296" s="3"/>
    </row>
    <row r="1297" spans="1:16" ht="15" customHeight="1" x14ac:dyDescent="0.3">
      <c r="A1297">
        <v>2022</v>
      </c>
      <c r="B1297" s="2">
        <v>44763</v>
      </c>
      <c r="C1297" t="s">
        <v>262</v>
      </c>
      <c r="D1297" t="s">
        <v>1054</v>
      </c>
      <c r="F1297" t="s">
        <v>20</v>
      </c>
      <c r="G1297" t="s">
        <v>21</v>
      </c>
      <c r="H1297" t="s">
        <v>22</v>
      </c>
      <c r="I1297" t="s">
        <v>23</v>
      </c>
      <c r="J1297" t="s">
        <v>110</v>
      </c>
      <c r="K1297" s="3">
        <v>1390.89</v>
      </c>
      <c r="L1297" t="s">
        <v>825</v>
      </c>
      <c r="O1297" s="4"/>
      <c r="P1297" s="3"/>
    </row>
    <row r="1298" spans="1:16" ht="15" customHeight="1" x14ac:dyDescent="0.3">
      <c r="A1298">
        <v>2022</v>
      </c>
      <c r="B1298" s="2">
        <v>44763</v>
      </c>
      <c r="C1298" t="s">
        <v>262</v>
      </c>
      <c r="D1298" t="s">
        <v>1055</v>
      </c>
      <c r="F1298" t="s">
        <v>20</v>
      </c>
      <c r="G1298" t="s">
        <v>107</v>
      </c>
      <c r="H1298" t="s">
        <v>108</v>
      </c>
      <c r="J1298" t="s">
        <v>123</v>
      </c>
      <c r="K1298" s="3">
        <v>70669.58</v>
      </c>
      <c r="L1298" t="s">
        <v>825</v>
      </c>
      <c r="O1298" s="4"/>
      <c r="P1298" s="3"/>
    </row>
    <row r="1299" spans="1:16" ht="15" customHeight="1" x14ac:dyDescent="0.3">
      <c r="A1299">
        <v>2022</v>
      </c>
      <c r="B1299" s="2">
        <v>44768</v>
      </c>
      <c r="C1299" t="s">
        <v>262</v>
      </c>
      <c r="D1299" t="s">
        <v>45</v>
      </c>
      <c r="F1299" t="s">
        <v>20</v>
      </c>
      <c r="G1299" t="s">
        <v>38</v>
      </c>
      <c r="H1299" t="s">
        <v>39</v>
      </c>
      <c r="I1299" t="s">
        <v>136</v>
      </c>
      <c r="J1299" t="s">
        <v>110</v>
      </c>
      <c r="K1299" s="3">
        <v>4000</v>
      </c>
      <c r="L1299" t="s">
        <v>825</v>
      </c>
      <c r="O1299" s="4"/>
      <c r="P1299" s="3"/>
    </row>
    <row r="1300" spans="1:16" ht="15" customHeight="1" x14ac:dyDescent="0.3">
      <c r="A1300">
        <v>2022</v>
      </c>
      <c r="B1300" s="2">
        <v>44769</v>
      </c>
      <c r="C1300" t="s">
        <v>262</v>
      </c>
      <c r="D1300" t="s">
        <v>844</v>
      </c>
      <c r="F1300" t="s">
        <v>20</v>
      </c>
      <c r="G1300" t="s">
        <v>107</v>
      </c>
      <c r="H1300" t="s">
        <v>108</v>
      </c>
      <c r="I1300" t="s">
        <v>306</v>
      </c>
      <c r="J1300" t="s">
        <v>50</v>
      </c>
      <c r="K1300" s="3">
        <v>75951.520000000004</v>
      </c>
      <c r="L1300" t="s">
        <v>793</v>
      </c>
      <c r="O1300" s="4"/>
      <c r="P1300" s="3"/>
    </row>
    <row r="1301" spans="1:16" ht="15" customHeight="1" x14ac:dyDescent="0.3">
      <c r="A1301">
        <v>2022</v>
      </c>
      <c r="B1301" s="2">
        <v>44775</v>
      </c>
      <c r="C1301" t="s">
        <v>291</v>
      </c>
      <c r="D1301" t="s">
        <v>61</v>
      </c>
      <c r="F1301" t="s">
        <v>20</v>
      </c>
      <c r="G1301" t="s">
        <v>21</v>
      </c>
      <c r="H1301" t="s">
        <v>22</v>
      </c>
      <c r="I1301" t="s">
        <v>306</v>
      </c>
      <c r="J1301" t="s">
        <v>123</v>
      </c>
      <c r="K1301" s="3">
        <v>6307</v>
      </c>
      <c r="L1301" t="s">
        <v>793</v>
      </c>
      <c r="M1301" t="s">
        <v>1056</v>
      </c>
      <c r="O1301" s="4">
        <v>0.2</v>
      </c>
      <c r="P1301" s="3">
        <v>1261.4000000000001</v>
      </c>
    </row>
    <row r="1302" spans="1:16" ht="15" customHeight="1" x14ac:dyDescent="0.3">
      <c r="A1302">
        <v>2022</v>
      </c>
      <c r="B1302" s="2">
        <v>44776</v>
      </c>
      <c r="C1302" t="s">
        <v>291</v>
      </c>
      <c r="D1302" t="s">
        <v>743</v>
      </c>
      <c r="F1302" t="s">
        <v>20</v>
      </c>
      <c r="G1302" t="s">
        <v>38</v>
      </c>
      <c r="H1302" t="s">
        <v>89</v>
      </c>
      <c r="I1302" t="s">
        <v>141</v>
      </c>
      <c r="J1302" t="s">
        <v>123</v>
      </c>
      <c r="K1302" s="3">
        <v>189793.09</v>
      </c>
      <c r="L1302" t="s">
        <v>793</v>
      </c>
      <c r="M1302" t="s">
        <v>1057</v>
      </c>
      <c r="O1302" s="4">
        <v>0.13639432289131301</v>
      </c>
      <c r="P1302" s="3">
        <v>25886.7</v>
      </c>
    </row>
    <row r="1303" spans="1:16" ht="15" customHeight="1" x14ac:dyDescent="0.3">
      <c r="A1303">
        <v>2022</v>
      </c>
      <c r="B1303" s="2">
        <v>44777</v>
      </c>
      <c r="C1303" t="s">
        <v>291</v>
      </c>
      <c r="D1303" t="s">
        <v>675</v>
      </c>
      <c r="F1303" t="s">
        <v>20</v>
      </c>
      <c r="G1303" t="s">
        <v>38</v>
      </c>
      <c r="H1303" t="s">
        <v>147</v>
      </c>
      <c r="I1303" t="s">
        <v>306</v>
      </c>
      <c r="J1303" t="s">
        <v>50</v>
      </c>
      <c r="K1303" s="3">
        <v>58327.29</v>
      </c>
      <c r="L1303" t="s">
        <v>825</v>
      </c>
      <c r="M1303" t="s">
        <v>1058</v>
      </c>
      <c r="O1303" s="4">
        <v>0.15</v>
      </c>
      <c r="P1303" s="3">
        <v>8749.0935000000009</v>
      </c>
    </row>
    <row r="1304" spans="1:16" ht="15" customHeight="1" x14ac:dyDescent="0.3">
      <c r="A1304">
        <v>2022</v>
      </c>
      <c r="B1304" s="2">
        <v>44778</v>
      </c>
      <c r="C1304" t="s">
        <v>291</v>
      </c>
      <c r="D1304" t="s">
        <v>768</v>
      </c>
      <c r="F1304" t="s">
        <v>20</v>
      </c>
      <c r="G1304" t="s">
        <v>38</v>
      </c>
      <c r="H1304" t="s">
        <v>39</v>
      </c>
      <c r="I1304" t="s">
        <v>141</v>
      </c>
      <c r="J1304" t="s">
        <v>123</v>
      </c>
      <c r="K1304" s="3">
        <v>889830.86</v>
      </c>
      <c r="L1304" t="s">
        <v>793</v>
      </c>
      <c r="M1304" t="s">
        <v>1059</v>
      </c>
      <c r="O1304" s="4">
        <v>0.13689635353846899</v>
      </c>
      <c r="P1304" s="3">
        <v>121814.6</v>
      </c>
    </row>
    <row r="1305" spans="1:16" ht="15" customHeight="1" x14ac:dyDescent="0.3">
      <c r="A1305">
        <v>2022</v>
      </c>
      <c r="B1305" s="2">
        <v>44782</v>
      </c>
      <c r="C1305" t="s">
        <v>291</v>
      </c>
      <c r="D1305" t="s">
        <v>675</v>
      </c>
      <c r="F1305" t="s">
        <v>20</v>
      </c>
      <c r="G1305" t="s">
        <v>38</v>
      </c>
      <c r="H1305" t="s">
        <v>147</v>
      </c>
      <c r="I1305" t="s">
        <v>306</v>
      </c>
      <c r="J1305" t="s">
        <v>50</v>
      </c>
      <c r="K1305" s="3">
        <v>10821.29</v>
      </c>
      <c r="L1305" t="s">
        <v>825</v>
      </c>
      <c r="M1305" t="s">
        <v>1060</v>
      </c>
      <c r="O1305" s="4">
        <v>0.15</v>
      </c>
      <c r="P1305" s="3">
        <v>1623.1935000000001</v>
      </c>
    </row>
    <row r="1306" spans="1:16" ht="15" customHeight="1" x14ac:dyDescent="0.3">
      <c r="A1306">
        <v>2022</v>
      </c>
      <c r="B1306" s="2">
        <v>44783</v>
      </c>
      <c r="C1306" t="s">
        <v>291</v>
      </c>
      <c r="D1306" t="s">
        <v>1002</v>
      </c>
      <c r="F1306" t="s">
        <v>20</v>
      </c>
      <c r="G1306" t="s">
        <v>107</v>
      </c>
      <c r="H1306" t="s">
        <v>108</v>
      </c>
      <c r="I1306" t="s">
        <v>538</v>
      </c>
      <c r="J1306" t="s">
        <v>123</v>
      </c>
      <c r="K1306" s="3">
        <v>13406.42</v>
      </c>
      <c r="L1306" t="s">
        <v>825</v>
      </c>
      <c r="M1306" t="s">
        <v>1061</v>
      </c>
      <c r="O1306" s="4">
        <v>0.15</v>
      </c>
      <c r="P1306" s="3">
        <v>2010.963</v>
      </c>
    </row>
    <row r="1307" spans="1:16" ht="15" customHeight="1" x14ac:dyDescent="0.3">
      <c r="A1307">
        <v>2022</v>
      </c>
      <c r="B1307" s="2">
        <v>44784</v>
      </c>
      <c r="C1307" t="s">
        <v>291</v>
      </c>
      <c r="D1307" t="s">
        <v>61</v>
      </c>
      <c r="F1307" t="s">
        <v>20</v>
      </c>
      <c r="G1307" t="s">
        <v>21</v>
      </c>
      <c r="H1307" t="s">
        <v>22</v>
      </c>
      <c r="I1307" t="s">
        <v>306</v>
      </c>
      <c r="J1307" t="s">
        <v>50</v>
      </c>
      <c r="K1307" s="3">
        <v>100000</v>
      </c>
      <c r="L1307" t="s">
        <v>825</v>
      </c>
      <c r="M1307" t="s">
        <v>1062</v>
      </c>
      <c r="O1307" s="4">
        <v>0.15</v>
      </c>
      <c r="P1307" s="3">
        <v>15000</v>
      </c>
    </row>
    <row r="1308" spans="1:16" ht="15" customHeight="1" x14ac:dyDescent="0.3">
      <c r="A1308">
        <v>2022</v>
      </c>
      <c r="B1308" s="2">
        <v>44785</v>
      </c>
      <c r="C1308" t="s">
        <v>291</v>
      </c>
      <c r="D1308" t="s">
        <v>662</v>
      </c>
      <c r="F1308" t="s">
        <v>20</v>
      </c>
      <c r="G1308" t="s">
        <v>107</v>
      </c>
      <c r="H1308" t="s">
        <v>108</v>
      </c>
      <c r="I1308" t="s">
        <v>136</v>
      </c>
      <c r="J1308" t="s">
        <v>123</v>
      </c>
      <c r="K1308" s="3">
        <v>7347.87</v>
      </c>
      <c r="L1308" t="s">
        <v>825</v>
      </c>
      <c r="M1308" t="s">
        <v>1063</v>
      </c>
      <c r="O1308" s="4">
        <v>0.15</v>
      </c>
      <c r="P1308" s="3">
        <v>1102.1804999999999</v>
      </c>
    </row>
    <row r="1309" spans="1:16" ht="15" customHeight="1" x14ac:dyDescent="0.3">
      <c r="A1309">
        <v>2022</v>
      </c>
      <c r="B1309" s="2">
        <v>44788</v>
      </c>
      <c r="C1309" t="s">
        <v>291</v>
      </c>
      <c r="D1309" t="s">
        <v>779</v>
      </c>
      <c r="F1309" t="s">
        <v>20</v>
      </c>
      <c r="G1309" t="s">
        <v>38</v>
      </c>
      <c r="H1309" t="s">
        <v>89</v>
      </c>
      <c r="I1309" t="s">
        <v>306</v>
      </c>
      <c r="J1309" t="s">
        <v>50</v>
      </c>
      <c r="K1309" s="3">
        <v>45217.2</v>
      </c>
      <c r="L1309" t="s">
        <v>793</v>
      </c>
      <c r="M1309" t="s">
        <v>1064</v>
      </c>
      <c r="O1309" s="4">
        <v>0.14467127553232001</v>
      </c>
      <c r="P1309" s="3">
        <v>6541.6300000000201</v>
      </c>
    </row>
    <row r="1310" spans="1:16" ht="15" customHeight="1" x14ac:dyDescent="0.3">
      <c r="A1310">
        <v>2022</v>
      </c>
      <c r="B1310" s="2">
        <v>44788</v>
      </c>
      <c r="C1310" t="s">
        <v>291</v>
      </c>
      <c r="D1310" t="s">
        <v>779</v>
      </c>
      <c r="F1310" t="s">
        <v>20</v>
      </c>
      <c r="G1310" t="s">
        <v>38</v>
      </c>
      <c r="H1310" t="s">
        <v>89</v>
      </c>
      <c r="I1310" t="s">
        <v>306</v>
      </c>
      <c r="J1310" t="s">
        <v>50</v>
      </c>
      <c r="K1310" s="3">
        <v>25728.43</v>
      </c>
      <c r="L1310" t="s">
        <v>793</v>
      </c>
      <c r="M1310" t="s">
        <v>1065</v>
      </c>
      <c r="O1310" s="4">
        <v>0.20864739900569099</v>
      </c>
      <c r="P1310" s="3">
        <v>5368.1699999999901</v>
      </c>
    </row>
    <row r="1311" spans="1:16" ht="15" customHeight="1" x14ac:dyDescent="0.3">
      <c r="A1311">
        <v>2022</v>
      </c>
      <c r="B1311" s="2">
        <v>44788</v>
      </c>
      <c r="C1311" t="s">
        <v>291</v>
      </c>
      <c r="D1311" t="s">
        <v>779</v>
      </c>
      <c r="F1311" t="s">
        <v>20</v>
      </c>
      <c r="G1311" t="s">
        <v>38</v>
      </c>
      <c r="H1311" t="s">
        <v>89</v>
      </c>
      <c r="I1311" t="s">
        <v>306</v>
      </c>
      <c r="J1311" t="s">
        <v>50</v>
      </c>
      <c r="K1311" s="3">
        <v>145206.71</v>
      </c>
      <c r="L1311" t="s">
        <v>793</v>
      </c>
      <c r="M1311" t="s">
        <v>1066</v>
      </c>
      <c r="O1311" s="4">
        <v>0.19532547772757899</v>
      </c>
      <c r="P1311" s="3">
        <v>28362.57</v>
      </c>
    </row>
    <row r="1312" spans="1:16" ht="15" customHeight="1" x14ac:dyDescent="0.3">
      <c r="A1312">
        <v>2022</v>
      </c>
      <c r="B1312" s="2">
        <v>44788</v>
      </c>
      <c r="C1312" t="s">
        <v>291</v>
      </c>
      <c r="D1312" t="s">
        <v>779</v>
      </c>
      <c r="F1312" t="s">
        <v>20</v>
      </c>
      <c r="G1312" t="s">
        <v>38</v>
      </c>
      <c r="H1312" t="s">
        <v>89</v>
      </c>
      <c r="I1312" t="s">
        <v>306</v>
      </c>
      <c r="J1312" t="s">
        <v>50</v>
      </c>
      <c r="K1312" s="3">
        <v>230330.23999999999</v>
      </c>
      <c r="L1312" t="s">
        <v>793</v>
      </c>
      <c r="M1312" t="s">
        <v>1067</v>
      </c>
      <c r="O1312" s="4">
        <v>0.163366564459795</v>
      </c>
      <c r="P1312" s="3">
        <v>37628.260000000097</v>
      </c>
    </row>
    <row r="1313" spans="1:16" ht="15" customHeight="1" x14ac:dyDescent="0.3">
      <c r="A1313">
        <v>2022</v>
      </c>
      <c r="B1313" s="2">
        <v>44788</v>
      </c>
      <c r="C1313" t="s">
        <v>291</v>
      </c>
      <c r="D1313" t="s">
        <v>1007</v>
      </c>
      <c r="F1313" t="s">
        <v>20</v>
      </c>
      <c r="G1313" t="s">
        <v>38</v>
      </c>
      <c r="H1313" t="s">
        <v>39</v>
      </c>
      <c r="I1313" t="s">
        <v>306</v>
      </c>
      <c r="J1313" t="s">
        <v>123</v>
      </c>
      <c r="K1313" s="3">
        <v>119666</v>
      </c>
      <c r="L1313" t="s">
        <v>825</v>
      </c>
      <c r="M1313" t="s">
        <v>1068</v>
      </c>
      <c r="O1313" s="4">
        <v>0.15</v>
      </c>
      <c r="P1313" s="3">
        <v>17949.900000000001</v>
      </c>
    </row>
    <row r="1314" spans="1:16" ht="15" customHeight="1" x14ac:dyDescent="0.3">
      <c r="A1314">
        <v>2022</v>
      </c>
      <c r="B1314" s="2">
        <v>44789</v>
      </c>
      <c r="C1314" t="s">
        <v>291</v>
      </c>
      <c r="D1314" t="s">
        <v>791</v>
      </c>
      <c r="F1314" t="s">
        <v>20</v>
      </c>
      <c r="G1314" t="s">
        <v>21</v>
      </c>
      <c r="H1314" t="s">
        <v>22</v>
      </c>
      <c r="I1314" t="s">
        <v>23</v>
      </c>
      <c r="J1314" t="s">
        <v>123</v>
      </c>
      <c r="K1314" s="3">
        <v>312.5</v>
      </c>
      <c r="L1314" t="s">
        <v>825</v>
      </c>
      <c r="M1314" t="s">
        <v>1069</v>
      </c>
      <c r="O1314" s="4">
        <v>0.15</v>
      </c>
      <c r="P1314" s="3">
        <v>46.875</v>
      </c>
    </row>
    <row r="1315" spans="1:16" ht="15" customHeight="1" x14ac:dyDescent="0.3">
      <c r="A1315">
        <v>2022</v>
      </c>
      <c r="B1315" s="2">
        <v>44791</v>
      </c>
      <c r="C1315" t="s">
        <v>291</v>
      </c>
      <c r="D1315" t="s">
        <v>283</v>
      </c>
      <c r="F1315" t="s">
        <v>20</v>
      </c>
      <c r="G1315" t="s">
        <v>21</v>
      </c>
      <c r="H1315" t="s">
        <v>22</v>
      </c>
      <c r="I1315" t="s">
        <v>141</v>
      </c>
      <c r="J1315" t="s">
        <v>110</v>
      </c>
      <c r="K1315" s="3">
        <v>12472.3</v>
      </c>
      <c r="L1315" t="s">
        <v>793</v>
      </c>
      <c r="M1315" t="s">
        <v>1070</v>
      </c>
      <c r="O1315" s="4">
        <v>0.175946697882508</v>
      </c>
      <c r="P1315" s="3">
        <v>2194.46</v>
      </c>
    </row>
    <row r="1316" spans="1:16" ht="15" customHeight="1" x14ac:dyDescent="0.3">
      <c r="A1316">
        <v>2022</v>
      </c>
      <c r="B1316" s="2">
        <v>44795</v>
      </c>
      <c r="C1316" t="s">
        <v>291</v>
      </c>
      <c r="D1316" t="s">
        <v>776</v>
      </c>
      <c r="F1316" t="s">
        <v>20</v>
      </c>
      <c r="G1316" t="s">
        <v>38</v>
      </c>
      <c r="H1316" t="s">
        <v>147</v>
      </c>
      <c r="I1316" t="s">
        <v>136</v>
      </c>
      <c r="J1316" t="s">
        <v>50</v>
      </c>
      <c r="K1316" s="3">
        <v>6649.44</v>
      </c>
      <c r="L1316" t="s">
        <v>793</v>
      </c>
      <c r="M1316" t="s">
        <v>1071</v>
      </c>
      <c r="O1316" s="4">
        <v>0.21306907047811599</v>
      </c>
      <c r="P1316" s="3">
        <v>1416.79</v>
      </c>
    </row>
    <row r="1317" spans="1:16" ht="15" customHeight="1" x14ac:dyDescent="0.3">
      <c r="A1317">
        <v>2022</v>
      </c>
      <c r="B1317" s="2">
        <v>44797</v>
      </c>
      <c r="C1317" t="s">
        <v>291</v>
      </c>
      <c r="D1317" t="s">
        <v>786</v>
      </c>
      <c r="F1317" t="s">
        <v>20</v>
      </c>
      <c r="G1317" t="s">
        <v>21</v>
      </c>
      <c r="H1317" t="s">
        <v>22</v>
      </c>
      <c r="I1317" t="s">
        <v>23</v>
      </c>
      <c r="J1317" t="s">
        <v>110</v>
      </c>
      <c r="K1317" s="3">
        <v>8796.76</v>
      </c>
      <c r="L1317" t="s">
        <v>825</v>
      </c>
      <c r="M1317" t="s">
        <v>1072</v>
      </c>
      <c r="O1317" s="4">
        <v>0.15</v>
      </c>
      <c r="P1317" s="3">
        <v>1319.5139999999999</v>
      </c>
    </row>
    <row r="1318" spans="1:16" ht="15" customHeight="1" x14ac:dyDescent="0.3">
      <c r="A1318">
        <v>2022</v>
      </c>
      <c r="B1318" s="2">
        <v>44816</v>
      </c>
      <c r="C1318" t="s">
        <v>325</v>
      </c>
      <c r="D1318" t="s">
        <v>786</v>
      </c>
      <c r="F1318" t="s">
        <v>20</v>
      </c>
      <c r="G1318" t="s">
        <v>21</v>
      </c>
      <c r="H1318" t="s">
        <v>22</v>
      </c>
      <c r="I1318" t="s">
        <v>23</v>
      </c>
      <c r="J1318" t="s">
        <v>110</v>
      </c>
      <c r="K1318" s="3">
        <v>6875</v>
      </c>
      <c r="L1318" t="s">
        <v>825</v>
      </c>
      <c r="M1318" t="s">
        <v>1073</v>
      </c>
      <c r="O1318" s="4">
        <v>0.15</v>
      </c>
      <c r="P1318" s="3">
        <v>1031.25</v>
      </c>
    </row>
    <row r="1319" spans="1:16" ht="15" customHeight="1" x14ac:dyDescent="0.3">
      <c r="A1319">
        <v>2022</v>
      </c>
      <c r="B1319" s="2">
        <v>44818</v>
      </c>
      <c r="C1319" t="s">
        <v>325</v>
      </c>
      <c r="D1319" t="s">
        <v>155</v>
      </c>
      <c r="F1319" t="s">
        <v>20</v>
      </c>
      <c r="G1319" t="s">
        <v>38</v>
      </c>
      <c r="H1319" t="s">
        <v>39</v>
      </c>
      <c r="I1319" t="s">
        <v>23</v>
      </c>
      <c r="J1319" t="s">
        <v>110</v>
      </c>
      <c r="K1319" s="3">
        <v>2692.8</v>
      </c>
      <c r="L1319" t="s">
        <v>793</v>
      </c>
      <c r="M1319" t="s">
        <v>1074</v>
      </c>
      <c r="O1319" s="4">
        <v>0.25454545454545502</v>
      </c>
      <c r="P1319" s="3">
        <v>685.44000000000096</v>
      </c>
    </row>
    <row r="1320" spans="1:16" ht="15" customHeight="1" x14ac:dyDescent="0.3">
      <c r="A1320">
        <v>2022</v>
      </c>
      <c r="B1320" s="2">
        <v>44818</v>
      </c>
      <c r="C1320" t="s">
        <v>325</v>
      </c>
      <c r="D1320" t="s">
        <v>675</v>
      </c>
      <c r="F1320" t="s">
        <v>20</v>
      </c>
      <c r="G1320" t="s">
        <v>38</v>
      </c>
      <c r="H1320" t="s">
        <v>147</v>
      </c>
      <c r="I1320" t="s">
        <v>306</v>
      </c>
      <c r="J1320" t="s">
        <v>50</v>
      </c>
      <c r="K1320" s="3">
        <v>4000</v>
      </c>
      <c r="L1320" t="s">
        <v>793</v>
      </c>
      <c r="M1320" t="s">
        <v>1075</v>
      </c>
      <c r="O1320" s="4">
        <v>0.5</v>
      </c>
      <c r="P1320" s="3">
        <v>2000</v>
      </c>
    </row>
    <row r="1321" spans="1:16" ht="15" customHeight="1" x14ac:dyDescent="0.3">
      <c r="A1321">
        <v>2022</v>
      </c>
      <c r="B1321" s="2">
        <v>44818</v>
      </c>
      <c r="C1321" t="s">
        <v>325</v>
      </c>
      <c r="D1321" t="s">
        <v>773</v>
      </c>
      <c r="F1321" t="s">
        <v>20</v>
      </c>
      <c r="G1321" t="s">
        <v>38</v>
      </c>
      <c r="H1321" t="s">
        <v>39</v>
      </c>
      <c r="I1321" t="s">
        <v>136</v>
      </c>
      <c r="J1321" t="s">
        <v>110</v>
      </c>
      <c r="K1321" s="3">
        <v>575.41999999999996</v>
      </c>
      <c r="L1321" t="s">
        <v>825</v>
      </c>
      <c r="M1321" t="s">
        <v>1076</v>
      </c>
      <c r="O1321" s="4">
        <v>0.15</v>
      </c>
      <c r="P1321" s="3">
        <v>86.313000000000002</v>
      </c>
    </row>
    <row r="1322" spans="1:16" ht="15" customHeight="1" x14ac:dyDescent="0.3">
      <c r="A1322">
        <v>2022</v>
      </c>
      <c r="B1322" s="2">
        <v>44831</v>
      </c>
      <c r="C1322" t="s">
        <v>325</v>
      </c>
      <c r="D1322" t="s">
        <v>844</v>
      </c>
      <c r="F1322" t="s">
        <v>20</v>
      </c>
      <c r="G1322" t="s">
        <v>107</v>
      </c>
      <c r="H1322" t="s">
        <v>108</v>
      </c>
      <c r="I1322" t="s">
        <v>306</v>
      </c>
      <c r="J1322" t="s">
        <v>50</v>
      </c>
      <c r="K1322" s="3">
        <v>50056.05</v>
      </c>
      <c r="L1322" t="s">
        <v>793</v>
      </c>
      <c r="M1322" t="s">
        <v>1077</v>
      </c>
      <c r="O1322" s="4">
        <v>0.17133233645083901</v>
      </c>
      <c r="P1322" s="3">
        <v>8576.2200000000194</v>
      </c>
    </row>
    <row r="1323" spans="1:16" ht="15" customHeight="1" x14ac:dyDescent="0.3">
      <c r="A1323">
        <v>2022</v>
      </c>
      <c r="B1323" s="2">
        <v>44831</v>
      </c>
      <c r="C1323" t="s">
        <v>325</v>
      </c>
      <c r="D1323" t="s">
        <v>786</v>
      </c>
      <c r="F1323" t="s">
        <v>20</v>
      </c>
      <c r="G1323" t="s">
        <v>21</v>
      </c>
      <c r="H1323" t="s">
        <v>22</v>
      </c>
      <c r="I1323" t="s">
        <v>23</v>
      </c>
      <c r="J1323" t="s">
        <v>110</v>
      </c>
      <c r="K1323" s="3">
        <v>18068.53</v>
      </c>
      <c r="L1323" t="s">
        <v>793</v>
      </c>
      <c r="M1323" t="s">
        <v>1078</v>
      </c>
      <c r="O1323" s="4">
        <v>0.16244431616739199</v>
      </c>
      <c r="P1323" s="3">
        <v>2935.1300000000101</v>
      </c>
    </row>
    <row r="1324" spans="1:16" ht="15" customHeight="1" x14ac:dyDescent="0.3">
      <c r="A1324">
        <v>2022</v>
      </c>
      <c r="B1324" s="2">
        <v>44832</v>
      </c>
      <c r="C1324" t="s">
        <v>325</v>
      </c>
      <c r="D1324" t="s">
        <v>776</v>
      </c>
      <c r="F1324" t="s">
        <v>20</v>
      </c>
      <c r="G1324" t="s">
        <v>38</v>
      </c>
      <c r="H1324" t="s">
        <v>147</v>
      </c>
      <c r="I1324" t="s">
        <v>136</v>
      </c>
      <c r="J1324" t="s">
        <v>50</v>
      </c>
      <c r="K1324" s="3">
        <v>1115978.83</v>
      </c>
      <c r="L1324" t="s">
        <v>793</v>
      </c>
      <c r="M1324" t="s">
        <v>1079</v>
      </c>
      <c r="O1324" s="4">
        <v>0.24549742578898201</v>
      </c>
      <c r="P1324" s="3">
        <v>273969.93</v>
      </c>
    </row>
    <row r="1325" spans="1:16" ht="15" customHeight="1" x14ac:dyDescent="0.3">
      <c r="A1325">
        <v>2022</v>
      </c>
      <c r="B1325" s="2">
        <v>44832</v>
      </c>
      <c r="C1325" t="s">
        <v>325</v>
      </c>
      <c r="D1325" t="s">
        <v>59</v>
      </c>
      <c r="F1325" t="s">
        <v>20</v>
      </c>
      <c r="G1325" t="s">
        <v>21</v>
      </c>
      <c r="H1325" t="s">
        <v>22</v>
      </c>
      <c r="I1325" t="s">
        <v>141</v>
      </c>
      <c r="J1325" t="s">
        <v>50</v>
      </c>
      <c r="K1325" s="3">
        <v>14372.14</v>
      </c>
      <c r="L1325" t="s">
        <v>793</v>
      </c>
      <c r="M1325" t="s">
        <v>1080</v>
      </c>
      <c r="O1325" s="4">
        <v>0.30098718771178101</v>
      </c>
      <c r="P1325" s="3">
        <v>4325.83</v>
      </c>
    </row>
    <row r="1326" spans="1:16" ht="15" customHeight="1" x14ac:dyDescent="0.3">
      <c r="A1326">
        <v>2022</v>
      </c>
      <c r="B1326" s="2">
        <v>44837</v>
      </c>
      <c r="C1326" t="s">
        <v>357</v>
      </c>
      <c r="D1326" t="s">
        <v>973</v>
      </c>
      <c r="F1326" t="s">
        <v>20</v>
      </c>
      <c r="G1326" t="s">
        <v>38</v>
      </c>
      <c r="H1326" t="s">
        <v>89</v>
      </c>
      <c r="I1326" t="s">
        <v>23</v>
      </c>
      <c r="J1326" t="s">
        <v>50</v>
      </c>
      <c r="K1326" s="3">
        <v>4375.8</v>
      </c>
      <c r="L1326" t="s">
        <v>825</v>
      </c>
      <c r="M1326" t="s">
        <v>1081</v>
      </c>
      <c r="O1326" s="4">
        <v>0.15</v>
      </c>
      <c r="P1326" s="3">
        <v>656.37</v>
      </c>
    </row>
    <row r="1327" spans="1:16" ht="15" customHeight="1" x14ac:dyDescent="0.3">
      <c r="A1327">
        <v>2022</v>
      </c>
      <c r="B1327" s="2">
        <v>44838</v>
      </c>
      <c r="C1327" t="s">
        <v>357</v>
      </c>
      <c r="D1327" t="s">
        <v>973</v>
      </c>
      <c r="F1327" t="s">
        <v>20</v>
      </c>
      <c r="G1327" t="s">
        <v>38</v>
      </c>
      <c r="H1327" t="s">
        <v>89</v>
      </c>
      <c r="I1327" t="s">
        <v>23</v>
      </c>
      <c r="J1327" t="s">
        <v>110</v>
      </c>
      <c r="K1327" s="3">
        <v>930</v>
      </c>
      <c r="L1327" t="s">
        <v>825</v>
      </c>
      <c r="M1327" t="s">
        <v>1082</v>
      </c>
      <c r="O1327" s="4">
        <v>0.15</v>
      </c>
      <c r="P1327" s="3">
        <v>139.5</v>
      </c>
    </row>
    <row r="1328" spans="1:16" ht="15" customHeight="1" x14ac:dyDescent="0.3">
      <c r="A1328">
        <v>2022</v>
      </c>
      <c r="B1328" s="2">
        <v>44838</v>
      </c>
      <c r="C1328" t="s">
        <v>357</v>
      </c>
      <c r="D1328" t="s">
        <v>973</v>
      </c>
      <c r="F1328" t="s">
        <v>20</v>
      </c>
      <c r="G1328" t="s">
        <v>38</v>
      </c>
      <c r="H1328" t="s">
        <v>89</v>
      </c>
      <c r="I1328" t="s">
        <v>23</v>
      </c>
      <c r="J1328" t="s">
        <v>110</v>
      </c>
      <c r="K1328" s="3">
        <v>761</v>
      </c>
      <c r="L1328" t="s">
        <v>825</v>
      </c>
      <c r="M1328" t="s">
        <v>1083</v>
      </c>
      <c r="O1328" s="4"/>
      <c r="P1328" s="3"/>
    </row>
    <row r="1329" spans="1:16" ht="15" customHeight="1" x14ac:dyDescent="0.3">
      <c r="A1329">
        <v>2022</v>
      </c>
      <c r="B1329" s="2">
        <v>44838</v>
      </c>
      <c r="C1329" t="s">
        <v>357</v>
      </c>
      <c r="D1329" t="s">
        <v>61</v>
      </c>
      <c r="F1329" t="s">
        <v>20</v>
      </c>
      <c r="G1329" t="s">
        <v>21</v>
      </c>
      <c r="H1329" t="s">
        <v>22</v>
      </c>
      <c r="I1329" t="s">
        <v>306</v>
      </c>
      <c r="J1329" t="s">
        <v>123</v>
      </c>
      <c r="K1329" s="3">
        <v>1280</v>
      </c>
      <c r="L1329" t="s">
        <v>793</v>
      </c>
      <c r="M1329" t="s">
        <v>1084</v>
      </c>
      <c r="O1329" s="4">
        <v>0.1875</v>
      </c>
      <c r="P1329" s="3">
        <v>240</v>
      </c>
    </row>
    <row r="1330" spans="1:16" ht="15" customHeight="1" x14ac:dyDescent="0.3">
      <c r="A1330">
        <v>2022</v>
      </c>
      <c r="B1330" s="2">
        <v>44839</v>
      </c>
      <c r="C1330" t="s">
        <v>357</v>
      </c>
      <c r="D1330" t="s">
        <v>988</v>
      </c>
      <c r="F1330" t="s">
        <v>20</v>
      </c>
      <c r="G1330" t="s">
        <v>38</v>
      </c>
      <c r="H1330" t="s">
        <v>147</v>
      </c>
      <c r="I1330" t="s">
        <v>23</v>
      </c>
      <c r="J1330" t="s">
        <v>123</v>
      </c>
      <c r="K1330" s="3">
        <v>9506.02</v>
      </c>
      <c r="L1330" t="s">
        <v>825</v>
      </c>
      <c r="M1330" t="s">
        <v>1085</v>
      </c>
      <c r="O1330" s="4">
        <v>0.15</v>
      </c>
      <c r="P1330" s="3">
        <v>1425.903</v>
      </c>
    </row>
    <row r="1331" spans="1:16" ht="15" customHeight="1" x14ac:dyDescent="0.3">
      <c r="A1331">
        <v>2022</v>
      </c>
      <c r="B1331" s="2">
        <v>44841</v>
      </c>
      <c r="C1331" t="s">
        <v>357</v>
      </c>
      <c r="D1331" t="s">
        <v>786</v>
      </c>
      <c r="F1331" t="s">
        <v>20</v>
      </c>
      <c r="G1331" t="s">
        <v>21</v>
      </c>
      <c r="H1331" t="s">
        <v>22</v>
      </c>
      <c r="I1331" t="s">
        <v>23</v>
      </c>
      <c r="J1331" t="s">
        <v>123</v>
      </c>
      <c r="K1331" s="3">
        <v>23221.39</v>
      </c>
      <c r="L1331" t="s">
        <v>825</v>
      </c>
      <c r="M1331" t="s">
        <v>1086</v>
      </c>
      <c r="O1331" s="4">
        <v>0.15</v>
      </c>
      <c r="P1331" s="3">
        <v>3483.2085000000002</v>
      </c>
    </row>
    <row r="1332" spans="1:16" ht="15" customHeight="1" x14ac:dyDescent="0.3">
      <c r="A1332">
        <v>2022</v>
      </c>
      <c r="B1332" s="2">
        <v>44847</v>
      </c>
      <c r="C1332" t="s">
        <v>357</v>
      </c>
      <c r="D1332" t="s">
        <v>1007</v>
      </c>
      <c r="F1332" t="s">
        <v>20</v>
      </c>
      <c r="G1332" t="s">
        <v>38</v>
      </c>
      <c r="H1332" t="s">
        <v>39</v>
      </c>
      <c r="I1332" t="s">
        <v>306</v>
      </c>
      <c r="J1332" t="s">
        <v>123</v>
      </c>
      <c r="K1332" s="3">
        <v>425</v>
      </c>
      <c r="L1332" t="s">
        <v>825</v>
      </c>
      <c r="M1332" t="s">
        <v>1087</v>
      </c>
      <c r="O1332" s="4">
        <v>0.15</v>
      </c>
      <c r="P1332" s="3">
        <v>63.75</v>
      </c>
    </row>
    <row r="1333" spans="1:16" ht="15" customHeight="1" x14ac:dyDescent="0.3">
      <c r="A1333">
        <v>2022</v>
      </c>
      <c r="B1333" s="2">
        <v>44851</v>
      </c>
      <c r="C1333" t="s">
        <v>357</v>
      </c>
      <c r="D1333" t="s">
        <v>746</v>
      </c>
      <c r="F1333" t="s">
        <v>20</v>
      </c>
      <c r="G1333" t="s">
        <v>21</v>
      </c>
      <c r="H1333" t="s">
        <v>22</v>
      </c>
      <c r="I1333" t="s">
        <v>141</v>
      </c>
      <c r="J1333" t="s">
        <v>110</v>
      </c>
      <c r="K1333" s="3">
        <v>954.03421052631597</v>
      </c>
      <c r="L1333" t="s">
        <v>793</v>
      </c>
      <c r="M1333" t="s">
        <v>1088</v>
      </c>
      <c r="O1333" s="4">
        <v>0.47786796797016701</v>
      </c>
      <c r="P1333" s="3">
        <v>455.90238955823298</v>
      </c>
    </row>
    <row r="1334" spans="1:16" ht="15" customHeight="1" x14ac:dyDescent="0.3">
      <c r="A1334">
        <v>2022</v>
      </c>
      <c r="B1334" s="2">
        <v>44851</v>
      </c>
      <c r="C1334" t="s">
        <v>357</v>
      </c>
      <c r="D1334" t="s">
        <v>746</v>
      </c>
      <c r="F1334" t="s">
        <v>20</v>
      </c>
      <c r="G1334" t="s">
        <v>21</v>
      </c>
      <c r="H1334" t="s">
        <v>22</v>
      </c>
      <c r="I1334" t="s">
        <v>141</v>
      </c>
      <c r="J1334" t="s">
        <v>110</v>
      </c>
      <c r="K1334" s="3">
        <v>1280</v>
      </c>
      <c r="L1334" t="s">
        <v>793</v>
      </c>
      <c r="M1334" t="s">
        <v>1089</v>
      </c>
      <c r="O1334" s="4">
        <v>0.29679687500000002</v>
      </c>
      <c r="P1334" s="3">
        <v>379.9</v>
      </c>
    </row>
    <row r="1335" spans="1:16" ht="15" customHeight="1" x14ac:dyDescent="0.3">
      <c r="A1335">
        <v>2022</v>
      </c>
      <c r="B1335" s="2">
        <v>44851</v>
      </c>
      <c r="C1335" t="s">
        <v>357</v>
      </c>
      <c r="D1335" t="s">
        <v>786</v>
      </c>
      <c r="F1335" t="s">
        <v>20</v>
      </c>
      <c r="G1335" t="s">
        <v>21</v>
      </c>
      <c r="H1335" t="s">
        <v>22</v>
      </c>
      <c r="I1335" t="s">
        <v>23</v>
      </c>
      <c r="J1335" t="s">
        <v>123</v>
      </c>
      <c r="K1335" s="3">
        <v>19646.400000000001</v>
      </c>
      <c r="L1335" t="s">
        <v>793</v>
      </c>
      <c r="M1335" t="s">
        <v>1090</v>
      </c>
      <c r="O1335" s="4">
        <v>0.16320852675299299</v>
      </c>
      <c r="P1335" s="3">
        <v>3206.46</v>
      </c>
    </row>
    <row r="1336" spans="1:16" ht="15" customHeight="1" x14ac:dyDescent="0.3">
      <c r="A1336">
        <v>2022</v>
      </c>
      <c r="B1336" s="2">
        <v>44852</v>
      </c>
      <c r="C1336" t="s">
        <v>357</v>
      </c>
      <c r="D1336" t="s">
        <v>40</v>
      </c>
      <c r="F1336" t="s">
        <v>20</v>
      </c>
      <c r="G1336" t="s">
        <v>21</v>
      </c>
      <c r="H1336" t="s">
        <v>22</v>
      </c>
      <c r="I1336" t="s">
        <v>49</v>
      </c>
      <c r="J1336" t="s">
        <v>50</v>
      </c>
      <c r="K1336" s="3">
        <v>40516.400000000001</v>
      </c>
      <c r="L1336" t="s">
        <v>825</v>
      </c>
      <c r="M1336" t="s">
        <v>1091</v>
      </c>
      <c r="O1336" s="4">
        <v>0.14999851911818399</v>
      </c>
      <c r="P1336" s="3">
        <v>6077.3999999999896</v>
      </c>
    </row>
    <row r="1337" spans="1:16" ht="15" customHeight="1" x14ac:dyDescent="0.3">
      <c r="A1337">
        <v>2022</v>
      </c>
      <c r="B1337" s="2">
        <v>44852</v>
      </c>
      <c r="C1337" t="s">
        <v>357</v>
      </c>
      <c r="D1337" t="s">
        <v>40</v>
      </c>
      <c r="F1337" t="s">
        <v>20</v>
      </c>
      <c r="G1337" t="s">
        <v>21</v>
      </c>
      <c r="H1337" t="s">
        <v>22</v>
      </c>
      <c r="I1337" t="s">
        <v>49</v>
      </c>
      <c r="J1337" t="s">
        <v>50</v>
      </c>
      <c r="K1337" s="3">
        <v>21329.4</v>
      </c>
      <c r="L1337" t="s">
        <v>825</v>
      </c>
      <c r="M1337" t="s">
        <v>1092</v>
      </c>
      <c r="O1337" s="4">
        <v>0.15</v>
      </c>
      <c r="P1337" s="3">
        <v>3199.41</v>
      </c>
    </row>
    <row r="1338" spans="1:16" ht="15" customHeight="1" x14ac:dyDescent="0.3">
      <c r="A1338">
        <v>2022</v>
      </c>
      <c r="B1338" s="2">
        <v>44853</v>
      </c>
      <c r="C1338" t="s">
        <v>357</v>
      </c>
      <c r="D1338" t="s">
        <v>1007</v>
      </c>
      <c r="F1338" t="s">
        <v>20</v>
      </c>
      <c r="G1338" t="s">
        <v>38</v>
      </c>
      <c r="H1338" t="s">
        <v>39</v>
      </c>
      <c r="I1338" t="s">
        <v>306</v>
      </c>
      <c r="J1338" t="s">
        <v>123</v>
      </c>
      <c r="K1338" s="3">
        <v>1431.25</v>
      </c>
      <c r="L1338" t="s">
        <v>825</v>
      </c>
      <c r="M1338" t="s">
        <v>1093</v>
      </c>
      <c r="O1338" s="4">
        <v>0.15</v>
      </c>
      <c r="P1338" s="3">
        <v>214.6875</v>
      </c>
    </row>
    <row r="1339" spans="1:16" ht="15" customHeight="1" x14ac:dyDescent="0.3">
      <c r="A1339">
        <v>2022</v>
      </c>
      <c r="B1339" s="2">
        <v>44860</v>
      </c>
      <c r="C1339" t="s">
        <v>357</v>
      </c>
      <c r="D1339" t="s">
        <v>786</v>
      </c>
      <c r="F1339" t="s">
        <v>20</v>
      </c>
      <c r="G1339" t="s">
        <v>21</v>
      </c>
      <c r="H1339" t="s">
        <v>22</v>
      </c>
      <c r="I1339" t="s">
        <v>23</v>
      </c>
      <c r="J1339" t="s">
        <v>110</v>
      </c>
      <c r="K1339" s="3">
        <v>1370</v>
      </c>
      <c r="L1339" t="s">
        <v>825</v>
      </c>
      <c r="M1339" t="s">
        <v>1094</v>
      </c>
      <c r="O1339" s="4">
        <v>0.15</v>
      </c>
      <c r="P1339" s="3">
        <v>205.5</v>
      </c>
    </row>
    <row r="1340" spans="1:16" ht="15" customHeight="1" x14ac:dyDescent="0.3">
      <c r="A1340">
        <v>2022</v>
      </c>
      <c r="B1340" s="2">
        <v>44865</v>
      </c>
      <c r="C1340" t="s">
        <v>357</v>
      </c>
      <c r="D1340" t="s">
        <v>786</v>
      </c>
      <c r="F1340" t="s">
        <v>20</v>
      </c>
      <c r="G1340" t="s">
        <v>21</v>
      </c>
      <c r="H1340" t="s">
        <v>22</v>
      </c>
      <c r="I1340" t="s">
        <v>23</v>
      </c>
      <c r="J1340" t="s">
        <v>123</v>
      </c>
      <c r="K1340" s="3">
        <v>15272.97</v>
      </c>
      <c r="L1340" t="s">
        <v>825</v>
      </c>
      <c r="M1340" t="s">
        <v>1095</v>
      </c>
      <c r="O1340" s="4">
        <v>0.15</v>
      </c>
      <c r="P1340" s="3">
        <v>2290.9454999999998</v>
      </c>
    </row>
    <row r="1341" spans="1:16" ht="15" customHeight="1" x14ac:dyDescent="0.3">
      <c r="A1341">
        <v>2022</v>
      </c>
      <c r="B1341" s="2">
        <v>44872</v>
      </c>
      <c r="C1341" t="s">
        <v>389</v>
      </c>
      <c r="D1341" t="s">
        <v>517</v>
      </c>
      <c r="F1341" t="s">
        <v>20</v>
      </c>
      <c r="G1341" t="s">
        <v>38</v>
      </c>
      <c r="H1341" t="s">
        <v>1096</v>
      </c>
      <c r="J1341" t="s">
        <v>123</v>
      </c>
      <c r="K1341" s="3">
        <v>43555.1</v>
      </c>
      <c r="L1341" t="s">
        <v>793</v>
      </c>
      <c r="M1341" t="s">
        <v>1097</v>
      </c>
      <c r="O1341" s="4">
        <v>0.18163200176328401</v>
      </c>
      <c r="P1341" s="3">
        <v>7911.00000000001</v>
      </c>
    </row>
    <row r="1342" spans="1:16" ht="15" customHeight="1" x14ac:dyDescent="0.3">
      <c r="A1342">
        <v>2022</v>
      </c>
      <c r="B1342" s="2">
        <v>44874</v>
      </c>
      <c r="C1342" t="s">
        <v>389</v>
      </c>
      <c r="D1342" t="s">
        <v>155</v>
      </c>
      <c r="F1342" t="s">
        <v>20</v>
      </c>
      <c r="G1342" t="s">
        <v>38</v>
      </c>
      <c r="H1342" t="s">
        <v>39</v>
      </c>
      <c r="I1342" t="s">
        <v>23</v>
      </c>
      <c r="J1342" t="s">
        <v>50</v>
      </c>
      <c r="K1342" s="3">
        <v>25436.99</v>
      </c>
      <c r="L1342" t="s">
        <v>793</v>
      </c>
      <c r="M1342" t="s">
        <v>1098</v>
      </c>
      <c r="O1342" s="4">
        <v>0.19371041935386199</v>
      </c>
      <c r="P1342" s="3">
        <v>4927.4099999999899</v>
      </c>
    </row>
    <row r="1343" spans="1:16" ht="15" customHeight="1" x14ac:dyDescent="0.3">
      <c r="A1343">
        <v>2022</v>
      </c>
      <c r="B1343" s="2">
        <v>44874</v>
      </c>
      <c r="C1343" t="s">
        <v>389</v>
      </c>
      <c r="D1343" t="s">
        <v>746</v>
      </c>
      <c r="F1343" t="s">
        <v>20</v>
      </c>
      <c r="G1343" t="s">
        <v>21</v>
      </c>
      <c r="H1343" t="s">
        <v>22</v>
      </c>
      <c r="I1343" t="s">
        <v>141</v>
      </c>
      <c r="J1343" t="s">
        <v>110</v>
      </c>
      <c r="K1343" s="3">
        <v>580</v>
      </c>
      <c r="L1343" t="s">
        <v>825</v>
      </c>
      <c r="M1343" t="s">
        <v>1099</v>
      </c>
      <c r="O1343" s="4">
        <v>0.15</v>
      </c>
      <c r="P1343" s="3">
        <v>87</v>
      </c>
    </row>
    <row r="1344" spans="1:16" ht="15" customHeight="1" x14ac:dyDescent="0.3">
      <c r="A1344">
        <v>2022</v>
      </c>
      <c r="B1344" s="2">
        <v>44879</v>
      </c>
      <c r="C1344" t="s">
        <v>389</v>
      </c>
      <c r="D1344" t="s">
        <v>155</v>
      </c>
      <c r="F1344" t="s">
        <v>20</v>
      </c>
      <c r="G1344" t="s">
        <v>38</v>
      </c>
      <c r="H1344" t="s">
        <v>39</v>
      </c>
      <c r="I1344" t="s">
        <v>23</v>
      </c>
      <c r="J1344" t="s">
        <v>759</v>
      </c>
      <c r="K1344" s="3">
        <v>20698.169999999998</v>
      </c>
      <c r="L1344" t="s">
        <v>825</v>
      </c>
      <c r="M1344" t="s">
        <v>1100</v>
      </c>
      <c r="O1344" s="4">
        <v>0.15</v>
      </c>
      <c r="P1344" s="3">
        <v>3104.7255</v>
      </c>
    </row>
    <row r="1345" spans="1:16" ht="15" customHeight="1" x14ac:dyDescent="0.3">
      <c r="A1345">
        <v>2022</v>
      </c>
      <c r="B1345" s="2">
        <v>44879</v>
      </c>
      <c r="C1345" t="s">
        <v>389</v>
      </c>
      <c r="D1345" t="s">
        <v>205</v>
      </c>
      <c r="F1345" t="s">
        <v>20</v>
      </c>
      <c r="G1345" t="s">
        <v>21</v>
      </c>
      <c r="H1345" t="s">
        <v>22</v>
      </c>
      <c r="I1345" t="s">
        <v>23</v>
      </c>
      <c r="J1345" t="s">
        <v>123</v>
      </c>
      <c r="K1345" s="3">
        <v>97960.41</v>
      </c>
      <c r="L1345" t="s">
        <v>793</v>
      </c>
      <c r="M1345" t="s">
        <v>1101</v>
      </c>
      <c r="O1345" s="4">
        <v>0.15395015190320299</v>
      </c>
      <c r="P1345" s="3">
        <v>15081.0200000001</v>
      </c>
    </row>
    <row r="1346" spans="1:16" ht="15" customHeight="1" x14ac:dyDescent="0.3">
      <c r="A1346">
        <v>2022</v>
      </c>
      <c r="B1346" s="2">
        <v>44879</v>
      </c>
      <c r="C1346" t="s">
        <v>389</v>
      </c>
      <c r="D1346" t="s">
        <v>28</v>
      </c>
      <c r="F1346" t="s">
        <v>20</v>
      </c>
      <c r="G1346" t="s">
        <v>21</v>
      </c>
      <c r="H1346" t="s">
        <v>22</v>
      </c>
      <c r="I1346" t="s">
        <v>23</v>
      </c>
      <c r="J1346" t="s">
        <v>123</v>
      </c>
      <c r="K1346" s="3">
        <v>755057.71</v>
      </c>
      <c r="L1346" t="s">
        <v>793</v>
      </c>
      <c r="M1346" t="s">
        <v>1102</v>
      </c>
      <c r="O1346" s="4">
        <v>0.151459972509916</v>
      </c>
      <c r="P1346" s="3">
        <v>114361.02</v>
      </c>
    </row>
    <row r="1347" spans="1:16" ht="15" customHeight="1" x14ac:dyDescent="0.3">
      <c r="A1347">
        <v>2022</v>
      </c>
      <c r="B1347" s="2">
        <v>44882</v>
      </c>
      <c r="C1347" t="s">
        <v>389</v>
      </c>
      <c r="D1347" t="s">
        <v>973</v>
      </c>
      <c r="F1347" t="s">
        <v>20</v>
      </c>
      <c r="G1347" t="s">
        <v>38</v>
      </c>
      <c r="H1347" t="s">
        <v>89</v>
      </c>
      <c r="I1347" t="s">
        <v>23</v>
      </c>
      <c r="J1347" t="s">
        <v>110</v>
      </c>
      <c r="K1347" s="3">
        <v>1025</v>
      </c>
      <c r="L1347" t="s">
        <v>825</v>
      </c>
      <c r="M1347" t="s">
        <v>1103</v>
      </c>
      <c r="O1347" s="4">
        <v>0.15</v>
      </c>
      <c r="P1347" s="3">
        <v>153.75</v>
      </c>
    </row>
    <row r="1348" spans="1:16" ht="15" customHeight="1" x14ac:dyDescent="0.3">
      <c r="A1348">
        <v>2022</v>
      </c>
      <c r="B1348" s="2">
        <v>44882</v>
      </c>
      <c r="C1348" t="s">
        <v>389</v>
      </c>
      <c r="D1348" t="s">
        <v>184</v>
      </c>
      <c r="F1348" t="s">
        <v>20</v>
      </c>
      <c r="G1348" t="s">
        <v>107</v>
      </c>
      <c r="H1348" t="s">
        <v>108</v>
      </c>
      <c r="I1348" t="s">
        <v>23</v>
      </c>
      <c r="J1348" t="s">
        <v>123</v>
      </c>
      <c r="K1348" s="3">
        <v>292200</v>
      </c>
      <c r="L1348" t="s">
        <v>793</v>
      </c>
      <c r="M1348" t="s">
        <v>1104</v>
      </c>
      <c r="O1348" s="4">
        <v>0.16572039698836399</v>
      </c>
      <c r="P1348" s="3">
        <v>48423.5</v>
      </c>
    </row>
    <row r="1349" spans="1:16" ht="15" customHeight="1" x14ac:dyDescent="0.3">
      <c r="A1349">
        <v>2022</v>
      </c>
      <c r="B1349" s="2">
        <v>44883</v>
      </c>
      <c r="C1349" t="s">
        <v>389</v>
      </c>
      <c r="D1349" t="s">
        <v>279</v>
      </c>
      <c r="F1349" t="s">
        <v>20</v>
      </c>
      <c r="G1349" t="s">
        <v>21</v>
      </c>
      <c r="H1349" t="s">
        <v>22</v>
      </c>
      <c r="I1349" t="s">
        <v>23</v>
      </c>
      <c r="J1349" t="s">
        <v>110</v>
      </c>
      <c r="K1349" s="3">
        <v>14000</v>
      </c>
      <c r="L1349" t="s">
        <v>793</v>
      </c>
      <c r="M1349" t="s">
        <v>1105</v>
      </c>
      <c r="O1349" s="4">
        <v>0.16491785714285701</v>
      </c>
      <c r="P1349" s="3">
        <v>2308.85</v>
      </c>
    </row>
    <row r="1350" spans="1:16" ht="15" customHeight="1" x14ac:dyDescent="0.3">
      <c r="A1350">
        <v>2022</v>
      </c>
      <c r="B1350" s="2">
        <v>44886</v>
      </c>
      <c r="C1350" t="s">
        <v>389</v>
      </c>
      <c r="D1350" t="s">
        <v>675</v>
      </c>
      <c r="F1350" t="s">
        <v>20</v>
      </c>
      <c r="G1350" t="s">
        <v>38</v>
      </c>
      <c r="H1350" t="s">
        <v>147</v>
      </c>
      <c r="I1350" t="s">
        <v>306</v>
      </c>
      <c r="J1350" t="s">
        <v>110</v>
      </c>
      <c r="K1350" s="3">
        <v>761</v>
      </c>
      <c r="L1350" t="s">
        <v>825</v>
      </c>
      <c r="M1350" t="s">
        <v>1106</v>
      </c>
      <c r="O1350" s="4">
        <v>0.15</v>
      </c>
      <c r="P1350" s="3">
        <v>114.15</v>
      </c>
    </row>
    <row r="1351" spans="1:16" ht="15" customHeight="1" x14ac:dyDescent="0.3">
      <c r="A1351">
        <v>2022</v>
      </c>
      <c r="B1351" s="2">
        <v>44886</v>
      </c>
      <c r="C1351" t="s">
        <v>389</v>
      </c>
      <c r="D1351" t="s">
        <v>749</v>
      </c>
      <c r="F1351" t="s">
        <v>20</v>
      </c>
      <c r="G1351" t="s">
        <v>38</v>
      </c>
      <c r="H1351" t="s">
        <v>39</v>
      </c>
      <c r="I1351" t="s">
        <v>141</v>
      </c>
      <c r="J1351" t="s">
        <v>50</v>
      </c>
      <c r="K1351" s="3">
        <v>18193.23</v>
      </c>
      <c r="L1351" t="s">
        <v>825</v>
      </c>
      <c r="M1351" t="s">
        <v>1107</v>
      </c>
      <c r="O1351" s="4">
        <v>0.15</v>
      </c>
      <c r="P1351" s="3">
        <v>2728.9845</v>
      </c>
    </row>
    <row r="1352" spans="1:16" ht="15" customHeight="1" x14ac:dyDescent="0.3">
      <c r="A1352">
        <v>2022</v>
      </c>
      <c r="B1352" s="2">
        <v>44887</v>
      </c>
      <c r="C1352" t="s">
        <v>389</v>
      </c>
      <c r="D1352" t="s">
        <v>1007</v>
      </c>
      <c r="F1352" t="s">
        <v>20</v>
      </c>
      <c r="G1352" t="s">
        <v>38</v>
      </c>
      <c r="H1352" t="s">
        <v>39</v>
      </c>
      <c r="I1352" t="s">
        <v>306</v>
      </c>
      <c r="J1352" t="s">
        <v>123</v>
      </c>
      <c r="K1352" s="3">
        <v>8025.32</v>
      </c>
      <c r="L1352" t="s">
        <v>825</v>
      </c>
      <c r="M1352" t="s">
        <v>1108</v>
      </c>
      <c r="O1352" s="4">
        <v>0.15</v>
      </c>
      <c r="P1352" s="3">
        <v>1203.798</v>
      </c>
    </row>
    <row r="1353" spans="1:16" ht="15" customHeight="1" x14ac:dyDescent="0.3">
      <c r="A1353">
        <v>2022</v>
      </c>
      <c r="B1353" s="2">
        <v>44889</v>
      </c>
      <c r="C1353" t="s">
        <v>389</v>
      </c>
      <c r="D1353" t="s">
        <v>1003</v>
      </c>
      <c r="F1353" t="s">
        <v>20</v>
      </c>
      <c r="G1353" t="s">
        <v>38</v>
      </c>
      <c r="H1353" t="s">
        <v>147</v>
      </c>
      <c r="J1353" t="s">
        <v>123</v>
      </c>
      <c r="K1353" s="3">
        <v>11000</v>
      </c>
      <c r="L1353" t="s">
        <v>825</v>
      </c>
      <c r="M1353" t="s">
        <v>1109</v>
      </c>
      <c r="O1353" s="4">
        <v>0.15</v>
      </c>
      <c r="P1353" s="3">
        <v>1650</v>
      </c>
    </row>
    <row r="1354" spans="1:16" ht="15" customHeight="1" x14ac:dyDescent="0.3">
      <c r="A1354">
        <v>2022</v>
      </c>
      <c r="B1354" s="2">
        <v>44890</v>
      </c>
      <c r="C1354" t="s">
        <v>389</v>
      </c>
      <c r="D1354" t="s">
        <v>1003</v>
      </c>
      <c r="F1354" t="s">
        <v>20</v>
      </c>
      <c r="G1354" t="s">
        <v>38</v>
      </c>
      <c r="H1354" t="s">
        <v>147</v>
      </c>
      <c r="J1354" t="s">
        <v>123</v>
      </c>
      <c r="K1354" s="3">
        <v>4604.28</v>
      </c>
      <c r="L1354" t="s">
        <v>825</v>
      </c>
      <c r="M1354" t="s">
        <v>1110</v>
      </c>
      <c r="O1354" s="4">
        <v>0.15</v>
      </c>
      <c r="P1354" s="3">
        <v>690.64200000000005</v>
      </c>
    </row>
    <row r="1355" spans="1:16" ht="15" customHeight="1" x14ac:dyDescent="0.3">
      <c r="A1355">
        <v>2022</v>
      </c>
      <c r="B1355" s="2">
        <v>44895</v>
      </c>
      <c r="C1355" t="s">
        <v>389</v>
      </c>
      <c r="D1355" t="s">
        <v>61</v>
      </c>
      <c r="F1355" t="s">
        <v>20</v>
      </c>
      <c r="G1355" t="s">
        <v>21</v>
      </c>
      <c r="H1355" t="s">
        <v>22</v>
      </c>
      <c r="I1355" t="s">
        <v>306</v>
      </c>
      <c r="J1355" t="s">
        <v>110</v>
      </c>
      <c r="K1355" s="3">
        <v>12392.36</v>
      </c>
      <c r="L1355" t="s">
        <v>825</v>
      </c>
      <c r="M1355" t="s">
        <v>1111</v>
      </c>
      <c r="O1355" s="4">
        <v>0.12711864406779699</v>
      </c>
      <c r="P1355" s="3">
        <v>1575.30000000001</v>
      </c>
    </row>
    <row r="1356" spans="1:16" ht="15" customHeight="1" x14ac:dyDescent="0.3">
      <c r="A1356">
        <v>2022</v>
      </c>
      <c r="B1356" s="2">
        <v>44902</v>
      </c>
      <c r="C1356" t="s">
        <v>416</v>
      </c>
      <c r="D1356" t="s">
        <v>283</v>
      </c>
      <c r="F1356" t="s">
        <v>20</v>
      </c>
      <c r="G1356" t="s">
        <v>21</v>
      </c>
      <c r="H1356" t="s">
        <v>22</v>
      </c>
      <c r="I1356" t="s">
        <v>23</v>
      </c>
      <c r="J1356" t="s">
        <v>110</v>
      </c>
      <c r="K1356" s="3">
        <v>4572.58</v>
      </c>
      <c r="L1356" t="s">
        <v>793</v>
      </c>
      <c r="M1356" t="s">
        <v>1112</v>
      </c>
      <c r="O1356" s="4">
        <v>0.13688114806083199</v>
      </c>
      <c r="P1356" s="3">
        <v>625.89999999999895</v>
      </c>
    </row>
    <row r="1357" spans="1:16" ht="15" customHeight="1" x14ac:dyDescent="0.3">
      <c r="A1357">
        <v>2022</v>
      </c>
      <c r="B1357" s="2">
        <v>44902</v>
      </c>
      <c r="C1357" t="s">
        <v>416</v>
      </c>
      <c r="D1357" t="s">
        <v>1113</v>
      </c>
      <c r="F1357" t="s">
        <v>20</v>
      </c>
      <c r="G1357" t="s">
        <v>21</v>
      </c>
      <c r="H1357" t="s">
        <v>22</v>
      </c>
      <c r="I1357" t="s">
        <v>23</v>
      </c>
      <c r="J1357" t="s">
        <v>110</v>
      </c>
      <c r="K1357" s="3">
        <v>19140</v>
      </c>
      <c r="L1357" t="s">
        <v>793</v>
      </c>
      <c r="M1357" t="s">
        <v>1114</v>
      </c>
      <c r="O1357" s="4">
        <v>0.113901776384535</v>
      </c>
      <c r="P1357" s="3">
        <v>2180.08</v>
      </c>
    </row>
    <row r="1358" spans="1:16" ht="15" customHeight="1" x14ac:dyDescent="0.3">
      <c r="A1358">
        <v>2022</v>
      </c>
      <c r="B1358" s="2">
        <v>44909</v>
      </c>
      <c r="C1358" t="s">
        <v>416</v>
      </c>
      <c r="D1358" t="s">
        <v>746</v>
      </c>
      <c r="F1358" t="s">
        <v>20</v>
      </c>
      <c r="G1358" t="s">
        <v>21</v>
      </c>
      <c r="H1358" t="s">
        <v>22</v>
      </c>
      <c r="I1358" t="s">
        <v>141</v>
      </c>
      <c r="J1358" t="s">
        <v>110</v>
      </c>
      <c r="K1358" s="3">
        <v>11790</v>
      </c>
      <c r="L1358" t="s">
        <v>793</v>
      </c>
      <c r="M1358" t="s">
        <v>1115</v>
      </c>
      <c r="O1358" s="4">
        <v>0.182188295165394</v>
      </c>
      <c r="P1358" s="3">
        <v>2148</v>
      </c>
    </row>
    <row r="1359" spans="1:16" ht="15" customHeight="1" x14ac:dyDescent="0.3">
      <c r="A1359">
        <v>2022</v>
      </c>
      <c r="B1359" s="2">
        <v>44909</v>
      </c>
      <c r="C1359" t="s">
        <v>416</v>
      </c>
      <c r="D1359" t="s">
        <v>937</v>
      </c>
      <c r="F1359" t="s">
        <v>20</v>
      </c>
      <c r="G1359" t="s">
        <v>21</v>
      </c>
      <c r="H1359" t="s">
        <v>128</v>
      </c>
      <c r="I1359" t="s">
        <v>23</v>
      </c>
      <c r="J1359" t="s">
        <v>123</v>
      </c>
      <c r="K1359" s="3">
        <v>79990.98</v>
      </c>
      <c r="L1359" t="s">
        <v>793</v>
      </c>
      <c r="M1359" t="s">
        <v>1116</v>
      </c>
      <c r="O1359" s="4">
        <v>0.17131269050585499</v>
      </c>
      <c r="P1359" s="3">
        <v>13703.47</v>
      </c>
    </row>
    <row r="1360" spans="1:16" ht="15" customHeight="1" x14ac:dyDescent="0.3">
      <c r="A1360">
        <v>2022</v>
      </c>
      <c r="B1360" s="2">
        <v>44916</v>
      </c>
      <c r="C1360" t="s">
        <v>416</v>
      </c>
      <c r="D1360" t="s">
        <v>462</v>
      </c>
      <c r="F1360" t="s">
        <v>20</v>
      </c>
      <c r="G1360" t="s">
        <v>21</v>
      </c>
      <c r="H1360" t="s">
        <v>22</v>
      </c>
      <c r="I1360" t="s">
        <v>136</v>
      </c>
      <c r="J1360" t="s">
        <v>110</v>
      </c>
      <c r="K1360" s="3">
        <v>288</v>
      </c>
      <c r="L1360" t="s">
        <v>793</v>
      </c>
      <c r="M1360" t="s">
        <v>1117</v>
      </c>
      <c r="O1360" s="4">
        <v>0.25</v>
      </c>
      <c r="P1360" s="3">
        <v>72</v>
      </c>
    </row>
    <row r="1361" spans="1:17" ht="15" customHeight="1" x14ac:dyDescent="0.3">
      <c r="A1361">
        <v>2022</v>
      </c>
      <c r="B1361" s="2">
        <v>44916</v>
      </c>
      <c r="C1361" t="s">
        <v>416</v>
      </c>
      <c r="D1361" t="s">
        <v>1118</v>
      </c>
      <c r="F1361" t="s">
        <v>20</v>
      </c>
      <c r="G1361" t="s">
        <v>107</v>
      </c>
      <c r="H1361" t="s">
        <v>108</v>
      </c>
      <c r="I1361" t="s">
        <v>306</v>
      </c>
      <c r="J1361" t="s">
        <v>50</v>
      </c>
      <c r="K1361" s="3">
        <v>4202839.5677966103</v>
      </c>
      <c r="L1361" t="s">
        <v>793</v>
      </c>
      <c r="M1361" t="s">
        <v>1119</v>
      </c>
      <c r="O1361" s="4">
        <v>0.14176010061510699</v>
      </c>
      <c r="P1361" s="3">
        <v>595794.96</v>
      </c>
    </row>
    <row r="1362" spans="1:17" ht="15" customHeight="1" x14ac:dyDescent="0.3">
      <c r="A1362">
        <v>2022</v>
      </c>
      <c r="B1362" s="2">
        <v>44918</v>
      </c>
      <c r="C1362" t="s">
        <v>416</v>
      </c>
      <c r="D1362" t="s">
        <v>28</v>
      </c>
      <c r="F1362" t="s">
        <v>20</v>
      </c>
      <c r="G1362" t="s">
        <v>21</v>
      </c>
      <c r="H1362" t="s">
        <v>22</v>
      </c>
      <c r="I1362" t="s">
        <v>23</v>
      </c>
      <c r="J1362" t="s">
        <v>110</v>
      </c>
      <c r="K1362" s="3">
        <v>64960</v>
      </c>
      <c r="L1362" t="s">
        <v>793</v>
      </c>
      <c r="M1362" t="s">
        <v>1120</v>
      </c>
      <c r="O1362" s="4">
        <v>0.135129310344828</v>
      </c>
      <c r="P1362" s="3">
        <v>8778.0000000000291</v>
      </c>
    </row>
    <row r="1363" spans="1:17" ht="15" customHeight="1" x14ac:dyDescent="0.3">
      <c r="A1363">
        <v>2022</v>
      </c>
      <c r="B1363" s="2">
        <v>44925</v>
      </c>
      <c r="C1363" t="s">
        <v>416</v>
      </c>
      <c r="D1363" t="s">
        <v>155</v>
      </c>
      <c r="F1363" t="s">
        <v>20</v>
      </c>
      <c r="G1363" t="s">
        <v>38</v>
      </c>
      <c r="H1363" t="s">
        <v>39</v>
      </c>
      <c r="I1363" t="s">
        <v>23</v>
      </c>
      <c r="J1363" t="s">
        <v>110</v>
      </c>
      <c r="K1363" s="3">
        <v>2412.86</v>
      </c>
      <c r="L1363" t="s">
        <v>793</v>
      </c>
      <c r="M1363" t="s">
        <v>1121</v>
      </c>
      <c r="O1363" s="4">
        <v>0.30000082889185498</v>
      </c>
      <c r="P1363" s="3">
        <v>723.86000000000104</v>
      </c>
    </row>
    <row r="1364" spans="1:17" ht="15" customHeight="1" x14ac:dyDescent="0.3">
      <c r="A1364">
        <v>2022</v>
      </c>
      <c r="B1364" s="2">
        <v>44925</v>
      </c>
      <c r="C1364" t="s">
        <v>416</v>
      </c>
      <c r="D1364" t="s">
        <v>816</v>
      </c>
      <c r="F1364" t="s">
        <v>20</v>
      </c>
      <c r="G1364" t="s">
        <v>107</v>
      </c>
      <c r="H1364" t="s">
        <v>108</v>
      </c>
      <c r="I1364" t="s">
        <v>23</v>
      </c>
      <c r="J1364" t="s">
        <v>50</v>
      </c>
      <c r="K1364" s="3">
        <v>220842.88</v>
      </c>
      <c r="L1364" t="s">
        <v>793</v>
      </c>
      <c r="M1364" t="s">
        <v>1122</v>
      </c>
      <c r="O1364" s="4">
        <v>0.17249992392781699</v>
      </c>
      <c r="P1364" s="3">
        <v>38095.379999999997</v>
      </c>
    </row>
    <row r="1365" spans="1:17" ht="15" customHeight="1" x14ac:dyDescent="0.3">
      <c r="A1365">
        <v>2022</v>
      </c>
      <c r="B1365" s="2">
        <v>44925</v>
      </c>
      <c r="C1365" t="s">
        <v>416</v>
      </c>
      <c r="D1365" t="s">
        <v>786</v>
      </c>
      <c r="F1365" t="s">
        <v>20</v>
      </c>
      <c r="G1365" t="s">
        <v>21</v>
      </c>
      <c r="H1365" t="s">
        <v>22</v>
      </c>
      <c r="I1365" t="s">
        <v>23</v>
      </c>
      <c r="J1365" t="s">
        <v>110</v>
      </c>
      <c r="K1365" s="3">
        <v>853.33</v>
      </c>
      <c r="L1365" t="s">
        <v>825</v>
      </c>
      <c r="M1365" t="s">
        <v>1123</v>
      </c>
      <c r="O1365" s="4">
        <v>0.15</v>
      </c>
      <c r="P1365" s="3">
        <v>127.9995</v>
      </c>
    </row>
    <row r="1366" spans="1:17" ht="15" customHeight="1" x14ac:dyDescent="0.3">
      <c r="A1366">
        <v>2023</v>
      </c>
      <c r="B1366" s="2">
        <v>44928</v>
      </c>
      <c r="C1366" t="s">
        <v>17</v>
      </c>
      <c r="D1366" t="s">
        <v>1113</v>
      </c>
      <c r="F1366" t="s">
        <v>20</v>
      </c>
      <c r="G1366" t="s">
        <v>21</v>
      </c>
      <c r="H1366" t="s">
        <v>22</v>
      </c>
      <c r="I1366" t="s">
        <v>23</v>
      </c>
      <c r="J1366" t="s">
        <v>110</v>
      </c>
      <c r="K1366" s="3">
        <v>2170</v>
      </c>
      <c r="L1366" t="s">
        <v>825</v>
      </c>
      <c r="M1366" t="s">
        <v>1124</v>
      </c>
      <c r="O1366" s="4">
        <v>0.15</v>
      </c>
      <c r="P1366" s="3">
        <v>325.5</v>
      </c>
      <c r="Q1366" t="s">
        <v>1125</v>
      </c>
    </row>
    <row r="1367" spans="1:17" ht="15" customHeight="1" x14ac:dyDescent="0.3">
      <c r="A1367">
        <v>2023</v>
      </c>
      <c r="B1367" s="2">
        <v>44946</v>
      </c>
      <c r="C1367" t="s">
        <v>17</v>
      </c>
      <c r="D1367" t="s">
        <v>61</v>
      </c>
      <c r="F1367" t="s">
        <v>20</v>
      </c>
      <c r="G1367" t="s">
        <v>21</v>
      </c>
      <c r="H1367" t="s">
        <v>22</v>
      </c>
      <c r="I1367" t="s">
        <v>306</v>
      </c>
      <c r="J1367" t="s">
        <v>50</v>
      </c>
      <c r="K1367" s="3">
        <v>282265.87</v>
      </c>
      <c r="L1367" t="s">
        <v>793</v>
      </c>
      <c r="M1367" t="s">
        <v>1126</v>
      </c>
      <c r="O1367" s="4">
        <v>0.168507478428051</v>
      </c>
      <c r="P1367" s="3">
        <v>47563.910000000098</v>
      </c>
      <c r="Q1367" t="s">
        <v>1127</v>
      </c>
    </row>
    <row r="1368" spans="1:17" ht="15" customHeight="1" x14ac:dyDescent="0.3">
      <c r="A1368">
        <v>2023</v>
      </c>
      <c r="B1368" s="2">
        <v>44949</v>
      </c>
      <c r="C1368" t="s">
        <v>17</v>
      </c>
      <c r="D1368" t="s">
        <v>155</v>
      </c>
      <c r="F1368" t="s">
        <v>20</v>
      </c>
      <c r="G1368" t="s">
        <v>38</v>
      </c>
      <c r="H1368" t="s">
        <v>39</v>
      </c>
      <c r="I1368" t="s">
        <v>23</v>
      </c>
      <c r="J1368" t="s">
        <v>50</v>
      </c>
      <c r="K1368" s="3">
        <v>388659.04</v>
      </c>
      <c r="L1368" t="s">
        <v>793</v>
      </c>
      <c r="M1368" t="s">
        <v>1128</v>
      </c>
      <c r="O1368" s="4">
        <v>0.18378466122903001</v>
      </c>
      <c r="P1368" s="3">
        <v>71429.570000000007</v>
      </c>
      <c r="Q1368" t="s">
        <v>1129</v>
      </c>
    </row>
    <row r="1369" spans="1:17" ht="15" customHeight="1" x14ac:dyDescent="0.3">
      <c r="A1369">
        <v>2023</v>
      </c>
      <c r="B1369" s="2">
        <v>44958</v>
      </c>
      <c r="C1369" t="s">
        <v>71</v>
      </c>
      <c r="D1369" t="s">
        <v>61</v>
      </c>
      <c r="F1369" t="s">
        <v>20</v>
      </c>
      <c r="G1369" t="s">
        <v>21</v>
      </c>
      <c r="H1369" t="s">
        <v>22</v>
      </c>
      <c r="I1369" t="s">
        <v>306</v>
      </c>
      <c r="J1369" t="s">
        <v>123</v>
      </c>
      <c r="K1369" s="3">
        <v>4151.62</v>
      </c>
      <c r="L1369" t="s">
        <v>793</v>
      </c>
      <c r="M1369" t="s">
        <v>1130</v>
      </c>
      <c r="O1369" s="4">
        <v>0.146781256473377</v>
      </c>
      <c r="P1369" s="3">
        <v>609.38000000000204</v>
      </c>
      <c r="Q1369" t="s">
        <v>1131</v>
      </c>
    </row>
    <row r="1370" spans="1:17" ht="15" customHeight="1" x14ac:dyDescent="0.3">
      <c r="A1370">
        <v>2023</v>
      </c>
      <c r="B1370" s="2">
        <v>44958</v>
      </c>
      <c r="C1370" t="s">
        <v>71</v>
      </c>
      <c r="D1370" t="s">
        <v>1132</v>
      </c>
      <c r="F1370" t="s">
        <v>20</v>
      </c>
      <c r="G1370" t="s">
        <v>107</v>
      </c>
      <c r="H1370" t="s">
        <v>108</v>
      </c>
      <c r="J1370" t="s">
        <v>110</v>
      </c>
      <c r="K1370" s="3">
        <v>6782.81</v>
      </c>
      <c r="L1370" t="s">
        <v>793</v>
      </c>
      <c r="M1370" t="s">
        <v>1133</v>
      </c>
      <c r="O1370" s="4">
        <v>0.17346203122304801</v>
      </c>
      <c r="P1370" s="3">
        <v>1176.56</v>
      </c>
      <c r="Q1370" t="s">
        <v>1134</v>
      </c>
    </row>
    <row r="1371" spans="1:17" ht="15" customHeight="1" x14ac:dyDescent="0.3">
      <c r="A1371">
        <v>2023</v>
      </c>
      <c r="B1371" s="2">
        <v>44960</v>
      </c>
      <c r="C1371" t="s">
        <v>71</v>
      </c>
      <c r="D1371" t="s">
        <v>59</v>
      </c>
      <c r="F1371" t="s">
        <v>20</v>
      </c>
      <c r="G1371" t="s">
        <v>21</v>
      </c>
      <c r="H1371" t="s">
        <v>22</v>
      </c>
      <c r="I1371" t="s">
        <v>23</v>
      </c>
      <c r="J1371" t="s">
        <v>50</v>
      </c>
      <c r="K1371" s="3">
        <v>970</v>
      </c>
      <c r="L1371" t="s">
        <v>793</v>
      </c>
      <c r="M1371" t="s">
        <v>1135</v>
      </c>
      <c r="O1371" s="4">
        <v>0.15</v>
      </c>
      <c r="P1371" s="3">
        <v>145.5</v>
      </c>
      <c r="Q1371" t="s">
        <v>1136</v>
      </c>
    </row>
    <row r="1372" spans="1:17" ht="15" customHeight="1" x14ac:dyDescent="0.3">
      <c r="A1372">
        <v>2023</v>
      </c>
      <c r="B1372" s="2">
        <v>44965</v>
      </c>
      <c r="C1372" t="s">
        <v>71</v>
      </c>
      <c r="D1372" t="s">
        <v>816</v>
      </c>
      <c r="F1372" t="s">
        <v>20</v>
      </c>
      <c r="G1372" t="s">
        <v>107</v>
      </c>
      <c r="H1372" t="s">
        <v>108</v>
      </c>
      <c r="I1372" t="s">
        <v>23</v>
      </c>
      <c r="J1372" t="s">
        <v>50</v>
      </c>
      <c r="K1372" s="3">
        <v>149368.07</v>
      </c>
      <c r="L1372" t="s">
        <v>793</v>
      </c>
      <c r="M1372" t="s">
        <v>1137</v>
      </c>
      <c r="O1372" s="4">
        <v>0.183544448288045</v>
      </c>
      <c r="P1372" s="3">
        <v>27415.680000000099</v>
      </c>
      <c r="Q1372" t="s">
        <v>1138</v>
      </c>
    </row>
    <row r="1373" spans="1:17" ht="15" customHeight="1" x14ac:dyDescent="0.3">
      <c r="A1373">
        <v>2023</v>
      </c>
      <c r="B1373" s="2">
        <v>44966</v>
      </c>
      <c r="C1373" t="s">
        <v>71</v>
      </c>
      <c r="D1373" t="s">
        <v>776</v>
      </c>
      <c r="F1373" t="s">
        <v>20</v>
      </c>
      <c r="G1373" t="s">
        <v>38</v>
      </c>
      <c r="H1373" t="s">
        <v>147</v>
      </c>
      <c r="I1373" t="s">
        <v>136</v>
      </c>
      <c r="J1373" t="s">
        <v>50</v>
      </c>
      <c r="K1373" s="3">
        <v>6000</v>
      </c>
      <c r="L1373" t="s">
        <v>825</v>
      </c>
      <c r="M1373" t="s">
        <v>1139</v>
      </c>
      <c r="O1373" s="4">
        <v>0.15</v>
      </c>
      <c r="P1373" s="3">
        <v>900</v>
      </c>
      <c r="Q1373" t="s">
        <v>1140</v>
      </c>
    </row>
    <row r="1374" spans="1:17" ht="15" customHeight="1" x14ac:dyDescent="0.3">
      <c r="A1374">
        <v>2023</v>
      </c>
      <c r="B1374" s="2">
        <v>44966</v>
      </c>
      <c r="C1374" t="s">
        <v>71</v>
      </c>
      <c r="D1374" t="s">
        <v>773</v>
      </c>
      <c r="F1374" t="s">
        <v>20</v>
      </c>
      <c r="G1374" t="s">
        <v>38</v>
      </c>
      <c r="H1374" t="s">
        <v>39</v>
      </c>
      <c r="I1374" t="s">
        <v>136</v>
      </c>
      <c r="J1374" t="s">
        <v>110</v>
      </c>
      <c r="K1374" s="3">
        <v>2825.97</v>
      </c>
      <c r="L1374" t="s">
        <v>825</v>
      </c>
      <c r="M1374" t="s">
        <v>1141</v>
      </c>
      <c r="O1374" s="4">
        <v>0.15</v>
      </c>
      <c r="P1374" s="3">
        <v>423.89550000000003</v>
      </c>
      <c r="Q1374" t="s">
        <v>1142</v>
      </c>
    </row>
    <row r="1375" spans="1:17" ht="15" customHeight="1" x14ac:dyDescent="0.3">
      <c r="A1375">
        <v>2023</v>
      </c>
      <c r="B1375" s="2">
        <v>44979</v>
      </c>
      <c r="C1375" t="s">
        <v>71</v>
      </c>
      <c r="D1375" t="s">
        <v>746</v>
      </c>
      <c r="F1375" t="s">
        <v>20</v>
      </c>
      <c r="G1375" t="s">
        <v>21</v>
      </c>
      <c r="H1375" t="s">
        <v>22</v>
      </c>
      <c r="I1375" t="s">
        <v>141</v>
      </c>
      <c r="J1375" t="s">
        <v>50</v>
      </c>
      <c r="K1375" s="3">
        <v>370</v>
      </c>
      <c r="L1375" t="s">
        <v>793</v>
      </c>
      <c r="M1375" t="s">
        <v>1143</v>
      </c>
      <c r="O1375" s="4">
        <v>0.15</v>
      </c>
      <c r="P1375" s="3">
        <v>55.5</v>
      </c>
      <c r="Q1375" t="s">
        <v>1144</v>
      </c>
    </row>
    <row r="1376" spans="1:17" ht="15" customHeight="1" x14ac:dyDescent="0.3">
      <c r="A1376">
        <v>2023</v>
      </c>
      <c r="B1376" s="2">
        <v>44979</v>
      </c>
      <c r="C1376" t="s">
        <v>71</v>
      </c>
      <c r="D1376" t="s">
        <v>791</v>
      </c>
      <c r="F1376" t="s">
        <v>20</v>
      </c>
      <c r="G1376" t="s">
        <v>21</v>
      </c>
      <c r="H1376" t="s">
        <v>22</v>
      </c>
      <c r="I1376" t="s">
        <v>23</v>
      </c>
      <c r="J1376" t="s">
        <v>123</v>
      </c>
      <c r="K1376" s="3">
        <v>237452.36237288101</v>
      </c>
      <c r="L1376" t="s">
        <v>793</v>
      </c>
      <c r="M1376" t="s">
        <v>1145</v>
      </c>
      <c r="O1376" s="4">
        <v>0.19181093649629499</v>
      </c>
      <c r="P1376" s="3">
        <v>45545.959999999897</v>
      </c>
      <c r="Q1376" t="s">
        <v>1146</v>
      </c>
    </row>
    <row r="1377" spans="1:17" ht="15" customHeight="1" x14ac:dyDescent="0.3">
      <c r="A1377">
        <v>2023</v>
      </c>
      <c r="B1377" s="2">
        <v>44979</v>
      </c>
      <c r="C1377" t="s">
        <v>71</v>
      </c>
      <c r="D1377" t="s">
        <v>40</v>
      </c>
      <c r="F1377" t="s">
        <v>20</v>
      </c>
      <c r="G1377" t="s">
        <v>21</v>
      </c>
      <c r="H1377" t="s">
        <v>22</v>
      </c>
      <c r="I1377" t="s">
        <v>49</v>
      </c>
      <c r="J1377" t="s">
        <v>50</v>
      </c>
      <c r="K1377" s="3">
        <v>5748</v>
      </c>
      <c r="L1377" t="s">
        <v>793</v>
      </c>
      <c r="M1377" t="s">
        <v>1147</v>
      </c>
      <c r="O1377" s="4">
        <v>0.15</v>
      </c>
      <c r="P1377" s="3">
        <v>862.2</v>
      </c>
      <c r="Q1377" t="s">
        <v>1148</v>
      </c>
    </row>
    <row r="1378" spans="1:17" ht="15" customHeight="1" x14ac:dyDescent="0.3">
      <c r="A1378">
        <v>2023</v>
      </c>
      <c r="B1378" s="2">
        <v>44979</v>
      </c>
      <c r="C1378" t="s">
        <v>71</v>
      </c>
      <c r="D1378" t="s">
        <v>1118</v>
      </c>
      <c r="E1378" t="s">
        <v>1149</v>
      </c>
      <c r="F1378" t="s">
        <v>20</v>
      </c>
      <c r="G1378" t="s">
        <v>107</v>
      </c>
      <c r="H1378" t="s">
        <v>108</v>
      </c>
      <c r="I1378" t="s">
        <v>306</v>
      </c>
      <c r="J1378" t="s">
        <v>50</v>
      </c>
      <c r="K1378" s="3">
        <v>100000</v>
      </c>
      <c r="L1378" t="s">
        <v>825</v>
      </c>
      <c r="M1378" t="s">
        <v>1150</v>
      </c>
      <c r="O1378" s="4">
        <v>0.15</v>
      </c>
      <c r="P1378" s="3">
        <v>15000</v>
      </c>
      <c r="Q1378" t="s">
        <v>1151</v>
      </c>
    </row>
    <row r="1379" spans="1:17" ht="15" customHeight="1" x14ac:dyDescent="0.3">
      <c r="A1379">
        <v>2023</v>
      </c>
      <c r="B1379" s="2">
        <v>44984</v>
      </c>
      <c r="C1379" t="s">
        <v>71</v>
      </c>
      <c r="D1379" t="s">
        <v>675</v>
      </c>
      <c r="F1379" t="s">
        <v>20</v>
      </c>
      <c r="G1379" t="s">
        <v>38</v>
      </c>
      <c r="H1379" t="s">
        <v>147</v>
      </c>
      <c r="I1379" t="s">
        <v>306</v>
      </c>
      <c r="J1379" t="s">
        <v>50</v>
      </c>
      <c r="K1379" s="3">
        <v>2847.69</v>
      </c>
      <c r="L1379" t="s">
        <v>825</v>
      </c>
      <c r="M1379" t="s">
        <v>1152</v>
      </c>
      <c r="O1379" s="4"/>
      <c r="P1379" s="3"/>
      <c r="Q1379" t="s">
        <v>1153</v>
      </c>
    </row>
    <row r="1380" spans="1:17" ht="15" customHeight="1" x14ac:dyDescent="0.3">
      <c r="A1380">
        <v>2023</v>
      </c>
      <c r="B1380" s="2">
        <v>44986</v>
      </c>
      <c r="C1380" t="s">
        <v>137</v>
      </c>
      <c r="D1380" t="s">
        <v>1026</v>
      </c>
      <c r="F1380" t="s">
        <v>20</v>
      </c>
      <c r="G1380" t="s">
        <v>107</v>
      </c>
      <c r="H1380" t="s">
        <v>108</v>
      </c>
      <c r="I1380" t="s">
        <v>23</v>
      </c>
      <c r="J1380" t="s">
        <v>759</v>
      </c>
      <c r="K1380" s="3">
        <v>13888.41</v>
      </c>
      <c r="L1380" t="s">
        <v>825</v>
      </c>
      <c r="M1380" t="s">
        <v>1154</v>
      </c>
      <c r="O1380" s="4">
        <v>0.15</v>
      </c>
      <c r="P1380" s="3">
        <v>2083.2615000000001</v>
      </c>
      <c r="Q1380" t="s">
        <v>1155</v>
      </c>
    </row>
    <row r="1381" spans="1:17" ht="15" customHeight="1" x14ac:dyDescent="0.3">
      <c r="A1381">
        <v>2023</v>
      </c>
      <c r="B1381" s="2">
        <v>44987</v>
      </c>
      <c r="C1381" t="s">
        <v>137</v>
      </c>
      <c r="D1381" t="s">
        <v>791</v>
      </c>
      <c r="F1381" t="s">
        <v>20</v>
      </c>
      <c r="G1381" t="s">
        <v>21</v>
      </c>
      <c r="H1381" t="s">
        <v>22</v>
      </c>
      <c r="I1381" t="s">
        <v>306</v>
      </c>
      <c r="J1381" t="s">
        <v>123</v>
      </c>
      <c r="K1381" s="3">
        <v>224371.24</v>
      </c>
      <c r="L1381" t="s">
        <v>793</v>
      </c>
      <c r="M1381" t="s">
        <v>1156</v>
      </c>
      <c r="O1381" s="4">
        <v>0.16667965109966901</v>
      </c>
      <c r="P1381" s="3">
        <v>37398.120000000097</v>
      </c>
      <c r="Q1381" t="s">
        <v>1157</v>
      </c>
    </row>
    <row r="1382" spans="1:17" ht="15" customHeight="1" x14ac:dyDescent="0.3">
      <c r="A1382">
        <v>2023</v>
      </c>
      <c r="B1382" s="2">
        <v>44991</v>
      </c>
      <c r="C1382" t="s">
        <v>137</v>
      </c>
      <c r="D1382" t="s">
        <v>1026</v>
      </c>
      <c r="F1382" t="s">
        <v>20</v>
      </c>
      <c r="G1382" t="s">
        <v>107</v>
      </c>
      <c r="H1382" t="s">
        <v>108</v>
      </c>
      <c r="I1382" t="s">
        <v>23</v>
      </c>
      <c r="J1382" t="s">
        <v>759</v>
      </c>
      <c r="K1382" s="3">
        <v>13888.41</v>
      </c>
      <c r="L1382" t="s">
        <v>825</v>
      </c>
      <c r="M1382" t="s">
        <v>1154</v>
      </c>
      <c r="O1382" s="4">
        <v>0.15</v>
      </c>
      <c r="P1382" s="3">
        <v>2083.2615000000001</v>
      </c>
      <c r="Q1382" t="s">
        <v>1155</v>
      </c>
    </row>
    <row r="1383" spans="1:17" ht="15" customHeight="1" x14ac:dyDescent="0.3">
      <c r="A1383">
        <v>2023</v>
      </c>
      <c r="B1383" s="2">
        <v>44993</v>
      </c>
      <c r="C1383" t="s">
        <v>137</v>
      </c>
      <c r="D1383" t="s">
        <v>45</v>
      </c>
      <c r="F1383" t="s">
        <v>20</v>
      </c>
      <c r="G1383" t="s">
        <v>38</v>
      </c>
      <c r="H1383" t="s">
        <v>39</v>
      </c>
      <c r="I1383" t="s">
        <v>136</v>
      </c>
      <c r="J1383" t="s">
        <v>50</v>
      </c>
      <c r="K1383" s="3">
        <v>86675.43</v>
      </c>
      <c r="L1383" t="s">
        <v>793</v>
      </c>
      <c r="M1383" t="s">
        <v>1158</v>
      </c>
      <c r="O1383" s="4">
        <v>0.330337443956148</v>
      </c>
      <c r="P1383" s="3">
        <v>28632.14</v>
      </c>
      <c r="Q1383" t="s">
        <v>1159</v>
      </c>
    </row>
    <row r="1384" spans="1:17" ht="15" customHeight="1" x14ac:dyDescent="0.3">
      <c r="A1384">
        <v>2023</v>
      </c>
      <c r="B1384" s="2">
        <v>44993</v>
      </c>
      <c r="C1384" t="s">
        <v>137</v>
      </c>
      <c r="D1384" t="s">
        <v>1007</v>
      </c>
      <c r="F1384" t="s">
        <v>20</v>
      </c>
      <c r="G1384" t="s">
        <v>38</v>
      </c>
      <c r="H1384" t="s">
        <v>39</v>
      </c>
      <c r="I1384" t="s">
        <v>306</v>
      </c>
      <c r="J1384" t="s">
        <v>123</v>
      </c>
      <c r="K1384" s="3">
        <v>950</v>
      </c>
      <c r="L1384" t="s">
        <v>793</v>
      </c>
      <c r="M1384" t="s">
        <v>1160</v>
      </c>
      <c r="O1384" s="4">
        <v>5.5389473684210502E-2</v>
      </c>
      <c r="P1384" s="3">
        <v>52.62</v>
      </c>
      <c r="Q1384" t="s">
        <v>1161</v>
      </c>
    </row>
    <row r="1385" spans="1:17" ht="15" customHeight="1" x14ac:dyDescent="0.3">
      <c r="A1385">
        <v>2023</v>
      </c>
      <c r="B1385" s="2">
        <v>44993</v>
      </c>
      <c r="C1385" t="s">
        <v>137</v>
      </c>
      <c r="D1385" t="s">
        <v>675</v>
      </c>
      <c r="F1385" t="s">
        <v>20</v>
      </c>
      <c r="G1385" t="s">
        <v>38</v>
      </c>
      <c r="H1385" t="s">
        <v>147</v>
      </c>
      <c r="I1385" t="s">
        <v>306</v>
      </c>
      <c r="J1385" t="s">
        <v>50</v>
      </c>
      <c r="K1385" s="3">
        <v>2847.69</v>
      </c>
      <c r="L1385" t="s">
        <v>825</v>
      </c>
      <c r="M1385" t="s">
        <v>1162</v>
      </c>
      <c r="O1385" s="4">
        <v>0.15</v>
      </c>
      <c r="P1385" s="3">
        <v>427.15350000000001</v>
      </c>
      <c r="Q1385" t="s">
        <v>1153</v>
      </c>
    </row>
    <row r="1386" spans="1:17" ht="15" customHeight="1" x14ac:dyDescent="0.3">
      <c r="A1386">
        <v>2023</v>
      </c>
      <c r="B1386" s="2">
        <v>44994</v>
      </c>
      <c r="C1386" t="s">
        <v>137</v>
      </c>
      <c r="D1386" t="s">
        <v>1007</v>
      </c>
      <c r="F1386" t="s">
        <v>20</v>
      </c>
      <c r="G1386" t="s">
        <v>38</v>
      </c>
      <c r="H1386" t="s">
        <v>39</v>
      </c>
      <c r="I1386" t="s">
        <v>306</v>
      </c>
      <c r="J1386" t="s">
        <v>123</v>
      </c>
      <c r="K1386" s="3">
        <v>1763102.11</v>
      </c>
      <c r="L1386" t="s">
        <v>793</v>
      </c>
      <c r="M1386" t="s">
        <v>1163</v>
      </c>
      <c r="O1386" s="4">
        <v>0.12230751626745</v>
      </c>
      <c r="P1386" s="3">
        <v>215640.64</v>
      </c>
      <c r="Q1386" t="s">
        <v>1164</v>
      </c>
    </row>
    <row r="1387" spans="1:17" ht="15" customHeight="1" x14ac:dyDescent="0.3">
      <c r="A1387">
        <v>2023</v>
      </c>
      <c r="B1387" s="2">
        <v>44999</v>
      </c>
      <c r="C1387" t="s">
        <v>137</v>
      </c>
      <c r="D1387" t="s">
        <v>283</v>
      </c>
      <c r="F1387" t="s">
        <v>20</v>
      </c>
      <c r="G1387" t="s">
        <v>21</v>
      </c>
      <c r="H1387" t="s">
        <v>22</v>
      </c>
      <c r="I1387" t="s">
        <v>23</v>
      </c>
      <c r="J1387" t="s">
        <v>123</v>
      </c>
      <c r="K1387" s="3">
        <v>540</v>
      </c>
      <c r="L1387" t="s">
        <v>825</v>
      </c>
      <c r="M1387" t="s">
        <v>1165</v>
      </c>
      <c r="O1387" s="4">
        <v>0.15</v>
      </c>
      <c r="P1387" s="3">
        <v>81</v>
      </c>
      <c r="Q1387" t="s">
        <v>1166</v>
      </c>
    </row>
    <row r="1388" spans="1:17" ht="15" customHeight="1" x14ac:dyDescent="0.3">
      <c r="A1388">
        <v>2023</v>
      </c>
      <c r="B1388" s="2">
        <v>45001</v>
      </c>
      <c r="C1388" t="s">
        <v>137</v>
      </c>
      <c r="D1388" t="s">
        <v>816</v>
      </c>
      <c r="F1388" t="s">
        <v>20</v>
      </c>
      <c r="G1388" t="s">
        <v>107</v>
      </c>
      <c r="H1388" t="s">
        <v>108</v>
      </c>
      <c r="I1388" t="s">
        <v>23</v>
      </c>
      <c r="J1388" t="s">
        <v>50</v>
      </c>
      <c r="K1388" s="3">
        <v>8977.83</v>
      </c>
      <c r="L1388" t="s">
        <v>825</v>
      </c>
      <c r="M1388" t="s">
        <v>1167</v>
      </c>
      <c r="O1388" s="4">
        <v>0.14269032717260199</v>
      </c>
      <c r="P1388" s="3">
        <v>1281.0495000000001</v>
      </c>
      <c r="Q1388" t="s">
        <v>1138</v>
      </c>
    </row>
    <row r="1389" spans="1:17" ht="15" customHeight="1" x14ac:dyDescent="0.3">
      <c r="A1389">
        <v>2023</v>
      </c>
      <c r="B1389" s="2">
        <v>45001</v>
      </c>
      <c r="C1389" t="s">
        <v>137</v>
      </c>
      <c r="D1389" t="s">
        <v>773</v>
      </c>
      <c r="F1389" t="s">
        <v>20</v>
      </c>
      <c r="G1389" t="s">
        <v>38</v>
      </c>
      <c r="H1389" t="s">
        <v>39</v>
      </c>
      <c r="I1389" t="s">
        <v>136</v>
      </c>
      <c r="J1389" t="s">
        <v>50</v>
      </c>
      <c r="K1389" s="3">
        <v>5474.5</v>
      </c>
      <c r="L1389" t="s">
        <v>825</v>
      </c>
      <c r="M1389" t="s">
        <v>1168</v>
      </c>
      <c r="O1389" s="4">
        <v>0.15</v>
      </c>
      <c r="P1389" s="3">
        <v>821.17499999999995</v>
      </c>
      <c r="Q1389" t="s">
        <v>1142</v>
      </c>
    </row>
    <row r="1390" spans="1:17" ht="15" customHeight="1" x14ac:dyDescent="0.3">
      <c r="A1390">
        <v>2023</v>
      </c>
      <c r="B1390" s="2">
        <v>45001</v>
      </c>
      <c r="C1390" t="s">
        <v>137</v>
      </c>
      <c r="D1390" t="s">
        <v>773</v>
      </c>
      <c r="F1390" t="s">
        <v>20</v>
      </c>
      <c r="G1390" t="s">
        <v>38</v>
      </c>
      <c r="H1390" t="s">
        <v>39</v>
      </c>
      <c r="I1390" t="s">
        <v>136</v>
      </c>
      <c r="J1390" t="s">
        <v>50</v>
      </c>
      <c r="K1390" s="3">
        <v>2508.62</v>
      </c>
      <c r="L1390" t="s">
        <v>825</v>
      </c>
      <c r="M1390" t="s">
        <v>1169</v>
      </c>
      <c r="O1390" s="4">
        <v>0.15</v>
      </c>
      <c r="P1390" s="3">
        <v>376.29300000000001</v>
      </c>
      <c r="Q1390" t="s">
        <v>1142</v>
      </c>
    </row>
    <row r="1391" spans="1:17" ht="15" customHeight="1" x14ac:dyDescent="0.3">
      <c r="A1391">
        <v>2023</v>
      </c>
      <c r="B1391" s="2">
        <v>45002</v>
      </c>
      <c r="C1391" t="s">
        <v>137</v>
      </c>
      <c r="D1391" t="s">
        <v>685</v>
      </c>
      <c r="F1391" t="s">
        <v>20</v>
      </c>
      <c r="G1391" t="s">
        <v>38</v>
      </c>
      <c r="H1391" t="s">
        <v>147</v>
      </c>
      <c r="I1391" t="s">
        <v>23</v>
      </c>
      <c r="J1391" t="s">
        <v>123</v>
      </c>
      <c r="K1391" s="3">
        <v>900</v>
      </c>
      <c r="L1391" t="s">
        <v>793</v>
      </c>
      <c r="M1391" t="s">
        <v>1170</v>
      </c>
      <c r="O1391" s="4">
        <v>0.15</v>
      </c>
      <c r="P1391" s="3">
        <v>135</v>
      </c>
      <c r="Q1391" t="s">
        <v>1171</v>
      </c>
    </row>
    <row r="1392" spans="1:17" ht="15" customHeight="1" x14ac:dyDescent="0.3">
      <c r="A1392">
        <v>2023</v>
      </c>
      <c r="B1392" s="2">
        <v>45006</v>
      </c>
      <c r="C1392" t="s">
        <v>137</v>
      </c>
      <c r="D1392" t="s">
        <v>61</v>
      </c>
      <c r="F1392" t="s">
        <v>20</v>
      </c>
      <c r="G1392" t="s">
        <v>21</v>
      </c>
      <c r="H1392" t="s">
        <v>22</v>
      </c>
      <c r="I1392" t="s">
        <v>49</v>
      </c>
      <c r="J1392" t="s">
        <v>50</v>
      </c>
      <c r="K1392" s="3">
        <v>1875.8</v>
      </c>
      <c r="L1392" t="s">
        <v>825</v>
      </c>
      <c r="M1392" t="s">
        <v>1172</v>
      </c>
      <c r="O1392" s="4">
        <v>0.15</v>
      </c>
      <c r="P1392" s="3">
        <v>281.37</v>
      </c>
      <c r="Q1392" t="s">
        <v>1127</v>
      </c>
    </row>
    <row r="1393" spans="1:17" ht="15" customHeight="1" x14ac:dyDescent="0.3">
      <c r="A1393">
        <v>2023</v>
      </c>
      <c r="B1393" s="2">
        <v>45007</v>
      </c>
      <c r="C1393" t="s">
        <v>137</v>
      </c>
      <c r="D1393" t="s">
        <v>776</v>
      </c>
      <c r="F1393" t="s">
        <v>20</v>
      </c>
      <c r="G1393" t="s">
        <v>38</v>
      </c>
      <c r="H1393" t="s">
        <v>147</v>
      </c>
      <c r="I1393" t="s">
        <v>136</v>
      </c>
      <c r="J1393" t="s">
        <v>50</v>
      </c>
      <c r="K1393" s="3">
        <v>4750</v>
      </c>
      <c r="L1393" t="s">
        <v>793</v>
      </c>
      <c r="M1393" t="s">
        <v>1173</v>
      </c>
      <c r="O1393" s="4">
        <v>0.168501052631579</v>
      </c>
      <c r="P1393" s="3">
        <v>800.38</v>
      </c>
      <c r="Q1393" t="s">
        <v>1174</v>
      </c>
    </row>
    <row r="1394" spans="1:17" ht="15" customHeight="1" x14ac:dyDescent="0.3">
      <c r="A1394">
        <v>2023</v>
      </c>
      <c r="B1394" s="2">
        <v>45013</v>
      </c>
      <c r="C1394" t="s">
        <v>137</v>
      </c>
      <c r="D1394" t="s">
        <v>155</v>
      </c>
      <c r="F1394" t="s">
        <v>20</v>
      </c>
      <c r="G1394" t="s">
        <v>38</v>
      </c>
      <c r="H1394" t="s">
        <v>39</v>
      </c>
      <c r="I1394" t="s">
        <v>23</v>
      </c>
      <c r="J1394" t="s">
        <v>50</v>
      </c>
      <c r="K1394" s="3">
        <v>53000</v>
      </c>
      <c r="L1394" t="s">
        <v>793</v>
      </c>
      <c r="M1394" t="s">
        <v>1175</v>
      </c>
      <c r="O1394" s="4">
        <v>0.29219981132075501</v>
      </c>
      <c r="P1394" s="3">
        <v>15486.59</v>
      </c>
      <c r="Q1394" t="s">
        <v>1176</v>
      </c>
    </row>
    <row r="1395" spans="1:17" ht="15" customHeight="1" x14ac:dyDescent="0.3">
      <c r="A1395">
        <v>2023</v>
      </c>
      <c r="B1395" s="2">
        <v>45013</v>
      </c>
      <c r="C1395" t="s">
        <v>137</v>
      </c>
      <c r="D1395" t="s">
        <v>832</v>
      </c>
      <c r="F1395" t="s">
        <v>20</v>
      </c>
      <c r="G1395" t="s">
        <v>38</v>
      </c>
      <c r="H1395" t="s">
        <v>39</v>
      </c>
      <c r="I1395" t="s">
        <v>306</v>
      </c>
      <c r="J1395" t="s">
        <v>123</v>
      </c>
      <c r="K1395" s="3">
        <v>226816.1</v>
      </c>
      <c r="L1395" t="s">
        <v>793</v>
      </c>
      <c r="M1395" t="s">
        <v>1177</v>
      </c>
      <c r="O1395" s="4">
        <v>0.14799183126771001</v>
      </c>
      <c r="P1395" s="3">
        <v>33566.93</v>
      </c>
      <c r="Q1395" t="s">
        <v>1178</v>
      </c>
    </row>
    <row r="1396" spans="1:17" ht="15" customHeight="1" x14ac:dyDescent="0.3">
      <c r="A1396">
        <v>2023</v>
      </c>
      <c r="B1396" s="2">
        <v>45019</v>
      </c>
      <c r="C1396" t="s">
        <v>169</v>
      </c>
      <c r="D1396" t="s">
        <v>791</v>
      </c>
      <c r="F1396" t="s">
        <v>20</v>
      </c>
      <c r="G1396" t="s">
        <v>21</v>
      </c>
      <c r="H1396" t="s">
        <v>22</v>
      </c>
      <c r="I1396" t="s">
        <v>306</v>
      </c>
      <c r="J1396" t="s">
        <v>123</v>
      </c>
      <c r="K1396" s="3">
        <v>5637.5</v>
      </c>
      <c r="L1396" t="s">
        <v>793</v>
      </c>
      <c r="M1396" t="s">
        <v>1179</v>
      </c>
      <c r="O1396" s="4">
        <v>0.18430155210643001</v>
      </c>
      <c r="P1396" s="3">
        <v>1039</v>
      </c>
      <c r="Q1396" t="s">
        <v>1180</v>
      </c>
    </row>
    <row r="1397" spans="1:17" ht="15" customHeight="1" x14ac:dyDescent="0.3">
      <c r="A1397">
        <v>2023</v>
      </c>
      <c r="B1397" s="2">
        <v>45021</v>
      </c>
      <c r="C1397" t="s">
        <v>169</v>
      </c>
      <c r="D1397" t="s">
        <v>791</v>
      </c>
      <c r="F1397" t="s">
        <v>20</v>
      </c>
      <c r="G1397" t="s">
        <v>21</v>
      </c>
      <c r="H1397" t="s">
        <v>22</v>
      </c>
      <c r="I1397" t="s">
        <v>306</v>
      </c>
      <c r="J1397" t="s">
        <v>123</v>
      </c>
      <c r="K1397" s="3">
        <v>8512.66</v>
      </c>
      <c r="L1397" t="s">
        <v>825</v>
      </c>
      <c r="M1397" t="s">
        <v>1181</v>
      </c>
      <c r="O1397" s="4">
        <v>0.15</v>
      </c>
      <c r="P1397" s="3">
        <v>1276.8989999999999</v>
      </c>
      <c r="Q1397" t="s">
        <v>1157</v>
      </c>
    </row>
    <row r="1398" spans="1:17" ht="15" customHeight="1" x14ac:dyDescent="0.3">
      <c r="A1398">
        <v>2023</v>
      </c>
      <c r="B1398" s="2">
        <v>45027</v>
      </c>
      <c r="C1398" t="s">
        <v>169</v>
      </c>
      <c r="D1398" t="s">
        <v>675</v>
      </c>
      <c r="F1398" t="s">
        <v>20</v>
      </c>
      <c r="G1398" t="s">
        <v>38</v>
      </c>
      <c r="H1398" t="s">
        <v>147</v>
      </c>
      <c r="I1398" t="s">
        <v>306</v>
      </c>
      <c r="J1398" t="s">
        <v>50</v>
      </c>
      <c r="K1398" s="3">
        <v>4270.6000000000004</v>
      </c>
      <c r="L1398" t="s">
        <v>825</v>
      </c>
      <c r="M1398" t="s">
        <v>1182</v>
      </c>
      <c r="O1398" s="4">
        <v>0.15</v>
      </c>
      <c r="P1398" s="3">
        <v>640.59</v>
      </c>
      <c r="Q1398" t="s">
        <v>1153</v>
      </c>
    </row>
    <row r="1399" spans="1:17" ht="15" customHeight="1" x14ac:dyDescent="0.3">
      <c r="A1399">
        <v>2023</v>
      </c>
      <c r="B1399" s="2">
        <v>45027</v>
      </c>
      <c r="C1399" t="s">
        <v>169</v>
      </c>
      <c r="D1399" t="s">
        <v>1183</v>
      </c>
      <c r="F1399" t="s">
        <v>20</v>
      </c>
      <c r="G1399" t="s">
        <v>38</v>
      </c>
      <c r="H1399" t="s">
        <v>39</v>
      </c>
      <c r="I1399" t="s">
        <v>306</v>
      </c>
      <c r="J1399" t="s">
        <v>123</v>
      </c>
      <c r="K1399" s="3">
        <v>1294589.0977966101</v>
      </c>
      <c r="L1399" t="s">
        <v>793</v>
      </c>
      <c r="M1399" t="s">
        <v>1184</v>
      </c>
      <c r="O1399" s="4">
        <v>0.181167507434739</v>
      </c>
      <c r="P1399" s="3">
        <v>234537.47999999899</v>
      </c>
      <c r="Q1399" t="s">
        <v>1185</v>
      </c>
    </row>
    <row r="1400" spans="1:17" ht="15" customHeight="1" x14ac:dyDescent="0.3">
      <c r="A1400">
        <v>2023</v>
      </c>
      <c r="B1400" s="2">
        <v>45034</v>
      </c>
      <c r="C1400" t="s">
        <v>169</v>
      </c>
      <c r="D1400" t="s">
        <v>816</v>
      </c>
      <c r="F1400" t="s">
        <v>20</v>
      </c>
      <c r="G1400" t="s">
        <v>107</v>
      </c>
      <c r="H1400" t="s">
        <v>108</v>
      </c>
      <c r="I1400" t="s">
        <v>23</v>
      </c>
      <c r="J1400" t="s">
        <v>50</v>
      </c>
      <c r="K1400" s="3">
        <v>3050</v>
      </c>
      <c r="L1400" t="s">
        <v>793</v>
      </c>
      <c r="M1400" t="s">
        <v>1186</v>
      </c>
      <c r="O1400" s="4"/>
      <c r="P1400" s="3"/>
      <c r="Q1400" t="s">
        <v>1187</v>
      </c>
    </row>
    <row r="1401" spans="1:17" ht="15" customHeight="1" x14ac:dyDescent="0.3">
      <c r="A1401">
        <v>2023</v>
      </c>
      <c r="B1401" s="2">
        <v>45034</v>
      </c>
      <c r="C1401" t="s">
        <v>169</v>
      </c>
      <c r="D1401" t="s">
        <v>749</v>
      </c>
      <c r="F1401" t="s">
        <v>20</v>
      </c>
      <c r="G1401" t="s">
        <v>38</v>
      </c>
      <c r="H1401" t="s">
        <v>39</v>
      </c>
      <c r="I1401" t="s">
        <v>141</v>
      </c>
      <c r="J1401" t="s">
        <v>123</v>
      </c>
      <c r="K1401" s="3">
        <v>400934.05</v>
      </c>
      <c r="L1401" t="s">
        <v>793</v>
      </c>
      <c r="M1401" t="s">
        <v>1188</v>
      </c>
      <c r="O1401" s="4">
        <v>0.220596828830078</v>
      </c>
      <c r="P1401" s="3">
        <v>88444.779999999897</v>
      </c>
      <c r="Q1401" t="s">
        <v>1189</v>
      </c>
    </row>
    <row r="1402" spans="1:17" ht="15" customHeight="1" x14ac:dyDescent="0.3">
      <c r="A1402">
        <v>2023</v>
      </c>
      <c r="B1402" s="2">
        <v>45037</v>
      </c>
      <c r="C1402" t="s">
        <v>169</v>
      </c>
      <c r="D1402" t="s">
        <v>769</v>
      </c>
      <c r="F1402" t="s">
        <v>20</v>
      </c>
      <c r="G1402" t="s">
        <v>21</v>
      </c>
      <c r="H1402" t="s">
        <v>101</v>
      </c>
      <c r="I1402" t="s">
        <v>141</v>
      </c>
      <c r="J1402" t="s">
        <v>123</v>
      </c>
      <c r="K1402" s="3">
        <v>1728.25</v>
      </c>
      <c r="L1402" t="s">
        <v>793</v>
      </c>
      <c r="M1402" t="s">
        <v>1190</v>
      </c>
      <c r="O1402" s="4">
        <v>0.19421380008679301</v>
      </c>
      <c r="P1402" s="3">
        <v>335.65</v>
      </c>
      <c r="Q1402" t="s">
        <v>1142</v>
      </c>
    </row>
    <row r="1403" spans="1:17" ht="15" customHeight="1" x14ac:dyDescent="0.3">
      <c r="A1403">
        <v>2023</v>
      </c>
      <c r="B1403" s="2">
        <v>45043</v>
      </c>
      <c r="C1403" t="s">
        <v>169</v>
      </c>
      <c r="D1403" t="s">
        <v>1118</v>
      </c>
      <c r="F1403" t="s">
        <v>20</v>
      </c>
      <c r="G1403" t="s">
        <v>107</v>
      </c>
      <c r="H1403" t="s">
        <v>108</v>
      </c>
      <c r="I1403" t="s">
        <v>306</v>
      </c>
      <c r="J1403" t="s">
        <v>50</v>
      </c>
      <c r="K1403" s="3">
        <v>10666.67</v>
      </c>
      <c r="L1403" t="s">
        <v>793</v>
      </c>
      <c r="M1403" t="s">
        <v>1191</v>
      </c>
      <c r="O1403" s="4">
        <v>0.26653556322430799</v>
      </c>
      <c r="P1403" s="3">
        <v>2843.0468961778301</v>
      </c>
      <c r="Q1403" t="s">
        <v>1192</v>
      </c>
    </row>
    <row r="1404" spans="1:17" ht="15" customHeight="1" x14ac:dyDescent="0.3">
      <c r="A1404">
        <v>2023</v>
      </c>
      <c r="B1404" s="2">
        <v>45050</v>
      </c>
      <c r="C1404" t="s">
        <v>190</v>
      </c>
      <c r="D1404" t="s">
        <v>596</v>
      </c>
      <c r="F1404" t="s">
        <v>20</v>
      </c>
      <c r="G1404" t="s">
        <v>38</v>
      </c>
      <c r="H1404" t="s">
        <v>89</v>
      </c>
      <c r="I1404" t="s">
        <v>23</v>
      </c>
      <c r="J1404" t="s">
        <v>50</v>
      </c>
      <c r="K1404" s="3">
        <v>25117.56</v>
      </c>
      <c r="L1404" t="s">
        <v>793</v>
      </c>
      <c r="M1404" t="s">
        <v>1193</v>
      </c>
      <c r="O1404" s="4">
        <v>0.19049421997996599</v>
      </c>
      <c r="P1404" s="3">
        <v>4784.75</v>
      </c>
      <c r="Q1404" t="s">
        <v>1194</v>
      </c>
    </row>
    <row r="1405" spans="1:17" ht="15" customHeight="1" x14ac:dyDescent="0.3">
      <c r="A1405">
        <v>2023</v>
      </c>
      <c r="B1405" s="2">
        <v>45054</v>
      </c>
      <c r="C1405" t="s">
        <v>190</v>
      </c>
      <c r="D1405" t="s">
        <v>155</v>
      </c>
      <c r="F1405" t="s">
        <v>20</v>
      </c>
      <c r="G1405" t="s">
        <v>38</v>
      </c>
      <c r="H1405" t="s">
        <v>39</v>
      </c>
      <c r="I1405" t="s">
        <v>23</v>
      </c>
      <c r="J1405" t="s">
        <v>110</v>
      </c>
      <c r="K1405" s="3">
        <v>630.5</v>
      </c>
      <c r="L1405" t="s">
        <v>793</v>
      </c>
      <c r="M1405" t="s">
        <v>1195</v>
      </c>
      <c r="O1405" s="4">
        <v>0.31796986518636</v>
      </c>
      <c r="P1405" s="3">
        <v>200.48</v>
      </c>
      <c r="Q1405" t="s">
        <v>1196</v>
      </c>
    </row>
    <row r="1406" spans="1:17" ht="15" customHeight="1" x14ac:dyDescent="0.3">
      <c r="A1406">
        <v>2023</v>
      </c>
      <c r="B1406" s="2">
        <v>45061</v>
      </c>
      <c r="C1406" t="s">
        <v>190</v>
      </c>
      <c r="D1406" t="s">
        <v>1007</v>
      </c>
      <c r="F1406" t="s">
        <v>20</v>
      </c>
      <c r="G1406" t="s">
        <v>38</v>
      </c>
      <c r="H1406" t="s">
        <v>39</v>
      </c>
      <c r="I1406" t="s">
        <v>306</v>
      </c>
      <c r="J1406" t="s">
        <v>123</v>
      </c>
      <c r="K1406" s="3">
        <v>316674.55</v>
      </c>
      <c r="L1406" t="s">
        <v>825</v>
      </c>
      <c r="M1406" t="s">
        <v>1197</v>
      </c>
      <c r="O1406" s="4">
        <v>0.15</v>
      </c>
      <c r="P1406" s="3">
        <v>47501.182500000003</v>
      </c>
      <c r="Q1406" t="s">
        <v>1164</v>
      </c>
    </row>
    <row r="1407" spans="1:17" ht="15" customHeight="1" x14ac:dyDescent="0.3">
      <c r="A1407">
        <v>2023</v>
      </c>
      <c r="B1407" s="2">
        <v>45062</v>
      </c>
      <c r="C1407" t="s">
        <v>190</v>
      </c>
      <c r="D1407" t="s">
        <v>155</v>
      </c>
      <c r="F1407" t="s">
        <v>20</v>
      </c>
      <c r="G1407" t="s">
        <v>38</v>
      </c>
      <c r="H1407" t="s">
        <v>39</v>
      </c>
      <c r="I1407" t="s">
        <v>23</v>
      </c>
      <c r="J1407" t="s">
        <v>110</v>
      </c>
      <c r="K1407" s="3">
        <v>1152</v>
      </c>
      <c r="L1407" t="s">
        <v>825</v>
      </c>
      <c r="M1407" t="s">
        <v>1198</v>
      </c>
      <c r="O1407" s="4">
        <v>0.15</v>
      </c>
      <c r="P1407" s="3">
        <v>172.8</v>
      </c>
      <c r="Q1407" t="s">
        <v>1129</v>
      </c>
    </row>
    <row r="1408" spans="1:17" ht="15" customHeight="1" x14ac:dyDescent="0.3">
      <c r="A1408">
        <v>2023</v>
      </c>
      <c r="B1408" s="2">
        <v>45071</v>
      </c>
      <c r="C1408" t="s">
        <v>190</v>
      </c>
      <c r="D1408" t="s">
        <v>30</v>
      </c>
      <c r="F1408" t="s">
        <v>20</v>
      </c>
      <c r="G1408" t="s">
        <v>21</v>
      </c>
      <c r="H1408" t="s">
        <v>22</v>
      </c>
      <c r="I1408" t="s">
        <v>23</v>
      </c>
      <c r="J1408" t="s">
        <v>50</v>
      </c>
      <c r="K1408" s="3">
        <v>1865170.3220339001</v>
      </c>
      <c r="L1408" t="s">
        <v>793</v>
      </c>
      <c r="M1408" t="s">
        <v>1199</v>
      </c>
      <c r="O1408" s="4">
        <v>0.207798020063583</v>
      </c>
      <c r="P1408" s="3">
        <v>387578.7</v>
      </c>
      <c r="Q1408" t="s">
        <v>1200</v>
      </c>
    </row>
    <row r="1409" spans="1:17" ht="15" customHeight="1" x14ac:dyDescent="0.3">
      <c r="A1409">
        <v>2023</v>
      </c>
      <c r="B1409" s="2">
        <v>45076</v>
      </c>
      <c r="C1409" t="s">
        <v>190</v>
      </c>
      <c r="D1409" t="s">
        <v>816</v>
      </c>
      <c r="F1409" t="s">
        <v>20</v>
      </c>
      <c r="G1409" t="s">
        <v>107</v>
      </c>
      <c r="H1409" t="s">
        <v>108</v>
      </c>
      <c r="I1409" t="s">
        <v>23</v>
      </c>
      <c r="J1409" t="s">
        <v>50</v>
      </c>
      <c r="K1409" s="3">
        <v>4308.54</v>
      </c>
      <c r="L1409" t="s">
        <v>793</v>
      </c>
      <c r="M1409" t="s">
        <v>1201</v>
      </c>
      <c r="O1409" s="4">
        <v>0.17999600792844</v>
      </c>
      <c r="P1409" s="3">
        <v>775.520000000001</v>
      </c>
      <c r="Q1409" t="s">
        <v>1202</v>
      </c>
    </row>
    <row r="1410" spans="1:17" ht="15" customHeight="1" x14ac:dyDescent="0.3">
      <c r="A1410">
        <v>2023</v>
      </c>
      <c r="B1410" s="2">
        <v>45076</v>
      </c>
      <c r="C1410" t="s">
        <v>190</v>
      </c>
      <c r="D1410" t="s">
        <v>1203</v>
      </c>
      <c r="F1410" t="s">
        <v>20</v>
      </c>
      <c r="G1410" t="s">
        <v>21</v>
      </c>
      <c r="H1410" t="s">
        <v>101</v>
      </c>
      <c r="I1410" t="s">
        <v>23</v>
      </c>
      <c r="J1410" t="s">
        <v>110</v>
      </c>
      <c r="K1410" s="3">
        <v>40120.239999999998</v>
      </c>
      <c r="L1410" t="s">
        <v>793</v>
      </c>
      <c r="M1410" t="s">
        <v>1204</v>
      </c>
      <c r="O1410" s="4">
        <v>0.13532446465923401</v>
      </c>
      <c r="P1410" s="3">
        <v>5429.24999999999</v>
      </c>
      <c r="Q1410" t="s">
        <v>1205</v>
      </c>
    </row>
    <row r="1411" spans="1:17" ht="15" customHeight="1" x14ac:dyDescent="0.3">
      <c r="A1411">
        <v>2023</v>
      </c>
      <c r="B1411" s="2">
        <v>45076</v>
      </c>
      <c r="C1411" t="s">
        <v>190</v>
      </c>
      <c r="D1411" t="s">
        <v>1206</v>
      </c>
      <c r="F1411" t="s">
        <v>20</v>
      </c>
      <c r="G1411" t="s">
        <v>107</v>
      </c>
      <c r="H1411" t="s">
        <v>108</v>
      </c>
      <c r="I1411" t="s">
        <v>23</v>
      </c>
      <c r="J1411" t="s">
        <v>759</v>
      </c>
      <c r="K1411" s="3">
        <v>517370</v>
      </c>
      <c r="L1411" t="s">
        <v>793</v>
      </c>
      <c r="M1411" t="s">
        <v>1207</v>
      </c>
      <c r="O1411" s="4">
        <v>0.20443091018033499</v>
      </c>
      <c r="P1411" s="3">
        <v>105766.42</v>
      </c>
      <c r="Q1411" t="s">
        <v>1208</v>
      </c>
    </row>
    <row r="1412" spans="1:17" ht="15" customHeight="1" x14ac:dyDescent="0.3">
      <c r="A1412">
        <v>2023</v>
      </c>
      <c r="B1412" s="2">
        <v>45076</v>
      </c>
      <c r="C1412" t="s">
        <v>190</v>
      </c>
      <c r="D1412" t="s">
        <v>184</v>
      </c>
      <c r="F1412" t="s">
        <v>20</v>
      </c>
      <c r="G1412" t="s">
        <v>107</v>
      </c>
      <c r="H1412" t="s">
        <v>108</v>
      </c>
      <c r="I1412" t="s">
        <v>23</v>
      </c>
      <c r="J1412" t="s">
        <v>123</v>
      </c>
      <c r="K1412" s="3">
        <v>519</v>
      </c>
      <c r="L1412" t="s">
        <v>825</v>
      </c>
      <c r="M1412" t="s">
        <v>1209</v>
      </c>
      <c r="O1412" s="4">
        <v>0.15</v>
      </c>
      <c r="P1412" s="3">
        <v>77.849999999999994</v>
      </c>
      <c r="Q1412" t="s">
        <v>1210</v>
      </c>
    </row>
    <row r="1413" spans="1:17" ht="15" customHeight="1" x14ac:dyDescent="0.3">
      <c r="A1413">
        <v>2023</v>
      </c>
      <c r="B1413" s="2">
        <v>45078</v>
      </c>
      <c r="C1413" t="s">
        <v>218</v>
      </c>
      <c r="D1413" t="s">
        <v>61</v>
      </c>
      <c r="F1413" t="s">
        <v>20</v>
      </c>
      <c r="G1413" t="s">
        <v>21</v>
      </c>
      <c r="H1413" t="s">
        <v>22</v>
      </c>
      <c r="I1413" t="s">
        <v>49</v>
      </c>
      <c r="J1413" t="s">
        <v>50</v>
      </c>
      <c r="K1413" s="3">
        <v>950</v>
      </c>
      <c r="L1413" t="s">
        <v>793</v>
      </c>
      <c r="M1413" t="s">
        <v>1211</v>
      </c>
      <c r="O1413" s="4">
        <v>0.11</v>
      </c>
      <c r="P1413" s="3">
        <v>104.5</v>
      </c>
      <c r="Q1413" t="s">
        <v>1212</v>
      </c>
    </row>
    <row r="1414" spans="1:17" ht="15" customHeight="1" x14ac:dyDescent="0.3">
      <c r="A1414">
        <v>2023</v>
      </c>
      <c r="B1414" s="2">
        <v>45089</v>
      </c>
      <c r="C1414" t="s">
        <v>218</v>
      </c>
      <c r="D1414" t="s">
        <v>786</v>
      </c>
      <c r="F1414" t="s">
        <v>20</v>
      </c>
      <c r="G1414" t="s">
        <v>21</v>
      </c>
      <c r="H1414" t="s">
        <v>22</v>
      </c>
      <c r="I1414" t="s">
        <v>23</v>
      </c>
      <c r="J1414" t="s">
        <v>123</v>
      </c>
      <c r="K1414" s="3">
        <v>738711.05084745795</v>
      </c>
      <c r="L1414" t="s">
        <v>793</v>
      </c>
      <c r="M1414" t="s">
        <v>1213</v>
      </c>
      <c r="O1414" s="4">
        <v>0.15733154372967401</v>
      </c>
      <c r="P1414" s="3">
        <v>116222.55</v>
      </c>
      <c r="Q1414" t="s">
        <v>1214</v>
      </c>
    </row>
    <row r="1415" spans="1:17" ht="15" customHeight="1" x14ac:dyDescent="0.3">
      <c r="A1415">
        <v>2023</v>
      </c>
      <c r="B1415" s="2">
        <v>45098</v>
      </c>
      <c r="C1415" t="s">
        <v>218</v>
      </c>
      <c r="D1415" t="s">
        <v>832</v>
      </c>
      <c r="F1415" t="s">
        <v>20</v>
      </c>
      <c r="G1415" t="s">
        <v>38</v>
      </c>
      <c r="H1415" t="s">
        <v>39</v>
      </c>
      <c r="I1415" t="s">
        <v>306</v>
      </c>
      <c r="J1415" t="s">
        <v>123</v>
      </c>
      <c r="K1415" s="3">
        <v>500</v>
      </c>
      <c r="L1415" t="s">
        <v>825</v>
      </c>
      <c r="M1415" t="s">
        <v>1215</v>
      </c>
      <c r="O1415" s="4">
        <v>0.15</v>
      </c>
      <c r="P1415" s="3">
        <v>75</v>
      </c>
      <c r="Q1415" t="s">
        <v>1178</v>
      </c>
    </row>
    <row r="1416" spans="1:17" ht="15" customHeight="1" x14ac:dyDescent="0.3">
      <c r="A1416">
        <v>2023</v>
      </c>
      <c r="B1416" s="2">
        <v>45098</v>
      </c>
      <c r="C1416" t="s">
        <v>218</v>
      </c>
      <c r="D1416" t="s">
        <v>675</v>
      </c>
      <c r="F1416" t="s">
        <v>20</v>
      </c>
      <c r="G1416" t="s">
        <v>38</v>
      </c>
      <c r="H1416" t="s">
        <v>147</v>
      </c>
      <c r="I1416" t="s">
        <v>306</v>
      </c>
      <c r="J1416" t="s">
        <v>50</v>
      </c>
      <c r="K1416" s="3">
        <v>112910.15</v>
      </c>
      <c r="L1416" t="s">
        <v>793</v>
      </c>
      <c r="M1416" t="s">
        <v>1216</v>
      </c>
      <c r="O1416" s="4">
        <v>0.20475059151015201</v>
      </c>
      <c r="P1416" s="3">
        <v>23118.42</v>
      </c>
      <c r="Q1416" t="s">
        <v>1217</v>
      </c>
    </row>
    <row r="1417" spans="1:17" ht="15" customHeight="1" x14ac:dyDescent="0.3">
      <c r="A1417">
        <v>2023</v>
      </c>
      <c r="B1417" s="2">
        <v>45098</v>
      </c>
      <c r="C1417" t="s">
        <v>218</v>
      </c>
      <c r="D1417" t="s">
        <v>773</v>
      </c>
      <c r="F1417" t="s">
        <v>20</v>
      </c>
      <c r="G1417" t="s">
        <v>38</v>
      </c>
      <c r="H1417" t="s">
        <v>39</v>
      </c>
      <c r="I1417" t="s">
        <v>136</v>
      </c>
      <c r="J1417" t="s">
        <v>50</v>
      </c>
      <c r="K1417" s="3">
        <v>6725.21</v>
      </c>
      <c r="L1417" t="s">
        <v>793</v>
      </c>
      <c r="M1417" t="s">
        <v>1218</v>
      </c>
      <c r="O1417" s="4">
        <v>0.25578532120186598</v>
      </c>
      <c r="P1417" s="3">
        <v>1720.21</v>
      </c>
      <c r="Q1417" t="s">
        <v>1219</v>
      </c>
    </row>
    <row r="1418" spans="1:17" ht="15" customHeight="1" x14ac:dyDescent="0.3">
      <c r="A1418">
        <v>2023</v>
      </c>
      <c r="B1418" s="2">
        <v>45100</v>
      </c>
      <c r="C1418" t="s">
        <v>218</v>
      </c>
      <c r="D1418" t="s">
        <v>1183</v>
      </c>
      <c r="F1418" t="s">
        <v>20</v>
      </c>
      <c r="G1418" t="s">
        <v>38</v>
      </c>
      <c r="H1418" t="s">
        <v>39</v>
      </c>
      <c r="I1418" t="s">
        <v>306</v>
      </c>
      <c r="J1418" t="s">
        <v>123</v>
      </c>
      <c r="K1418" s="3">
        <v>12291</v>
      </c>
      <c r="L1418" t="s">
        <v>825</v>
      </c>
      <c r="M1418" t="s">
        <v>1220</v>
      </c>
      <c r="O1418" s="4">
        <v>0.15</v>
      </c>
      <c r="P1418" s="3">
        <v>1843.65</v>
      </c>
      <c r="Q1418" t="s">
        <v>1185</v>
      </c>
    </row>
    <row r="1419" spans="1:17" ht="15" customHeight="1" x14ac:dyDescent="0.3">
      <c r="A1419">
        <v>2023</v>
      </c>
      <c r="B1419" s="2">
        <v>45103</v>
      </c>
      <c r="C1419" t="s">
        <v>218</v>
      </c>
      <c r="D1419" t="s">
        <v>1118</v>
      </c>
      <c r="F1419" t="s">
        <v>20</v>
      </c>
      <c r="G1419" t="s">
        <v>107</v>
      </c>
      <c r="H1419" t="s">
        <v>108</v>
      </c>
      <c r="I1419" t="s">
        <v>306</v>
      </c>
      <c r="J1419" t="s">
        <v>50</v>
      </c>
      <c r="K1419" s="3">
        <v>121000</v>
      </c>
      <c r="L1419" t="s">
        <v>825</v>
      </c>
      <c r="M1419" t="s">
        <v>1221</v>
      </c>
      <c r="O1419" s="4">
        <v>0.15</v>
      </c>
      <c r="P1419" s="3">
        <v>18150</v>
      </c>
      <c r="Q1419" t="s">
        <v>1151</v>
      </c>
    </row>
    <row r="1420" spans="1:17" ht="15" customHeight="1" x14ac:dyDescent="0.3">
      <c r="A1420">
        <v>2023</v>
      </c>
      <c r="B1420" s="2">
        <v>45111</v>
      </c>
      <c r="C1420" t="s">
        <v>262</v>
      </c>
      <c r="D1420" t="s">
        <v>786</v>
      </c>
      <c r="F1420" t="s">
        <v>20</v>
      </c>
      <c r="G1420" t="s">
        <v>21</v>
      </c>
      <c r="H1420" t="s">
        <v>22</v>
      </c>
      <c r="I1420" t="s">
        <v>23</v>
      </c>
      <c r="J1420" t="s">
        <v>123</v>
      </c>
      <c r="K1420" s="3">
        <v>547731.56000000006</v>
      </c>
      <c r="L1420" t="s">
        <v>793</v>
      </c>
      <c r="M1420" t="s">
        <v>1222</v>
      </c>
      <c r="O1420" s="4">
        <v>0.14070441732442801</v>
      </c>
      <c r="P1420" s="3">
        <v>77068.25</v>
      </c>
      <c r="Q1420" t="s">
        <v>1223</v>
      </c>
    </row>
    <row r="1421" spans="1:17" ht="15" customHeight="1" x14ac:dyDescent="0.3">
      <c r="A1421">
        <v>2023</v>
      </c>
      <c r="B1421" s="2">
        <v>45114</v>
      </c>
      <c r="C1421" t="s">
        <v>262</v>
      </c>
      <c r="D1421" t="s">
        <v>816</v>
      </c>
      <c r="F1421" t="s">
        <v>20</v>
      </c>
      <c r="G1421" t="s">
        <v>107</v>
      </c>
      <c r="H1421" t="s">
        <v>108</v>
      </c>
      <c r="I1421" t="s">
        <v>23</v>
      </c>
      <c r="J1421" t="s">
        <v>50</v>
      </c>
      <c r="K1421" s="3">
        <v>7715.85</v>
      </c>
      <c r="L1421" t="s">
        <v>793</v>
      </c>
      <c r="M1421" t="s">
        <v>1224</v>
      </c>
      <c r="O1421" s="4">
        <v>0.179998315156464</v>
      </c>
      <c r="P1421" s="3">
        <v>1388.84</v>
      </c>
      <c r="Q1421" t="s">
        <v>1225</v>
      </c>
    </row>
    <row r="1422" spans="1:17" ht="15" customHeight="1" x14ac:dyDescent="0.3">
      <c r="A1422">
        <v>2023</v>
      </c>
      <c r="B1422" s="2">
        <v>45114</v>
      </c>
      <c r="C1422" t="s">
        <v>262</v>
      </c>
      <c r="D1422" t="s">
        <v>786</v>
      </c>
      <c r="F1422" t="s">
        <v>20</v>
      </c>
      <c r="G1422" t="s">
        <v>21</v>
      </c>
      <c r="H1422" t="s">
        <v>22</v>
      </c>
      <c r="I1422" t="s">
        <v>23</v>
      </c>
      <c r="J1422" t="s">
        <v>123</v>
      </c>
      <c r="K1422" s="3">
        <v>77376</v>
      </c>
      <c r="L1422" t="s">
        <v>825</v>
      </c>
      <c r="M1422" t="s">
        <v>1226</v>
      </c>
      <c r="O1422" s="4">
        <v>0.15</v>
      </c>
      <c r="P1422" s="3">
        <v>11606.4</v>
      </c>
      <c r="Q1422" t="s">
        <v>1223</v>
      </c>
    </row>
    <row r="1423" spans="1:17" ht="15" customHeight="1" x14ac:dyDescent="0.3">
      <c r="A1423">
        <v>2023</v>
      </c>
      <c r="B1423" s="2">
        <v>45114</v>
      </c>
      <c r="C1423" t="s">
        <v>262</v>
      </c>
      <c r="D1423" t="s">
        <v>1007</v>
      </c>
      <c r="F1423" t="s">
        <v>20</v>
      </c>
      <c r="G1423" t="s">
        <v>38</v>
      </c>
      <c r="H1423" t="s">
        <v>39</v>
      </c>
      <c r="I1423" t="s">
        <v>306</v>
      </c>
      <c r="J1423" t="s">
        <v>123</v>
      </c>
      <c r="K1423" s="3">
        <v>2925</v>
      </c>
      <c r="L1423" t="s">
        <v>825</v>
      </c>
      <c r="M1423" t="s">
        <v>1227</v>
      </c>
      <c r="O1423" s="4">
        <v>0.15</v>
      </c>
      <c r="P1423" s="3">
        <v>438.75</v>
      </c>
      <c r="Q1423" t="s">
        <v>1164</v>
      </c>
    </row>
    <row r="1424" spans="1:17" ht="15" customHeight="1" x14ac:dyDescent="0.3">
      <c r="A1424">
        <v>2023</v>
      </c>
      <c r="B1424" s="2">
        <v>45114</v>
      </c>
      <c r="C1424" t="s">
        <v>262</v>
      </c>
      <c r="D1424" t="s">
        <v>1118</v>
      </c>
      <c r="F1424" t="s">
        <v>20</v>
      </c>
      <c r="G1424" t="s">
        <v>107</v>
      </c>
      <c r="H1424" t="s">
        <v>108</v>
      </c>
      <c r="I1424" t="s">
        <v>306</v>
      </c>
      <c r="J1424" t="s">
        <v>50</v>
      </c>
      <c r="K1424" s="3">
        <v>5016.32</v>
      </c>
      <c r="L1424" t="s">
        <v>825</v>
      </c>
      <c r="M1424" t="s">
        <v>1228</v>
      </c>
      <c r="O1424" s="4">
        <v>0.15</v>
      </c>
      <c r="P1424" s="3">
        <v>752.44799999999998</v>
      </c>
      <c r="Q1424" t="s">
        <v>1151</v>
      </c>
    </row>
    <row r="1425" spans="1:17" ht="15" customHeight="1" x14ac:dyDescent="0.3">
      <c r="A1425">
        <v>2023</v>
      </c>
      <c r="B1425" s="2">
        <v>45118</v>
      </c>
      <c r="C1425" t="s">
        <v>262</v>
      </c>
      <c r="D1425" t="s">
        <v>816</v>
      </c>
      <c r="F1425" t="s">
        <v>20</v>
      </c>
      <c r="G1425" t="s">
        <v>107</v>
      </c>
      <c r="H1425" t="s">
        <v>108</v>
      </c>
      <c r="I1425" t="s">
        <v>23</v>
      </c>
      <c r="J1425" t="s">
        <v>110</v>
      </c>
      <c r="K1425" s="3">
        <v>1810</v>
      </c>
      <c r="L1425" t="s">
        <v>793</v>
      </c>
      <c r="M1425" t="s">
        <v>1229</v>
      </c>
      <c r="O1425" s="4">
        <v>0.324044198895028</v>
      </c>
      <c r="P1425" s="3">
        <v>586.520000000001</v>
      </c>
      <c r="Q1425" t="s">
        <v>1230</v>
      </c>
    </row>
    <row r="1426" spans="1:17" ht="15" customHeight="1" x14ac:dyDescent="0.3">
      <c r="A1426">
        <v>2023</v>
      </c>
      <c r="B1426" s="2">
        <v>45118</v>
      </c>
      <c r="C1426" t="s">
        <v>262</v>
      </c>
      <c r="D1426" t="s">
        <v>1118</v>
      </c>
      <c r="F1426" t="s">
        <v>20</v>
      </c>
      <c r="G1426" t="s">
        <v>107</v>
      </c>
      <c r="H1426" t="s">
        <v>108</v>
      </c>
      <c r="I1426" t="s">
        <v>306</v>
      </c>
      <c r="J1426" t="s">
        <v>50</v>
      </c>
      <c r="K1426" s="3">
        <v>8234.9699999999993</v>
      </c>
      <c r="L1426" t="s">
        <v>793</v>
      </c>
      <c r="M1426" t="s">
        <v>1231</v>
      </c>
      <c r="O1426" s="4">
        <v>0.17833036090397</v>
      </c>
      <c r="P1426" s="3">
        <v>1468.54517213337</v>
      </c>
      <c r="Q1426" t="s">
        <v>1232</v>
      </c>
    </row>
    <row r="1427" spans="1:17" ht="15" customHeight="1" x14ac:dyDescent="0.3">
      <c r="A1427">
        <v>2023</v>
      </c>
      <c r="B1427" s="2">
        <v>45121</v>
      </c>
      <c r="C1427" t="s">
        <v>262</v>
      </c>
      <c r="D1427" t="s">
        <v>1233</v>
      </c>
      <c r="F1427" t="s">
        <v>20</v>
      </c>
      <c r="G1427" t="s">
        <v>107</v>
      </c>
      <c r="H1427" t="s">
        <v>108</v>
      </c>
      <c r="I1427" t="s">
        <v>23</v>
      </c>
      <c r="J1427" t="s">
        <v>759</v>
      </c>
      <c r="K1427" s="3">
        <v>496943.66</v>
      </c>
      <c r="L1427" t="s">
        <v>793</v>
      </c>
      <c r="M1427" t="s">
        <v>1234</v>
      </c>
      <c r="O1427" s="4">
        <v>0.17852878936014599</v>
      </c>
      <c r="P1427" s="3">
        <v>88718.75</v>
      </c>
      <c r="Q1427" t="s">
        <v>1235</v>
      </c>
    </row>
    <row r="1428" spans="1:17" ht="15" customHeight="1" x14ac:dyDescent="0.3">
      <c r="A1428">
        <v>2023</v>
      </c>
      <c r="B1428" s="2">
        <v>45126</v>
      </c>
      <c r="C1428" t="s">
        <v>262</v>
      </c>
      <c r="D1428" t="s">
        <v>746</v>
      </c>
      <c r="F1428" t="s">
        <v>20</v>
      </c>
      <c r="G1428" t="s">
        <v>21</v>
      </c>
      <c r="H1428" t="s">
        <v>22</v>
      </c>
      <c r="I1428" t="s">
        <v>141</v>
      </c>
      <c r="J1428" t="s">
        <v>50</v>
      </c>
      <c r="K1428" s="3">
        <v>293021.07</v>
      </c>
      <c r="L1428" t="s">
        <v>793</v>
      </c>
      <c r="M1428" t="s">
        <v>1236</v>
      </c>
      <c r="O1428" s="4">
        <v>0.23625563854503701</v>
      </c>
      <c r="P1428" s="3">
        <v>69227.88</v>
      </c>
      <c r="Q1428" t="s">
        <v>1237</v>
      </c>
    </row>
    <row r="1429" spans="1:17" ht="15" customHeight="1" x14ac:dyDescent="0.3">
      <c r="A1429">
        <v>2023</v>
      </c>
      <c r="B1429" s="2">
        <v>45128</v>
      </c>
      <c r="C1429" t="s">
        <v>262</v>
      </c>
      <c r="D1429" t="s">
        <v>786</v>
      </c>
      <c r="F1429" t="s">
        <v>20</v>
      </c>
      <c r="G1429" t="s">
        <v>21</v>
      </c>
      <c r="H1429" t="s">
        <v>22</v>
      </c>
      <c r="I1429" t="s">
        <v>23</v>
      </c>
      <c r="J1429" t="s">
        <v>123</v>
      </c>
      <c r="K1429" s="3">
        <v>29946.41</v>
      </c>
      <c r="L1429" t="s">
        <v>825</v>
      </c>
      <c r="M1429" t="s">
        <v>1238</v>
      </c>
      <c r="O1429" s="4">
        <v>0.15</v>
      </c>
      <c r="P1429" s="3">
        <v>4491.9615000000003</v>
      </c>
      <c r="Q1429" t="s">
        <v>1214</v>
      </c>
    </row>
    <row r="1430" spans="1:17" ht="15" customHeight="1" x14ac:dyDescent="0.3">
      <c r="A1430">
        <v>2023</v>
      </c>
      <c r="B1430" s="2">
        <v>45132</v>
      </c>
      <c r="C1430" t="s">
        <v>262</v>
      </c>
      <c r="D1430" t="s">
        <v>791</v>
      </c>
      <c r="F1430" t="s">
        <v>20</v>
      </c>
      <c r="G1430" t="s">
        <v>21</v>
      </c>
      <c r="H1430" t="s">
        <v>22</v>
      </c>
      <c r="I1430" t="s">
        <v>306</v>
      </c>
      <c r="J1430" t="s">
        <v>123</v>
      </c>
      <c r="K1430" s="3">
        <v>2525</v>
      </c>
      <c r="L1430" t="s">
        <v>825</v>
      </c>
      <c r="M1430" t="s">
        <v>1239</v>
      </c>
      <c r="O1430" s="4">
        <v>0.15</v>
      </c>
      <c r="P1430" s="3">
        <v>378.75</v>
      </c>
      <c r="Q1430" t="s">
        <v>1146</v>
      </c>
    </row>
    <row r="1431" spans="1:17" ht="15" customHeight="1" x14ac:dyDescent="0.3">
      <c r="A1431">
        <v>2023</v>
      </c>
      <c r="B1431" s="2">
        <v>45138</v>
      </c>
      <c r="C1431" t="s">
        <v>262</v>
      </c>
      <c r="D1431" t="s">
        <v>1118</v>
      </c>
      <c r="F1431" t="s">
        <v>20</v>
      </c>
      <c r="G1431" t="s">
        <v>107</v>
      </c>
      <c r="H1431" t="s">
        <v>108</v>
      </c>
      <c r="I1431" t="s">
        <v>306</v>
      </c>
      <c r="J1431" t="s">
        <v>110</v>
      </c>
      <c r="K1431" s="3">
        <v>940</v>
      </c>
      <c r="L1431" t="s">
        <v>825</v>
      </c>
      <c r="M1431" t="s">
        <v>1240</v>
      </c>
      <c r="O1431" s="4">
        <v>0.15</v>
      </c>
      <c r="P1431" s="3">
        <v>141</v>
      </c>
      <c r="Q1431" t="s">
        <v>1151</v>
      </c>
    </row>
    <row r="1432" spans="1:17" ht="15" customHeight="1" x14ac:dyDescent="0.3">
      <c r="A1432">
        <v>2023</v>
      </c>
      <c r="B1432" s="2">
        <v>45138</v>
      </c>
      <c r="C1432" t="s">
        <v>262</v>
      </c>
      <c r="D1432" t="s">
        <v>1118</v>
      </c>
      <c r="F1432" t="s">
        <v>20</v>
      </c>
      <c r="G1432" t="s">
        <v>107</v>
      </c>
      <c r="H1432" t="s">
        <v>108</v>
      </c>
      <c r="I1432" t="s">
        <v>306</v>
      </c>
      <c r="J1432" t="s">
        <v>110</v>
      </c>
      <c r="K1432" s="3">
        <v>29547.31</v>
      </c>
      <c r="L1432" t="s">
        <v>825</v>
      </c>
      <c r="M1432" t="s">
        <v>1241</v>
      </c>
      <c r="O1432" s="4">
        <v>0.15</v>
      </c>
      <c r="P1432" s="3">
        <v>4432.0964999999997</v>
      </c>
      <c r="Q1432" t="s">
        <v>1151</v>
      </c>
    </row>
    <row r="1433" spans="1:17" ht="15" customHeight="1" x14ac:dyDescent="0.3">
      <c r="A1433">
        <v>2023</v>
      </c>
      <c r="B1433" s="2">
        <v>45142</v>
      </c>
      <c r="C1433" t="s">
        <v>291</v>
      </c>
      <c r="D1433" t="s">
        <v>746</v>
      </c>
      <c r="F1433" t="s">
        <v>20</v>
      </c>
      <c r="G1433" t="s">
        <v>21</v>
      </c>
      <c r="H1433" t="s">
        <v>22</v>
      </c>
      <c r="I1433" t="s">
        <v>141</v>
      </c>
      <c r="J1433" t="s">
        <v>50</v>
      </c>
      <c r="K1433" s="3">
        <v>322542.32</v>
      </c>
      <c r="L1433" t="s">
        <v>793</v>
      </c>
      <c r="M1433" t="s">
        <v>1242</v>
      </c>
      <c r="O1433" s="4">
        <v>0.176712593869852</v>
      </c>
      <c r="P1433" s="3">
        <v>56997.289999999797</v>
      </c>
      <c r="Q1433" t="s">
        <v>1243</v>
      </c>
    </row>
    <row r="1434" spans="1:17" ht="15" customHeight="1" x14ac:dyDescent="0.3">
      <c r="A1434">
        <v>2023</v>
      </c>
      <c r="B1434" s="2">
        <v>45142</v>
      </c>
      <c r="C1434" t="s">
        <v>291</v>
      </c>
      <c r="D1434" t="s">
        <v>531</v>
      </c>
      <c r="F1434" t="s">
        <v>20</v>
      </c>
      <c r="G1434" t="s">
        <v>38</v>
      </c>
      <c r="H1434" t="s">
        <v>39</v>
      </c>
      <c r="I1434" t="s">
        <v>23</v>
      </c>
      <c r="J1434" t="s">
        <v>123</v>
      </c>
      <c r="K1434" s="3">
        <v>616341.69491525402</v>
      </c>
      <c r="L1434" t="s">
        <v>793</v>
      </c>
      <c r="M1434" t="s">
        <v>1244</v>
      </c>
      <c r="O1434" s="4">
        <v>0.19372802616642301</v>
      </c>
      <c r="P1434" s="3">
        <v>119402.66</v>
      </c>
      <c r="Q1434" t="s">
        <v>1245</v>
      </c>
    </row>
    <row r="1435" spans="1:17" ht="15" customHeight="1" x14ac:dyDescent="0.3">
      <c r="A1435">
        <v>2023</v>
      </c>
      <c r="B1435" s="2">
        <v>45152</v>
      </c>
      <c r="C1435" t="s">
        <v>291</v>
      </c>
      <c r="D1435" t="s">
        <v>1233</v>
      </c>
      <c r="F1435" t="s">
        <v>20</v>
      </c>
      <c r="G1435" t="s">
        <v>107</v>
      </c>
      <c r="H1435" t="s">
        <v>108</v>
      </c>
      <c r="I1435" t="s">
        <v>141</v>
      </c>
      <c r="J1435" t="s">
        <v>759</v>
      </c>
      <c r="K1435" s="3">
        <v>57220.28</v>
      </c>
      <c r="L1435" t="s">
        <v>825</v>
      </c>
      <c r="M1435" t="s">
        <v>1246</v>
      </c>
      <c r="O1435" s="4">
        <v>0.15</v>
      </c>
      <c r="P1435" s="3">
        <v>8583.0419999999995</v>
      </c>
      <c r="Q1435" t="s">
        <v>1235</v>
      </c>
    </row>
    <row r="1436" spans="1:17" ht="15" customHeight="1" x14ac:dyDescent="0.3">
      <c r="A1436">
        <v>2023</v>
      </c>
      <c r="B1436" s="2">
        <v>45153</v>
      </c>
      <c r="C1436" t="s">
        <v>291</v>
      </c>
      <c r="D1436" t="s">
        <v>786</v>
      </c>
      <c r="F1436" t="s">
        <v>20</v>
      </c>
      <c r="G1436" t="s">
        <v>21</v>
      </c>
      <c r="H1436" t="s">
        <v>22</v>
      </c>
      <c r="I1436" t="s">
        <v>23</v>
      </c>
      <c r="J1436" t="s">
        <v>123</v>
      </c>
      <c r="K1436" s="3">
        <v>10170</v>
      </c>
      <c r="L1436" t="s">
        <v>825</v>
      </c>
      <c r="M1436" t="s">
        <v>1247</v>
      </c>
      <c r="O1436" s="4">
        <v>0.15</v>
      </c>
      <c r="P1436" s="3">
        <v>1525.5</v>
      </c>
      <c r="Q1436" t="s">
        <v>1214</v>
      </c>
    </row>
    <row r="1437" spans="1:17" ht="15" customHeight="1" x14ac:dyDescent="0.3">
      <c r="A1437">
        <v>2023</v>
      </c>
      <c r="B1437" s="2">
        <v>45153</v>
      </c>
      <c r="C1437" t="s">
        <v>291</v>
      </c>
      <c r="D1437" t="s">
        <v>786</v>
      </c>
      <c r="F1437" t="s">
        <v>20</v>
      </c>
      <c r="G1437" t="s">
        <v>21</v>
      </c>
      <c r="H1437" t="s">
        <v>22</v>
      </c>
      <c r="I1437" t="s">
        <v>23</v>
      </c>
      <c r="J1437" t="s">
        <v>123</v>
      </c>
      <c r="K1437" s="3">
        <v>2792.75</v>
      </c>
      <c r="L1437" t="s">
        <v>825</v>
      </c>
      <c r="M1437" t="s">
        <v>1248</v>
      </c>
      <c r="O1437" s="4">
        <v>0.15</v>
      </c>
      <c r="P1437" s="3">
        <v>418.91250000000002</v>
      </c>
      <c r="Q1437" t="s">
        <v>1223</v>
      </c>
    </row>
    <row r="1438" spans="1:17" ht="15" customHeight="1" x14ac:dyDescent="0.3">
      <c r="A1438">
        <v>2023</v>
      </c>
      <c r="B1438" s="2">
        <v>45155</v>
      </c>
      <c r="C1438" t="s">
        <v>291</v>
      </c>
      <c r="D1438" t="s">
        <v>1233</v>
      </c>
      <c r="F1438" t="s">
        <v>20</v>
      </c>
      <c r="G1438" t="s">
        <v>107</v>
      </c>
      <c r="H1438" t="s">
        <v>108</v>
      </c>
      <c r="I1438" t="s">
        <v>141</v>
      </c>
      <c r="J1438" t="s">
        <v>759</v>
      </c>
      <c r="K1438" s="3">
        <v>6750</v>
      </c>
      <c r="L1438" t="s">
        <v>825</v>
      </c>
      <c r="M1438" t="s">
        <v>1249</v>
      </c>
      <c r="O1438" s="4">
        <v>0.15</v>
      </c>
      <c r="P1438" s="3">
        <v>1012.5</v>
      </c>
      <c r="Q1438" t="s">
        <v>1235</v>
      </c>
    </row>
    <row r="1439" spans="1:17" ht="15" customHeight="1" x14ac:dyDescent="0.3">
      <c r="A1439">
        <v>2023</v>
      </c>
      <c r="B1439" s="2">
        <v>45166</v>
      </c>
      <c r="C1439" t="s">
        <v>291</v>
      </c>
      <c r="D1439" t="s">
        <v>675</v>
      </c>
      <c r="F1439" t="s">
        <v>20</v>
      </c>
      <c r="G1439" t="s">
        <v>38</v>
      </c>
      <c r="H1439" t="s">
        <v>147</v>
      </c>
      <c r="I1439" t="s">
        <v>306</v>
      </c>
      <c r="J1439" t="s">
        <v>50</v>
      </c>
      <c r="K1439" s="3">
        <v>23970.83</v>
      </c>
      <c r="L1439" t="s">
        <v>825</v>
      </c>
      <c r="M1439" t="s">
        <v>1250</v>
      </c>
      <c r="O1439" s="4">
        <v>0.15</v>
      </c>
      <c r="P1439" s="3">
        <v>3595.6244999999999</v>
      </c>
      <c r="Q1439" t="s">
        <v>1251</v>
      </c>
    </row>
    <row r="1440" spans="1:17" ht="15" customHeight="1" x14ac:dyDescent="0.3">
      <c r="A1440">
        <v>2023</v>
      </c>
      <c r="B1440" s="2">
        <v>45175</v>
      </c>
      <c r="C1440" t="s">
        <v>325</v>
      </c>
      <c r="D1440" t="s">
        <v>786</v>
      </c>
      <c r="F1440" t="s">
        <v>20</v>
      </c>
      <c r="G1440" t="s">
        <v>21</v>
      </c>
      <c r="H1440" t="s">
        <v>22</v>
      </c>
      <c r="I1440" t="s">
        <v>23</v>
      </c>
      <c r="J1440" t="s">
        <v>123</v>
      </c>
      <c r="K1440" s="3">
        <v>1950</v>
      </c>
      <c r="L1440" t="s">
        <v>825</v>
      </c>
      <c r="M1440" t="s">
        <v>1252</v>
      </c>
      <c r="O1440" s="4">
        <v>0.15</v>
      </c>
      <c r="P1440" s="3">
        <v>292.5</v>
      </c>
      <c r="Q1440" t="s">
        <v>1223</v>
      </c>
    </row>
    <row r="1441" spans="1:17" ht="15" customHeight="1" x14ac:dyDescent="0.3">
      <c r="A1441">
        <v>2023</v>
      </c>
      <c r="B1441" s="2">
        <v>45181</v>
      </c>
      <c r="C1441" t="s">
        <v>325</v>
      </c>
      <c r="D1441" t="s">
        <v>746</v>
      </c>
      <c r="F1441" t="s">
        <v>20</v>
      </c>
      <c r="G1441" t="s">
        <v>21</v>
      </c>
      <c r="H1441" t="s">
        <v>22</v>
      </c>
      <c r="I1441" t="s">
        <v>141</v>
      </c>
      <c r="J1441" t="s">
        <v>50</v>
      </c>
      <c r="K1441" s="3">
        <v>10540.5405405405</v>
      </c>
      <c r="L1441" t="s">
        <v>793</v>
      </c>
      <c r="M1441" t="s">
        <v>1253</v>
      </c>
      <c r="O1441" s="4"/>
      <c r="P1441" s="3"/>
      <c r="Q1441" t="s">
        <v>1254</v>
      </c>
    </row>
    <row r="1442" spans="1:17" ht="15" customHeight="1" x14ac:dyDescent="0.3">
      <c r="A1442">
        <v>2023</v>
      </c>
      <c r="B1442" s="2">
        <v>45181</v>
      </c>
      <c r="C1442" t="s">
        <v>325</v>
      </c>
      <c r="D1442" t="s">
        <v>1007</v>
      </c>
      <c r="F1442" t="s">
        <v>20</v>
      </c>
      <c r="G1442" t="s">
        <v>38</v>
      </c>
      <c r="H1442" t="s">
        <v>39</v>
      </c>
      <c r="I1442" t="s">
        <v>306</v>
      </c>
      <c r="J1442" t="s">
        <v>123</v>
      </c>
      <c r="K1442" s="3">
        <v>300</v>
      </c>
      <c r="L1442" t="s">
        <v>825</v>
      </c>
      <c r="M1442" t="s">
        <v>1255</v>
      </c>
      <c r="O1442" s="4">
        <v>0.15</v>
      </c>
      <c r="P1442" s="3">
        <v>45</v>
      </c>
      <c r="Q1442" t="s">
        <v>1164</v>
      </c>
    </row>
    <row r="1443" spans="1:17" ht="15" customHeight="1" x14ac:dyDescent="0.3">
      <c r="A1443">
        <v>2023</v>
      </c>
      <c r="B1443" s="2">
        <v>45183</v>
      </c>
      <c r="C1443" t="s">
        <v>325</v>
      </c>
      <c r="D1443" t="s">
        <v>749</v>
      </c>
      <c r="F1443" t="s">
        <v>20</v>
      </c>
      <c r="G1443" t="s">
        <v>38</v>
      </c>
      <c r="H1443" t="s">
        <v>39</v>
      </c>
      <c r="I1443" t="s">
        <v>141</v>
      </c>
      <c r="J1443" t="s">
        <v>50</v>
      </c>
      <c r="K1443" s="3">
        <v>5739.8</v>
      </c>
      <c r="L1443" t="s">
        <v>825</v>
      </c>
      <c r="M1443" t="s">
        <v>1256</v>
      </c>
      <c r="O1443" s="4">
        <v>0.15</v>
      </c>
      <c r="P1443" s="3">
        <v>860.97</v>
      </c>
      <c r="Q1443" t="s">
        <v>1189</v>
      </c>
    </row>
    <row r="1444" spans="1:17" ht="15" customHeight="1" x14ac:dyDescent="0.3">
      <c r="A1444">
        <v>2023</v>
      </c>
      <c r="B1444" s="2">
        <v>45184</v>
      </c>
      <c r="C1444" t="s">
        <v>325</v>
      </c>
      <c r="D1444" t="s">
        <v>1233</v>
      </c>
      <c r="F1444" t="s">
        <v>20</v>
      </c>
      <c r="G1444" t="s">
        <v>107</v>
      </c>
      <c r="H1444" t="s">
        <v>108</v>
      </c>
      <c r="I1444" t="s">
        <v>23</v>
      </c>
      <c r="J1444" t="s">
        <v>759</v>
      </c>
      <c r="K1444" s="3">
        <v>7551.43</v>
      </c>
      <c r="L1444" t="s">
        <v>825</v>
      </c>
      <c r="M1444" t="s">
        <v>1257</v>
      </c>
      <c r="O1444" s="4">
        <v>0.15</v>
      </c>
      <c r="P1444" s="3">
        <v>1132.7145</v>
      </c>
      <c r="Q1444" t="s">
        <v>1235</v>
      </c>
    </row>
    <row r="1445" spans="1:17" ht="15" customHeight="1" x14ac:dyDescent="0.3">
      <c r="A1445">
        <v>2023</v>
      </c>
      <c r="B1445" s="2">
        <v>45196</v>
      </c>
      <c r="C1445" t="s">
        <v>325</v>
      </c>
      <c r="D1445" t="s">
        <v>675</v>
      </c>
      <c r="F1445" t="s">
        <v>20</v>
      </c>
      <c r="G1445" t="s">
        <v>38</v>
      </c>
      <c r="H1445" t="s">
        <v>147</v>
      </c>
      <c r="I1445" t="s">
        <v>306</v>
      </c>
      <c r="J1445" t="s">
        <v>50</v>
      </c>
      <c r="K1445" s="3">
        <v>211</v>
      </c>
      <c r="L1445" t="s">
        <v>793</v>
      </c>
      <c r="M1445" t="s">
        <v>1258</v>
      </c>
      <c r="O1445" s="4">
        <v>0.3</v>
      </c>
      <c r="P1445" s="3">
        <v>63.3</v>
      </c>
      <c r="Q1445" t="s">
        <v>1259</v>
      </c>
    </row>
    <row r="1446" spans="1:17" ht="15" customHeight="1" x14ac:dyDescent="0.3">
      <c r="A1446">
        <v>2023</v>
      </c>
      <c r="B1446" s="2">
        <v>45196</v>
      </c>
      <c r="C1446" t="s">
        <v>325</v>
      </c>
      <c r="D1446" t="s">
        <v>69</v>
      </c>
      <c r="F1446" t="s">
        <v>20</v>
      </c>
      <c r="G1446" t="s">
        <v>21</v>
      </c>
      <c r="H1446" t="s">
        <v>22</v>
      </c>
      <c r="I1446" t="s">
        <v>23</v>
      </c>
      <c r="J1446" t="s">
        <v>50</v>
      </c>
      <c r="K1446" s="3">
        <v>1485</v>
      </c>
      <c r="L1446" t="s">
        <v>793</v>
      </c>
      <c r="M1446" t="s">
        <v>1260</v>
      </c>
      <c r="O1446" s="4">
        <v>0.39389898989899003</v>
      </c>
      <c r="P1446" s="3">
        <v>584.94000000000005</v>
      </c>
      <c r="Q1446" t="s">
        <v>421</v>
      </c>
    </row>
    <row r="1447" spans="1:17" ht="15" customHeight="1" x14ac:dyDescent="0.3">
      <c r="A1447">
        <v>2023</v>
      </c>
      <c r="B1447" s="2">
        <v>45203</v>
      </c>
      <c r="C1447" t="s">
        <v>357</v>
      </c>
      <c r="D1447" t="s">
        <v>746</v>
      </c>
      <c r="F1447" t="s">
        <v>20</v>
      </c>
      <c r="G1447" t="s">
        <v>21</v>
      </c>
      <c r="H1447" t="s">
        <v>22</v>
      </c>
      <c r="I1447" t="s">
        <v>141</v>
      </c>
      <c r="J1447" t="s">
        <v>50</v>
      </c>
      <c r="K1447" s="3">
        <v>380</v>
      </c>
      <c r="L1447" t="s">
        <v>793</v>
      </c>
      <c r="M1447" t="s">
        <v>1261</v>
      </c>
      <c r="O1447" s="4">
        <v>0.35</v>
      </c>
      <c r="P1447" s="3">
        <v>133</v>
      </c>
      <c r="Q1447" t="s">
        <v>1262</v>
      </c>
    </row>
    <row r="1448" spans="1:17" ht="15" customHeight="1" x14ac:dyDescent="0.3">
      <c r="A1448">
        <v>2023</v>
      </c>
      <c r="B1448" s="2">
        <v>45203</v>
      </c>
      <c r="C1448" t="s">
        <v>357</v>
      </c>
      <c r="D1448" t="s">
        <v>28</v>
      </c>
      <c r="F1448" t="s">
        <v>20</v>
      </c>
      <c r="G1448" t="s">
        <v>21</v>
      </c>
      <c r="H1448" t="s">
        <v>22</v>
      </c>
      <c r="I1448" t="s">
        <v>23</v>
      </c>
      <c r="J1448" t="s">
        <v>123</v>
      </c>
      <c r="K1448" s="3">
        <v>451574.47</v>
      </c>
      <c r="L1448" t="s">
        <v>793</v>
      </c>
      <c r="M1448" t="s">
        <v>1263</v>
      </c>
      <c r="O1448" s="4">
        <v>0.15937125497816601</v>
      </c>
      <c r="P1448" s="3">
        <v>71967.990000000194</v>
      </c>
      <c r="Q1448" t="s">
        <v>1264</v>
      </c>
    </row>
    <row r="1449" spans="1:17" ht="15" customHeight="1" x14ac:dyDescent="0.3">
      <c r="A1449">
        <v>2023</v>
      </c>
      <c r="B1449" s="2">
        <v>45204</v>
      </c>
      <c r="C1449" t="s">
        <v>357</v>
      </c>
      <c r="D1449" t="s">
        <v>1233</v>
      </c>
      <c r="F1449" t="s">
        <v>20</v>
      </c>
      <c r="G1449" t="s">
        <v>107</v>
      </c>
      <c r="H1449" t="s">
        <v>108</v>
      </c>
      <c r="I1449" t="s">
        <v>23</v>
      </c>
      <c r="J1449" t="s">
        <v>759</v>
      </c>
      <c r="K1449" s="3">
        <v>1745.08</v>
      </c>
      <c r="L1449" t="s">
        <v>825</v>
      </c>
      <c r="M1449" t="s">
        <v>1265</v>
      </c>
      <c r="O1449" s="4">
        <v>0.15</v>
      </c>
      <c r="P1449" s="3">
        <v>261.762</v>
      </c>
      <c r="Q1449" t="s">
        <v>1235</v>
      </c>
    </row>
    <row r="1450" spans="1:17" ht="15" customHeight="1" x14ac:dyDescent="0.3">
      <c r="A1450">
        <v>2023</v>
      </c>
      <c r="B1450" s="2">
        <v>45209</v>
      </c>
      <c r="C1450" t="s">
        <v>357</v>
      </c>
      <c r="D1450" t="s">
        <v>675</v>
      </c>
      <c r="F1450" t="s">
        <v>20</v>
      </c>
      <c r="G1450" t="s">
        <v>38</v>
      </c>
      <c r="H1450" t="s">
        <v>147</v>
      </c>
      <c r="I1450" t="s">
        <v>306</v>
      </c>
      <c r="J1450" t="s">
        <v>50</v>
      </c>
      <c r="K1450" s="3">
        <v>3357.14</v>
      </c>
      <c r="L1450" t="s">
        <v>825</v>
      </c>
      <c r="M1450" t="s">
        <v>1266</v>
      </c>
      <c r="O1450" s="4">
        <v>0.15</v>
      </c>
      <c r="P1450" s="3">
        <v>503.57100000000003</v>
      </c>
      <c r="Q1450" t="s">
        <v>1217</v>
      </c>
    </row>
    <row r="1451" spans="1:17" ht="15" customHeight="1" x14ac:dyDescent="0.3">
      <c r="A1451">
        <v>2023</v>
      </c>
      <c r="B1451" s="2">
        <v>45217</v>
      </c>
      <c r="C1451" t="s">
        <v>357</v>
      </c>
      <c r="D1451" t="s">
        <v>30</v>
      </c>
      <c r="F1451" t="s">
        <v>20</v>
      </c>
      <c r="G1451" t="s">
        <v>21</v>
      </c>
      <c r="H1451" t="s">
        <v>22</v>
      </c>
      <c r="I1451" t="s">
        <v>23</v>
      </c>
      <c r="J1451" t="s">
        <v>50</v>
      </c>
      <c r="K1451" s="3">
        <v>51078.652542372904</v>
      </c>
      <c r="L1451" t="s">
        <v>825</v>
      </c>
      <c r="M1451" t="s">
        <v>1267</v>
      </c>
      <c r="O1451" s="4">
        <v>0.121967694720057</v>
      </c>
      <c r="P1451" s="3">
        <v>6229.9454999999998</v>
      </c>
      <c r="Q1451" t="s">
        <v>1200</v>
      </c>
    </row>
    <row r="1452" spans="1:17" ht="15" customHeight="1" x14ac:dyDescent="0.3">
      <c r="A1452">
        <v>2023</v>
      </c>
      <c r="B1452" s="2">
        <v>45217</v>
      </c>
      <c r="C1452" t="s">
        <v>357</v>
      </c>
      <c r="D1452" t="s">
        <v>1118</v>
      </c>
      <c r="F1452" t="s">
        <v>20</v>
      </c>
      <c r="G1452" t="s">
        <v>107</v>
      </c>
      <c r="H1452" t="s">
        <v>108</v>
      </c>
      <c r="I1452" t="s">
        <v>306</v>
      </c>
      <c r="J1452" t="s">
        <v>50</v>
      </c>
      <c r="K1452" s="3">
        <v>1600</v>
      </c>
      <c r="L1452" t="s">
        <v>825</v>
      </c>
      <c r="M1452" t="s">
        <v>1268</v>
      </c>
      <c r="O1452" s="4">
        <v>0.15</v>
      </c>
      <c r="P1452" s="3">
        <v>240</v>
      </c>
      <c r="Q1452" t="s">
        <v>1151</v>
      </c>
    </row>
    <row r="1453" spans="1:17" ht="15" customHeight="1" x14ac:dyDescent="0.3">
      <c r="A1453">
        <v>2023</v>
      </c>
      <c r="B1453" s="2">
        <v>45218</v>
      </c>
      <c r="C1453" t="s">
        <v>357</v>
      </c>
      <c r="D1453" t="s">
        <v>1269</v>
      </c>
      <c r="F1453" t="s">
        <v>20</v>
      </c>
      <c r="G1453" t="s">
        <v>21</v>
      </c>
      <c r="H1453" t="s">
        <v>22</v>
      </c>
      <c r="I1453" t="s">
        <v>23</v>
      </c>
      <c r="J1453" t="s">
        <v>110</v>
      </c>
      <c r="K1453" s="3">
        <v>2374.7600000000002</v>
      </c>
      <c r="L1453" t="s">
        <v>793</v>
      </c>
      <c r="M1453" t="s">
        <v>1270</v>
      </c>
      <c r="O1453" s="4">
        <v>0.12536424733446799</v>
      </c>
      <c r="P1453" s="3">
        <v>297.710000000001</v>
      </c>
      <c r="Q1453" t="s">
        <v>1271</v>
      </c>
    </row>
    <row r="1454" spans="1:17" ht="15" customHeight="1" x14ac:dyDescent="0.3">
      <c r="A1454">
        <v>2023</v>
      </c>
      <c r="B1454" s="2">
        <v>45218</v>
      </c>
      <c r="C1454" t="s">
        <v>357</v>
      </c>
      <c r="D1454" t="s">
        <v>746</v>
      </c>
      <c r="F1454" t="s">
        <v>20</v>
      </c>
      <c r="G1454" t="s">
        <v>21</v>
      </c>
      <c r="H1454" t="s">
        <v>22</v>
      </c>
      <c r="I1454" t="s">
        <v>141</v>
      </c>
      <c r="J1454" t="s">
        <v>50</v>
      </c>
      <c r="K1454" s="3">
        <v>4927</v>
      </c>
      <c r="L1454" t="s">
        <v>825</v>
      </c>
      <c r="M1454" t="s">
        <v>1272</v>
      </c>
      <c r="O1454" s="4">
        <v>0.15</v>
      </c>
      <c r="P1454" s="3">
        <v>739.05</v>
      </c>
      <c r="Q1454" t="s">
        <v>1243</v>
      </c>
    </row>
    <row r="1455" spans="1:17" ht="15" customHeight="1" x14ac:dyDescent="0.3">
      <c r="A1455">
        <v>2023</v>
      </c>
      <c r="B1455" s="2">
        <v>45218</v>
      </c>
      <c r="C1455" t="s">
        <v>357</v>
      </c>
      <c r="D1455" t="s">
        <v>61</v>
      </c>
      <c r="F1455" t="s">
        <v>20</v>
      </c>
      <c r="G1455" t="s">
        <v>21</v>
      </c>
      <c r="H1455" t="s">
        <v>22</v>
      </c>
      <c r="I1455" t="s">
        <v>141</v>
      </c>
      <c r="J1455" t="s">
        <v>50</v>
      </c>
      <c r="K1455" s="3">
        <v>2437.5</v>
      </c>
      <c r="L1455" t="s">
        <v>825</v>
      </c>
      <c r="M1455" t="s">
        <v>1273</v>
      </c>
      <c r="O1455" s="4">
        <v>0.15</v>
      </c>
      <c r="P1455" s="3">
        <v>365.625</v>
      </c>
      <c r="Q1455" t="s">
        <v>1274</v>
      </c>
    </row>
    <row r="1456" spans="1:17" ht="15" customHeight="1" x14ac:dyDescent="0.3">
      <c r="A1456">
        <v>2023</v>
      </c>
      <c r="B1456" s="2">
        <v>45224</v>
      </c>
      <c r="C1456" t="s">
        <v>357</v>
      </c>
      <c r="D1456" t="s">
        <v>205</v>
      </c>
      <c r="F1456" t="s">
        <v>20</v>
      </c>
      <c r="G1456" t="s">
        <v>21</v>
      </c>
      <c r="H1456" t="s">
        <v>22</v>
      </c>
      <c r="I1456" t="s">
        <v>23</v>
      </c>
      <c r="J1456" t="s">
        <v>123</v>
      </c>
      <c r="K1456" s="3">
        <v>73602.491525423698</v>
      </c>
      <c r="L1456" t="s">
        <v>793</v>
      </c>
      <c r="M1456" t="s">
        <v>1275</v>
      </c>
      <c r="O1456" s="4">
        <v>0.14726580276505899</v>
      </c>
      <c r="P1456" s="3">
        <v>10839.13</v>
      </c>
      <c r="Q1456" t="s">
        <v>695</v>
      </c>
    </row>
    <row r="1457" spans="1:17" ht="15" customHeight="1" x14ac:dyDescent="0.3">
      <c r="A1457">
        <v>2023</v>
      </c>
      <c r="B1457" s="2">
        <v>45225</v>
      </c>
      <c r="C1457" t="s">
        <v>357</v>
      </c>
      <c r="D1457" t="s">
        <v>1118</v>
      </c>
      <c r="F1457" t="s">
        <v>20</v>
      </c>
      <c r="G1457" t="s">
        <v>107</v>
      </c>
      <c r="H1457" t="s">
        <v>108</v>
      </c>
      <c r="I1457" t="s">
        <v>306</v>
      </c>
      <c r="J1457" t="s">
        <v>50</v>
      </c>
      <c r="K1457" s="3">
        <v>1400</v>
      </c>
      <c r="L1457" t="s">
        <v>825</v>
      </c>
      <c r="M1457" t="s">
        <v>1276</v>
      </c>
      <c r="O1457" s="4">
        <v>0.15</v>
      </c>
      <c r="P1457" s="3">
        <v>210</v>
      </c>
      <c r="Q1457" t="s">
        <v>1151</v>
      </c>
    </row>
    <row r="1458" spans="1:17" ht="15" customHeight="1" x14ac:dyDescent="0.3">
      <c r="A1458">
        <v>2023</v>
      </c>
      <c r="B1458" s="2">
        <v>45232</v>
      </c>
      <c r="C1458" t="s">
        <v>389</v>
      </c>
      <c r="D1458" t="s">
        <v>1277</v>
      </c>
      <c r="F1458" t="s">
        <v>20</v>
      </c>
      <c r="G1458" t="s">
        <v>107</v>
      </c>
      <c r="H1458" t="s">
        <v>108</v>
      </c>
      <c r="I1458" t="s">
        <v>23</v>
      </c>
      <c r="J1458" t="s">
        <v>123</v>
      </c>
      <c r="K1458" s="3">
        <v>315</v>
      </c>
      <c r="L1458" t="s">
        <v>793</v>
      </c>
      <c r="M1458" t="s">
        <v>1278</v>
      </c>
      <c r="O1458" s="4">
        <v>0.11111111111111099</v>
      </c>
      <c r="P1458" s="3">
        <v>35</v>
      </c>
      <c r="Q1458" t="s">
        <v>1279</v>
      </c>
    </row>
    <row r="1459" spans="1:17" ht="15" customHeight="1" x14ac:dyDescent="0.3">
      <c r="A1459">
        <v>2023</v>
      </c>
      <c r="B1459" s="2">
        <v>45232</v>
      </c>
      <c r="C1459" t="s">
        <v>389</v>
      </c>
      <c r="D1459" t="s">
        <v>1280</v>
      </c>
      <c r="F1459" t="s">
        <v>20</v>
      </c>
      <c r="G1459" t="s">
        <v>107</v>
      </c>
      <c r="H1459" t="s">
        <v>108</v>
      </c>
      <c r="I1459" t="s">
        <v>23</v>
      </c>
      <c r="J1459" t="s">
        <v>123</v>
      </c>
      <c r="K1459" s="3">
        <v>17106.07</v>
      </c>
      <c r="L1459" t="s">
        <v>793</v>
      </c>
      <c r="M1459" t="s">
        <v>1281</v>
      </c>
      <c r="O1459" s="4">
        <v>0.18373770246468099</v>
      </c>
      <c r="P1459" s="3">
        <v>3143.0300000000102</v>
      </c>
      <c r="Q1459" t="s">
        <v>1282</v>
      </c>
    </row>
    <row r="1460" spans="1:17" ht="15" customHeight="1" x14ac:dyDescent="0.3">
      <c r="A1460">
        <v>2023</v>
      </c>
      <c r="B1460" s="2">
        <v>45233</v>
      </c>
      <c r="C1460" t="s">
        <v>389</v>
      </c>
      <c r="D1460" t="s">
        <v>1007</v>
      </c>
      <c r="F1460" t="s">
        <v>20</v>
      </c>
      <c r="G1460" t="s">
        <v>38</v>
      </c>
      <c r="H1460" t="s">
        <v>39</v>
      </c>
      <c r="I1460" t="s">
        <v>306</v>
      </c>
      <c r="J1460" t="s">
        <v>123</v>
      </c>
      <c r="K1460" s="3">
        <v>31020.94</v>
      </c>
      <c r="L1460" t="s">
        <v>825</v>
      </c>
      <c r="M1460" t="s">
        <v>1283</v>
      </c>
      <c r="O1460" s="4">
        <v>0.15</v>
      </c>
      <c r="P1460" s="3">
        <v>4653.1409999999996</v>
      </c>
      <c r="Q1460" t="s">
        <v>1164</v>
      </c>
    </row>
    <row r="1461" spans="1:17" ht="15" customHeight="1" x14ac:dyDescent="0.3">
      <c r="A1461">
        <v>2023</v>
      </c>
      <c r="B1461" s="2">
        <v>45236</v>
      </c>
      <c r="C1461" t="s">
        <v>389</v>
      </c>
      <c r="D1461" t="s">
        <v>786</v>
      </c>
      <c r="F1461" t="s">
        <v>20</v>
      </c>
      <c r="G1461" t="s">
        <v>21</v>
      </c>
      <c r="H1461" t="s">
        <v>22</v>
      </c>
      <c r="I1461" t="s">
        <v>23</v>
      </c>
      <c r="J1461" t="s">
        <v>123</v>
      </c>
      <c r="K1461" s="3">
        <v>1139.58</v>
      </c>
      <c r="L1461" t="s">
        <v>825</v>
      </c>
      <c r="M1461" t="s">
        <v>1284</v>
      </c>
      <c r="O1461" s="4">
        <v>0.15</v>
      </c>
      <c r="P1461" s="3">
        <v>170.93700000000001</v>
      </c>
      <c r="Q1461" t="s">
        <v>1214</v>
      </c>
    </row>
    <row r="1462" spans="1:17" ht="15" customHeight="1" x14ac:dyDescent="0.3">
      <c r="A1462">
        <v>2023</v>
      </c>
      <c r="B1462" s="2">
        <v>45239</v>
      </c>
      <c r="C1462" t="s">
        <v>389</v>
      </c>
      <c r="D1462" t="s">
        <v>1233</v>
      </c>
      <c r="F1462" t="s">
        <v>20</v>
      </c>
      <c r="G1462" t="s">
        <v>107</v>
      </c>
      <c r="H1462" t="s">
        <v>108</v>
      </c>
      <c r="I1462" t="s">
        <v>23</v>
      </c>
      <c r="J1462" t="s">
        <v>759</v>
      </c>
      <c r="K1462" s="3">
        <v>1487.8</v>
      </c>
      <c r="L1462" t="s">
        <v>825</v>
      </c>
      <c r="M1462" t="s">
        <v>1285</v>
      </c>
      <c r="O1462" s="4">
        <v>0.15</v>
      </c>
      <c r="P1462" s="3">
        <v>223.17</v>
      </c>
      <c r="Q1462" t="s">
        <v>1235</v>
      </c>
    </row>
    <row r="1463" spans="1:17" ht="15" customHeight="1" x14ac:dyDescent="0.3">
      <c r="A1463">
        <v>2023</v>
      </c>
      <c r="B1463" s="2">
        <v>45244</v>
      </c>
      <c r="C1463" t="s">
        <v>389</v>
      </c>
      <c r="D1463" t="s">
        <v>205</v>
      </c>
      <c r="F1463" t="s">
        <v>20</v>
      </c>
      <c r="G1463" t="s">
        <v>21</v>
      </c>
      <c r="H1463" t="s">
        <v>22</v>
      </c>
      <c r="I1463" t="s">
        <v>23</v>
      </c>
      <c r="J1463" t="s">
        <v>123</v>
      </c>
      <c r="K1463" s="3">
        <v>5693</v>
      </c>
      <c r="L1463" t="s">
        <v>793</v>
      </c>
      <c r="M1463" t="s">
        <v>1286</v>
      </c>
      <c r="O1463" s="4">
        <v>0.167911470226594</v>
      </c>
      <c r="P1463" s="3">
        <v>955.92</v>
      </c>
      <c r="Q1463" t="s">
        <v>1287</v>
      </c>
    </row>
    <row r="1464" spans="1:17" ht="15" customHeight="1" x14ac:dyDescent="0.3">
      <c r="A1464">
        <v>2023</v>
      </c>
      <c r="B1464" s="2">
        <v>45257</v>
      </c>
      <c r="C1464" t="s">
        <v>389</v>
      </c>
      <c r="D1464" t="s">
        <v>56</v>
      </c>
      <c r="F1464" t="s">
        <v>20</v>
      </c>
      <c r="G1464" t="s">
        <v>21</v>
      </c>
      <c r="H1464" t="s">
        <v>22</v>
      </c>
      <c r="I1464" t="s">
        <v>306</v>
      </c>
      <c r="J1464" t="s">
        <v>123</v>
      </c>
      <c r="K1464" s="3">
        <v>1277343.53389831</v>
      </c>
      <c r="L1464" t="s">
        <v>793</v>
      </c>
      <c r="M1464" t="s">
        <v>1288</v>
      </c>
      <c r="O1464" s="4">
        <v>0.11700713710419799</v>
      </c>
      <c r="P1464" s="3">
        <v>149458.31</v>
      </c>
      <c r="Q1464" t="s">
        <v>1289</v>
      </c>
    </row>
    <row r="1465" spans="1:17" ht="15" customHeight="1" x14ac:dyDescent="0.3">
      <c r="A1465">
        <v>2023</v>
      </c>
      <c r="B1465" s="2">
        <v>45258</v>
      </c>
      <c r="C1465" t="s">
        <v>389</v>
      </c>
      <c r="D1465" t="s">
        <v>1118</v>
      </c>
      <c r="F1465" t="s">
        <v>20</v>
      </c>
      <c r="G1465" t="s">
        <v>107</v>
      </c>
      <c r="H1465" t="s">
        <v>108</v>
      </c>
      <c r="I1465" t="s">
        <v>306</v>
      </c>
      <c r="J1465" t="s">
        <v>50</v>
      </c>
      <c r="K1465" s="3">
        <v>3355.3</v>
      </c>
      <c r="L1465" t="s">
        <v>825</v>
      </c>
      <c r="M1465" t="s">
        <v>1290</v>
      </c>
      <c r="O1465" s="4">
        <v>0.15</v>
      </c>
      <c r="P1465" s="3">
        <v>503.29500000000002</v>
      </c>
      <c r="Q1465" t="s">
        <v>1151</v>
      </c>
    </row>
    <row r="1466" spans="1:17" ht="15" customHeight="1" x14ac:dyDescent="0.3">
      <c r="A1466">
        <v>2023</v>
      </c>
      <c r="B1466" s="2">
        <v>45259</v>
      </c>
      <c r="C1466" t="s">
        <v>389</v>
      </c>
      <c r="D1466" t="s">
        <v>184</v>
      </c>
      <c r="F1466" t="s">
        <v>20</v>
      </c>
      <c r="G1466" t="s">
        <v>107</v>
      </c>
      <c r="H1466" t="s">
        <v>108</v>
      </c>
      <c r="I1466" t="s">
        <v>23</v>
      </c>
      <c r="J1466" t="s">
        <v>123</v>
      </c>
      <c r="K1466" s="3">
        <v>66394.27</v>
      </c>
      <c r="L1466" t="s">
        <v>793</v>
      </c>
      <c r="M1466" t="s">
        <v>1291</v>
      </c>
      <c r="O1466" s="4">
        <v>0.14172427831498099</v>
      </c>
      <c r="P1466" s="3">
        <v>9409.6799999999894</v>
      </c>
      <c r="Q1466" t="s">
        <v>1210</v>
      </c>
    </row>
    <row r="1467" spans="1:17" ht="15" customHeight="1" x14ac:dyDescent="0.3">
      <c r="A1467">
        <v>2023</v>
      </c>
      <c r="B1467" s="2">
        <v>45259</v>
      </c>
      <c r="C1467" t="s">
        <v>389</v>
      </c>
      <c r="D1467" t="s">
        <v>205</v>
      </c>
      <c r="F1467" t="s">
        <v>20</v>
      </c>
      <c r="G1467" t="s">
        <v>21</v>
      </c>
      <c r="H1467" t="s">
        <v>22</v>
      </c>
      <c r="I1467" t="s">
        <v>23</v>
      </c>
      <c r="J1467" t="s">
        <v>123</v>
      </c>
      <c r="K1467" s="3">
        <v>8036</v>
      </c>
      <c r="L1467" t="s">
        <v>825</v>
      </c>
      <c r="M1467" t="s">
        <v>1292</v>
      </c>
      <c r="O1467" s="4">
        <v>0.15</v>
      </c>
      <c r="P1467" s="3">
        <v>1205.4000000000001</v>
      </c>
      <c r="Q1467" t="s">
        <v>695</v>
      </c>
    </row>
    <row r="1468" spans="1:17" ht="15" customHeight="1" x14ac:dyDescent="0.3">
      <c r="A1468">
        <v>2023</v>
      </c>
      <c r="B1468" s="2">
        <v>45260</v>
      </c>
      <c r="C1468" t="s">
        <v>389</v>
      </c>
      <c r="D1468" t="s">
        <v>1293</v>
      </c>
      <c r="F1468" t="s">
        <v>20</v>
      </c>
      <c r="G1468" t="s">
        <v>21</v>
      </c>
      <c r="H1468" t="s">
        <v>22</v>
      </c>
      <c r="I1468" t="s">
        <v>23</v>
      </c>
      <c r="J1468" t="s">
        <v>123</v>
      </c>
      <c r="K1468" s="3">
        <v>1250</v>
      </c>
      <c r="L1468" t="s">
        <v>793</v>
      </c>
      <c r="M1468" t="s">
        <v>1294</v>
      </c>
      <c r="O1468" s="4">
        <v>0.15</v>
      </c>
      <c r="P1468" s="3">
        <v>187.5</v>
      </c>
      <c r="Q1468" t="s">
        <v>1295</v>
      </c>
    </row>
    <row r="1469" spans="1:17" ht="15" customHeight="1" x14ac:dyDescent="0.3">
      <c r="A1469">
        <v>2023</v>
      </c>
      <c r="B1469" s="2">
        <v>45275</v>
      </c>
      <c r="C1469" t="s">
        <v>416</v>
      </c>
      <c r="D1469" t="s">
        <v>1296</v>
      </c>
      <c r="F1469" t="s">
        <v>20</v>
      </c>
      <c r="G1469" t="s">
        <v>38</v>
      </c>
      <c r="H1469" t="s">
        <v>39</v>
      </c>
      <c r="I1469" t="s">
        <v>306</v>
      </c>
      <c r="J1469" t="s">
        <v>123</v>
      </c>
      <c r="K1469" s="3">
        <v>788484.02</v>
      </c>
      <c r="L1469" t="s">
        <v>793</v>
      </c>
      <c r="M1469" t="s">
        <v>1297</v>
      </c>
      <c r="O1469" s="4">
        <v>0.177214904114354</v>
      </c>
      <c r="P1469" s="3">
        <v>139731.12</v>
      </c>
      <c r="Q1469" t="s">
        <v>1298</v>
      </c>
    </row>
    <row r="1470" spans="1:17" ht="15" customHeight="1" x14ac:dyDescent="0.3">
      <c r="A1470">
        <v>2023</v>
      </c>
      <c r="B1470" s="2">
        <v>45275</v>
      </c>
      <c r="C1470" t="s">
        <v>416</v>
      </c>
      <c r="D1470" t="s">
        <v>1299</v>
      </c>
      <c r="F1470" t="s">
        <v>20</v>
      </c>
      <c r="G1470" t="s">
        <v>38</v>
      </c>
      <c r="H1470" t="s">
        <v>619</v>
      </c>
      <c r="I1470" t="s">
        <v>49</v>
      </c>
      <c r="J1470" t="s">
        <v>123</v>
      </c>
      <c r="K1470" s="3">
        <v>770978.41525423795</v>
      </c>
      <c r="L1470" t="s">
        <v>793</v>
      </c>
      <c r="M1470" t="s">
        <v>1300</v>
      </c>
      <c r="O1470" s="4">
        <v>0.19959715726834601</v>
      </c>
      <c r="P1470" s="3">
        <v>153885.1</v>
      </c>
      <c r="Q1470" t="s">
        <v>1301</v>
      </c>
    </row>
    <row r="1471" spans="1:17" ht="15" customHeight="1" x14ac:dyDescent="0.3">
      <c r="A1471">
        <v>2023</v>
      </c>
      <c r="B1471" s="2">
        <v>45279</v>
      </c>
      <c r="C1471" t="s">
        <v>416</v>
      </c>
      <c r="D1471" t="s">
        <v>30</v>
      </c>
      <c r="F1471" t="s">
        <v>20</v>
      </c>
      <c r="G1471" t="s">
        <v>21</v>
      </c>
      <c r="H1471" t="s">
        <v>22</v>
      </c>
      <c r="I1471" t="s">
        <v>23</v>
      </c>
      <c r="J1471" t="s">
        <v>50</v>
      </c>
      <c r="K1471" s="3">
        <v>35078.508474576302</v>
      </c>
      <c r="L1471" t="s">
        <v>825</v>
      </c>
      <c r="M1471" t="s">
        <v>1302</v>
      </c>
      <c r="O1471" s="4">
        <v>0.15000000652289899</v>
      </c>
      <c r="P1471" s="3">
        <v>5261.7765000000099</v>
      </c>
      <c r="Q1471" t="s">
        <v>1200</v>
      </c>
    </row>
    <row r="1472" spans="1:17" ht="15" customHeight="1" x14ac:dyDescent="0.3">
      <c r="A1472">
        <v>2023</v>
      </c>
      <c r="B1472" s="2">
        <v>45280</v>
      </c>
      <c r="C1472" t="s">
        <v>416</v>
      </c>
      <c r="D1472" t="s">
        <v>844</v>
      </c>
      <c r="F1472" t="s">
        <v>20</v>
      </c>
      <c r="G1472" t="s">
        <v>107</v>
      </c>
      <c r="H1472" t="s">
        <v>108</v>
      </c>
      <c r="I1472" t="s">
        <v>306</v>
      </c>
      <c r="J1472" t="s">
        <v>50</v>
      </c>
      <c r="K1472" s="3">
        <v>22000</v>
      </c>
      <c r="L1472" t="s">
        <v>793</v>
      </c>
      <c r="M1472" t="s">
        <v>1303</v>
      </c>
      <c r="O1472" s="4">
        <v>0.18740454545454599</v>
      </c>
      <c r="P1472" s="3">
        <v>4122.9000000000096</v>
      </c>
      <c r="Q1472" t="s">
        <v>1304</v>
      </c>
    </row>
    <row r="1473" spans="1:17" ht="15" customHeight="1" x14ac:dyDescent="0.3">
      <c r="A1473">
        <v>2023</v>
      </c>
      <c r="B1473" s="2">
        <v>45280</v>
      </c>
      <c r="C1473" t="s">
        <v>416</v>
      </c>
      <c r="D1473" t="s">
        <v>786</v>
      </c>
      <c r="F1473" t="s">
        <v>20</v>
      </c>
      <c r="G1473" t="s">
        <v>21</v>
      </c>
      <c r="H1473" t="s">
        <v>22</v>
      </c>
      <c r="I1473" t="s">
        <v>23</v>
      </c>
      <c r="J1473" t="s">
        <v>123</v>
      </c>
      <c r="K1473" s="3">
        <v>200</v>
      </c>
      <c r="L1473" t="s">
        <v>825</v>
      </c>
      <c r="M1473" t="s">
        <v>1305</v>
      </c>
      <c r="O1473" s="4">
        <v>0.15</v>
      </c>
      <c r="P1473" s="3">
        <v>30</v>
      </c>
      <c r="Q1473" t="s">
        <v>1214</v>
      </c>
    </row>
    <row r="1474" spans="1:17" ht="15" customHeight="1" x14ac:dyDescent="0.3">
      <c r="A1474">
        <v>2024</v>
      </c>
      <c r="B1474" s="2">
        <v>45294</v>
      </c>
      <c r="C1474" t="s">
        <v>17</v>
      </c>
      <c r="D1474" t="s">
        <v>56</v>
      </c>
      <c r="F1474" t="s">
        <v>20</v>
      </c>
      <c r="G1474" t="s">
        <v>21</v>
      </c>
      <c r="H1474" t="s">
        <v>22</v>
      </c>
      <c r="I1474" t="s">
        <v>306</v>
      </c>
      <c r="J1474" t="s">
        <v>123</v>
      </c>
      <c r="K1474" s="3">
        <v>51591</v>
      </c>
      <c r="L1474" t="s">
        <v>793</v>
      </c>
      <c r="M1474" t="s">
        <v>1306</v>
      </c>
      <c r="O1474" s="4">
        <v>0.18</v>
      </c>
      <c r="P1474" s="3">
        <v>9286.3799999999992</v>
      </c>
      <c r="Q1474" t="s">
        <v>1307</v>
      </c>
    </row>
    <row r="1475" spans="1:17" ht="15" customHeight="1" x14ac:dyDescent="0.3">
      <c r="A1475">
        <v>2024</v>
      </c>
      <c r="B1475" s="2">
        <v>45300</v>
      </c>
      <c r="C1475" t="s">
        <v>17</v>
      </c>
      <c r="D1475" t="s">
        <v>1118</v>
      </c>
      <c r="F1475" t="s">
        <v>20</v>
      </c>
      <c r="G1475" t="s">
        <v>38</v>
      </c>
      <c r="H1475" t="s">
        <v>147</v>
      </c>
      <c r="I1475" t="s">
        <v>306</v>
      </c>
      <c r="J1475" t="s">
        <v>50</v>
      </c>
      <c r="K1475" s="3">
        <v>1680</v>
      </c>
      <c r="L1475" t="s">
        <v>825</v>
      </c>
      <c r="M1475" t="s">
        <v>1308</v>
      </c>
      <c r="O1475" s="4">
        <v>0.15</v>
      </c>
      <c r="P1475" s="3">
        <v>252</v>
      </c>
      <c r="Q1475" t="s">
        <v>1151</v>
      </c>
    </row>
    <row r="1476" spans="1:17" ht="15" customHeight="1" x14ac:dyDescent="0.3">
      <c r="A1476">
        <v>2024</v>
      </c>
      <c r="B1476" s="2">
        <v>45302</v>
      </c>
      <c r="C1476" t="s">
        <v>17</v>
      </c>
      <c r="D1476" t="s">
        <v>40</v>
      </c>
      <c r="F1476" t="s">
        <v>20</v>
      </c>
      <c r="G1476" t="s">
        <v>21</v>
      </c>
      <c r="H1476" t="s">
        <v>22</v>
      </c>
      <c r="I1476" t="s">
        <v>49</v>
      </c>
      <c r="J1476" t="s">
        <v>50</v>
      </c>
      <c r="K1476" s="3">
        <v>1550.01</v>
      </c>
      <c r="L1476" t="s">
        <v>793</v>
      </c>
      <c r="M1476" t="s">
        <v>1309</v>
      </c>
      <c r="O1476" s="4">
        <v>0.24999193553589999</v>
      </c>
      <c r="P1476" s="3">
        <v>387.49</v>
      </c>
      <c r="Q1476" t="s">
        <v>1310</v>
      </c>
    </row>
    <row r="1477" spans="1:17" ht="15" customHeight="1" x14ac:dyDescent="0.3">
      <c r="A1477">
        <v>2024</v>
      </c>
      <c r="B1477" s="2">
        <v>45302</v>
      </c>
      <c r="C1477" t="s">
        <v>17</v>
      </c>
      <c r="D1477" t="s">
        <v>746</v>
      </c>
      <c r="F1477" t="s">
        <v>20</v>
      </c>
      <c r="G1477" t="s">
        <v>21</v>
      </c>
      <c r="H1477" t="s">
        <v>22</v>
      </c>
      <c r="I1477" t="s">
        <v>141</v>
      </c>
      <c r="J1477" t="s">
        <v>50</v>
      </c>
      <c r="K1477" s="3">
        <v>380</v>
      </c>
      <c r="L1477" t="s">
        <v>793</v>
      </c>
      <c r="M1477" t="s">
        <v>1311</v>
      </c>
      <c r="O1477" s="4">
        <v>0.25</v>
      </c>
      <c r="P1477" s="3">
        <v>95</v>
      </c>
      <c r="Q1477" t="s">
        <v>1312</v>
      </c>
    </row>
    <row r="1478" spans="1:17" ht="15" customHeight="1" x14ac:dyDescent="0.3">
      <c r="A1478">
        <v>2024</v>
      </c>
      <c r="B1478" s="2">
        <v>45303</v>
      </c>
      <c r="C1478" t="s">
        <v>17</v>
      </c>
      <c r="D1478" t="s">
        <v>1118</v>
      </c>
      <c r="F1478" t="s">
        <v>20</v>
      </c>
      <c r="G1478" t="s">
        <v>38</v>
      </c>
      <c r="H1478" t="s">
        <v>147</v>
      </c>
      <c r="I1478" t="s">
        <v>306</v>
      </c>
      <c r="J1478" t="s">
        <v>50</v>
      </c>
      <c r="K1478" s="3">
        <v>1800</v>
      </c>
      <c r="L1478" t="s">
        <v>825</v>
      </c>
      <c r="M1478" t="s">
        <v>1313</v>
      </c>
      <c r="O1478" s="4">
        <v>0.15</v>
      </c>
      <c r="P1478" s="3">
        <v>270</v>
      </c>
      <c r="Q1478" t="s">
        <v>1151</v>
      </c>
    </row>
    <row r="1479" spans="1:17" ht="15" customHeight="1" x14ac:dyDescent="0.3">
      <c r="A1479">
        <v>2024</v>
      </c>
      <c r="B1479" s="2">
        <v>45303</v>
      </c>
      <c r="C1479" t="s">
        <v>17</v>
      </c>
      <c r="D1479" t="s">
        <v>1118</v>
      </c>
      <c r="F1479" t="s">
        <v>20</v>
      </c>
      <c r="G1479" t="s">
        <v>38</v>
      </c>
      <c r="H1479" t="s">
        <v>147</v>
      </c>
      <c r="I1479" t="s">
        <v>306</v>
      </c>
      <c r="J1479" t="s">
        <v>50</v>
      </c>
      <c r="K1479" s="3">
        <v>15000</v>
      </c>
      <c r="L1479" t="s">
        <v>825</v>
      </c>
      <c r="M1479" t="s">
        <v>1314</v>
      </c>
      <c r="O1479" s="4">
        <v>0.15</v>
      </c>
      <c r="P1479" s="3">
        <v>2250</v>
      </c>
      <c r="Q1479" t="s">
        <v>1151</v>
      </c>
    </row>
    <row r="1480" spans="1:17" ht="15" customHeight="1" x14ac:dyDescent="0.3">
      <c r="A1480">
        <v>2024</v>
      </c>
      <c r="B1480" s="2">
        <v>45320</v>
      </c>
      <c r="C1480" t="s">
        <v>17</v>
      </c>
      <c r="D1480" t="s">
        <v>906</v>
      </c>
      <c r="F1480" t="s">
        <v>20</v>
      </c>
      <c r="G1480" t="s">
        <v>107</v>
      </c>
      <c r="H1480" t="s">
        <v>108</v>
      </c>
      <c r="I1480" t="s">
        <v>23</v>
      </c>
      <c r="J1480" t="s">
        <v>123</v>
      </c>
      <c r="K1480" s="3">
        <v>3046.68</v>
      </c>
      <c r="L1480" t="s">
        <v>793</v>
      </c>
      <c r="M1480" t="s">
        <v>1315</v>
      </c>
      <c r="O1480" s="4"/>
      <c r="P1480" s="3"/>
      <c r="Q1480" t="s">
        <v>1316</v>
      </c>
    </row>
    <row r="1481" spans="1:17" ht="15" customHeight="1" x14ac:dyDescent="0.3">
      <c r="A1481">
        <v>2024</v>
      </c>
      <c r="B1481" s="2">
        <v>45320</v>
      </c>
      <c r="C1481" t="s">
        <v>17</v>
      </c>
      <c r="D1481" t="s">
        <v>28</v>
      </c>
      <c r="F1481" t="s">
        <v>20</v>
      </c>
      <c r="G1481" t="s">
        <v>21</v>
      </c>
      <c r="H1481" t="s">
        <v>22</v>
      </c>
      <c r="I1481" t="s">
        <v>141</v>
      </c>
      <c r="J1481" t="s">
        <v>123</v>
      </c>
      <c r="K1481" s="3">
        <v>1972.03</v>
      </c>
      <c r="L1481" t="s">
        <v>825</v>
      </c>
      <c r="M1481" t="s">
        <v>1317</v>
      </c>
      <c r="O1481" s="4">
        <v>0.15</v>
      </c>
      <c r="P1481" s="3">
        <v>295.80450000000002</v>
      </c>
      <c r="Q1481" t="s">
        <v>1264</v>
      </c>
    </row>
    <row r="1482" spans="1:17" ht="15" customHeight="1" x14ac:dyDescent="0.3">
      <c r="A1482">
        <v>2024</v>
      </c>
      <c r="B1482" s="2">
        <v>45327</v>
      </c>
      <c r="C1482" t="s">
        <v>71</v>
      </c>
      <c r="D1482" t="s">
        <v>1318</v>
      </c>
      <c r="F1482" t="s">
        <v>20</v>
      </c>
      <c r="G1482" t="s">
        <v>38</v>
      </c>
      <c r="H1482" t="s">
        <v>39</v>
      </c>
      <c r="I1482" t="s">
        <v>306</v>
      </c>
      <c r="J1482" t="s">
        <v>110</v>
      </c>
      <c r="K1482" s="3">
        <v>9900</v>
      </c>
      <c r="L1482" t="s">
        <v>793</v>
      </c>
      <c r="M1482" t="s">
        <v>1319</v>
      </c>
      <c r="O1482" s="4">
        <v>0.3</v>
      </c>
      <c r="P1482" s="3">
        <v>2970</v>
      </c>
      <c r="Q1482" t="s">
        <v>1320</v>
      </c>
    </row>
    <row r="1483" spans="1:17" ht="15" customHeight="1" x14ac:dyDescent="0.3">
      <c r="A1483">
        <v>2024</v>
      </c>
      <c r="B1483" s="2">
        <v>45328</v>
      </c>
      <c r="C1483" t="s">
        <v>71</v>
      </c>
      <c r="D1483" t="s">
        <v>864</v>
      </c>
      <c r="F1483" t="s">
        <v>20</v>
      </c>
      <c r="G1483" t="s">
        <v>107</v>
      </c>
      <c r="H1483" t="s">
        <v>108</v>
      </c>
      <c r="I1483" t="s">
        <v>23</v>
      </c>
      <c r="J1483" t="s">
        <v>123</v>
      </c>
      <c r="K1483" s="3">
        <v>2513.81</v>
      </c>
      <c r="L1483" t="s">
        <v>793</v>
      </c>
      <c r="M1483" t="s">
        <v>1321</v>
      </c>
      <c r="O1483" s="4">
        <v>0.41626455460038703</v>
      </c>
      <c r="P1483" s="3">
        <v>1046.4100000000001</v>
      </c>
      <c r="Q1483" t="s">
        <v>1148</v>
      </c>
    </row>
    <row r="1484" spans="1:17" ht="15" customHeight="1" x14ac:dyDescent="0.3">
      <c r="A1484">
        <v>2024</v>
      </c>
      <c r="B1484" s="2">
        <v>45341</v>
      </c>
      <c r="C1484" t="s">
        <v>71</v>
      </c>
      <c r="D1484" t="s">
        <v>531</v>
      </c>
      <c r="F1484" t="s">
        <v>20</v>
      </c>
      <c r="G1484" t="s">
        <v>38</v>
      </c>
      <c r="H1484" t="s">
        <v>147</v>
      </c>
      <c r="I1484" t="s">
        <v>306</v>
      </c>
      <c r="J1484" t="s">
        <v>123</v>
      </c>
      <c r="K1484" s="3">
        <v>2788</v>
      </c>
      <c r="L1484" t="s">
        <v>825</v>
      </c>
      <c r="M1484" t="s">
        <v>1322</v>
      </c>
      <c r="O1484" s="4">
        <v>0.15</v>
      </c>
      <c r="P1484" s="3">
        <v>418.2</v>
      </c>
      <c r="Q1484" t="s">
        <v>1245</v>
      </c>
    </row>
    <row r="1485" spans="1:17" ht="15" customHeight="1" x14ac:dyDescent="0.3">
      <c r="A1485">
        <v>2024</v>
      </c>
      <c r="B1485" s="2">
        <v>45341</v>
      </c>
      <c r="C1485" t="s">
        <v>71</v>
      </c>
      <c r="D1485" t="s">
        <v>1323</v>
      </c>
      <c r="F1485" t="s">
        <v>20</v>
      </c>
      <c r="G1485" t="s">
        <v>21</v>
      </c>
      <c r="H1485" t="s">
        <v>22</v>
      </c>
      <c r="I1485" t="s">
        <v>306</v>
      </c>
      <c r="J1485" t="s">
        <v>123</v>
      </c>
      <c r="K1485" s="3">
        <v>291469.89610169502</v>
      </c>
      <c r="L1485" t="s">
        <v>793</v>
      </c>
      <c r="M1485" t="s">
        <v>1324</v>
      </c>
      <c r="O1485" s="4">
        <v>0.17958273118448301</v>
      </c>
      <c r="P1485" s="3">
        <v>52342.959999999897</v>
      </c>
      <c r="Q1485" t="s">
        <v>1325</v>
      </c>
    </row>
    <row r="1486" spans="1:17" ht="15" customHeight="1" x14ac:dyDescent="0.3">
      <c r="A1486">
        <v>2024</v>
      </c>
      <c r="B1486" s="2">
        <v>45345</v>
      </c>
      <c r="C1486" t="s">
        <v>71</v>
      </c>
      <c r="D1486" t="s">
        <v>844</v>
      </c>
      <c r="F1486" t="s">
        <v>20</v>
      </c>
      <c r="G1486" t="s">
        <v>107</v>
      </c>
      <c r="H1486" t="s">
        <v>108</v>
      </c>
      <c r="I1486" t="s">
        <v>306</v>
      </c>
      <c r="J1486" t="s">
        <v>50</v>
      </c>
      <c r="K1486" s="3">
        <v>503000</v>
      </c>
      <c r="L1486" t="s">
        <v>793</v>
      </c>
      <c r="M1486" t="s">
        <v>1326</v>
      </c>
      <c r="O1486" s="4">
        <v>0.153935129224652</v>
      </c>
      <c r="P1486" s="3">
        <v>77429.37</v>
      </c>
      <c r="Q1486" t="s">
        <v>1327</v>
      </c>
    </row>
    <row r="1487" spans="1:17" ht="15" customHeight="1" x14ac:dyDescent="0.3">
      <c r="A1487">
        <v>2024</v>
      </c>
      <c r="B1487" s="2">
        <v>45351</v>
      </c>
      <c r="C1487" t="s">
        <v>71</v>
      </c>
      <c r="D1487" t="s">
        <v>1299</v>
      </c>
      <c r="F1487" t="s">
        <v>20</v>
      </c>
      <c r="G1487" t="s">
        <v>38</v>
      </c>
      <c r="H1487" t="s">
        <v>619</v>
      </c>
      <c r="I1487" t="s">
        <v>49</v>
      </c>
      <c r="J1487" t="s">
        <v>123</v>
      </c>
      <c r="K1487" s="3">
        <v>358940.53949152498</v>
      </c>
      <c r="L1487" t="s">
        <v>825</v>
      </c>
      <c r="M1487" t="s">
        <v>1328</v>
      </c>
      <c r="O1487" s="4">
        <v>0.160000010256172</v>
      </c>
      <c r="P1487" s="3">
        <v>57430.489999999903</v>
      </c>
      <c r="Q1487" t="s">
        <v>1301</v>
      </c>
    </row>
    <row r="1488" spans="1:17" ht="15" customHeight="1" x14ac:dyDescent="0.3">
      <c r="A1488">
        <v>2024</v>
      </c>
      <c r="B1488" s="2">
        <v>45355</v>
      </c>
      <c r="C1488" t="s">
        <v>137</v>
      </c>
      <c r="D1488" t="s">
        <v>1054</v>
      </c>
      <c r="F1488" t="s">
        <v>20</v>
      </c>
      <c r="G1488" t="s">
        <v>21</v>
      </c>
      <c r="H1488" t="s">
        <v>22</v>
      </c>
      <c r="I1488" t="s">
        <v>23</v>
      </c>
      <c r="J1488" t="s">
        <v>110</v>
      </c>
      <c r="K1488" s="3">
        <v>1200</v>
      </c>
      <c r="L1488" t="s">
        <v>793</v>
      </c>
      <c r="M1488" t="s">
        <v>1329</v>
      </c>
      <c r="O1488" s="4">
        <v>0.3</v>
      </c>
      <c r="P1488" s="3">
        <v>360</v>
      </c>
      <c r="Q1488" t="s">
        <v>1330</v>
      </c>
    </row>
    <row r="1489" spans="1:17" ht="15" customHeight="1" x14ac:dyDescent="0.3">
      <c r="A1489">
        <v>2024</v>
      </c>
      <c r="B1489" s="2">
        <v>45355</v>
      </c>
      <c r="C1489" t="s">
        <v>137</v>
      </c>
      <c r="D1489" t="s">
        <v>1026</v>
      </c>
      <c r="F1489" t="s">
        <v>20</v>
      </c>
      <c r="G1489" t="s">
        <v>107</v>
      </c>
      <c r="H1489" t="s">
        <v>108</v>
      </c>
      <c r="I1489" t="s">
        <v>23</v>
      </c>
      <c r="J1489" t="s">
        <v>759</v>
      </c>
      <c r="K1489" s="3">
        <v>1276.8399999999999</v>
      </c>
      <c r="L1489" t="s">
        <v>793</v>
      </c>
      <c r="M1489" t="s">
        <v>1331</v>
      </c>
      <c r="O1489" s="4">
        <v>4.9998433633031497E-2</v>
      </c>
      <c r="P1489" s="3">
        <v>63.839999999999897</v>
      </c>
      <c r="Q1489" t="s">
        <v>1332</v>
      </c>
    </row>
    <row r="1490" spans="1:17" ht="15" customHeight="1" x14ac:dyDescent="0.3">
      <c r="A1490">
        <v>2024</v>
      </c>
      <c r="B1490" s="2">
        <v>45355</v>
      </c>
      <c r="C1490" t="s">
        <v>137</v>
      </c>
      <c r="D1490" t="s">
        <v>56</v>
      </c>
      <c r="F1490" t="s">
        <v>20</v>
      </c>
      <c r="G1490" t="s">
        <v>21</v>
      </c>
      <c r="H1490" t="s">
        <v>22</v>
      </c>
      <c r="I1490" t="s">
        <v>306</v>
      </c>
      <c r="J1490" t="s">
        <v>123</v>
      </c>
      <c r="K1490" s="3">
        <v>140137.94915254199</v>
      </c>
      <c r="L1490" t="s">
        <v>825</v>
      </c>
      <c r="M1490" t="s">
        <v>1333</v>
      </c>
      <c r="O1490" s="4">
        <v>0.150000000907097</v>
      </c>
      <c r="P1490" s="3">
        <v>21020.692500000001</v>
      </c>
      <c r="Q1490" t="s">
        <v>1289</v>
      </c>
    </row>
    <row r="1491" spans="1:17" ht="15" customHeight="1" x14ac:dyDescent="0.3">
      <c r="A1491">
        <v>2024</v>
      </c>
      <c r="B1491" s="2">
        <v>45355</v>
      </c>
      <c r="C1491" t="s">
        <v>137</v>
      </c>
      <c r="D1491" t="s">
        <v>56</v>
      </c>
      <c r="F1491" t="s">
        <v>20</v>
      </c>
      <c r="G1491" t="s">
        <v>21</v>
      </c>
      <c r="H1491" t="s">
        <v>22</v>
      </c>
      <c r="I1491" t="s">
        <v>306</v>
      </c>
      <c r="J1491" t="s">
        <v>123</v>
      </c>
      <c r="K1491" s="3">
        <v>19354.7542372881</v>
      </c>
      <c r="L1491" t="s">
        <v>825</v>
      </c>
      <c r="M1491" t="s">
        <v>1334</v>
      </c>
      <c r="O1491" s="4">
        <v>0.14999996716087399</v>
      </c>
      <c r="P1491" s="3">
        <v>2903.2125000000001</v>
      </c>
      <c r="Q1491" t="s">
        <v>1289</v>
      </c>
    </row>
    <row r="1492" spans="1:17" ht="15" customHeight="1" x14ac:dyDescent="0.3">
      <c r="A1492">
        <v>2024</v>
      </c>
      <c r="B1492" s="2">
        <v>45355</v>
      </c>
      <c r="C1492" t="s">
        <v>137</v>
      </c>
      <c r="D1492" t="s">
        <v>56</v>
      </c>
      <c r="F1492" t="s">
        <v>20</v>
      </c>
      <c r="G1492" t="s">
        <v>21</v>
      </c>
      <c r="H1492" t="s">
        <v>22</v>
      </c>
      <c r="I1492" t="s">
        <v>306</v>
      </c>
      <c r="J1492" t="s">
        <v>123</v>
      </c>
      <c r="K1492" s="3">
        <v>55180.67</v>
      </c>
      <c r="L1492" t="s">
        <v>825</v>
      </c>
      <c r="M1492" t="s">
        <v>1335</v>
      </c>
      <c r="O1492" s="4">
        <v>0.15</v>
      </c>
      <c r="P1492" s="3">
        <v>8277.1005000000005</v>
      </c>
      <c r="Q1492" t="s">
        <v>1289</v>
      </c>
    </row>
    <row r="1493" spans="1:17" ht="15" customHeight="1" x14ac:dyDescent="0.3">
      <c r="A1493">
        <v>2024</v>
      </c>
      <c r="B1493" s="2">
        <v>45356</v>
      </c>
      <c r="C1493" t="s">
        <v>137</v>
      </c>
      <c r="D1493" t="s">
        <v>184</v>
      </c>
      <c r="F1493" t="s">
        <v>20</v>
      </c>
      <c r="G1493" t="s">
        <v>107</v>
      </c>
      <c r="H1493" t="s">
        <v>108</v>
      </c>
      <c r="I1493" t="s">
        <v>754</v>
      </c>
      <c r="J1493" t="s">
        <v>123</v>
      </c>
      <c r="K1493" s="3">
        <v>2880</v>
      </c>
      <c r="L1493" t="s">
        <v>825</v>
      </c>
      <c r="M1493" t="s">
        <v>1336</v>
      </c>
      <c r="O1493" s="4">
        <v>0.15</v>
      </c>
      <c r="P1493" s="3">
        <v>432</v>
      </c>
      <c r="Q1493" t="s">
        <v>1210</v>
      </c>
    </row>
    <row r="1494" spans="1:17" ht="15" customHeight="1" x14ac:dyDescent="0.3">
      <c r="A1494">
        <v>2024</v>
      </c>
      <c r="B1494" s="2">
        <v>45376</v>
      </c>
      <c r="C1494" t="s">
        <v>137</v>
      </c>
      <c r="D1494" t="s">
        <v>56</v>
      </c>
      <c r="F1494" t="s">
        <v>20</v>
      </c>
      <c r="G1494" t="s">
        <v>21</v>
      </c>
      <c r="H1494" t="s">
        <v>22</v>
      </c>
      <c r="I1494" t="s">
        <v>306</v>
      </c>
      <c r="J1494" t="s">
        <v>50</v>
      </c>
      <c r="K1494" s="3">
        <v>325990.34999999998</v>
      </c>
      <c r="L1494" t="s">
        <v>793</v>
      </c>
      <c r="M1494" t="s">
        <v>1337</v>
      </c>
      <c r="O1494" s="4">
        <v>0.169493299418219</v>
      </c>
      <c r="P1494" s="3">
        <v>55253.18</v>
      </c>
      <c r="Q1494" t="s">
        <v>1338</v>
      </c>
    </row>
    <row r="1495" spans="1:17" ht="15" customHeight="1" x14ac:dyDescent="0.3">
      <c r="A1495">
        <v>2024</v>
      </c>
      <c r="B1495" s="2">
        <v>45376</v>
      </c>
      <c r="C1495" t="s">
        <v>137</v>
      </c>
      <c r="D1495" t="s">
        <v>531</v>
      </c>
      <c r="F1495" t="s">
        <v>20</v>
      </c>
      <c r="G1495" t="s">
        <v>38</v>
      </c>
      <c r="H1495" t="s">
        <v>147</v>
      </c>
      <c r="I1495" t="s">
        <v>23</v>
      </c>
      <c r="J1495" t="s">
        <v>123</v>
      </c>
      <c r="K1495" s="3">
        <v>1675</v>
      </c>
      <c r="L1495" t="s">
        <v>825</v>
      </c>
      <c r="M1495" t="s">
        <v>1339</v>
      </c>
      <c r="O1495" s="4">
        <v>0.15</v>
      </c>
      <c r="P1495" s="3">
        <v>251.25</v>
      </c>
      <c r="Q1495" t="s">
        <v>1245</v>
      </c>
    </row>
    <row r="1496" spans="1:17" ht="15" customHeight="1" x14ac:dyDescent="0.3">
      <c r="A1496">
        <v>2024</v>
      </c>
      <c r="B1496" s="2">
        <v>45376</v>
      </c>
      <c r="C1496" t="s">
        <v>137</v>
      </c>
      <c r="D1496" t="s">
        <v>1340</v>
      </c>
      <c r="F1496" t="s">
        <v>20</v>
      </c>
      <c r="G1496" t="s">
        <v>107</v>
      </c>
      <c r="H1496" t="s">
        <v>108</v>
      </c>
      <c r="I1496" t="s">
        <v>23</v>
      </c>
      <c r="J1496" t="s">
        <v>110</v>
      </c>
      <c r="K1496" s="3">
        <v>2500</v>
      </c>
      <c r="L1496" t="s">
        <v>793</v>
      </c>
      <c r="M1496" t="s">
        <v>1341</v>
      </c>
      <c r="O1496" s="4">
        <v>0.65200000000000002</v>
      </c>
      <c r="P1496" s="3">
        <v>1630</v>
      </c>
      <c r="Q1496" t="s">
        <v>1342</v>
      </c>
    </row>
    <row r="1497" spans="1:17" ht="15" customHeight="1" x14ac:dyDescent="0.3">
      <c r="A1497">
        <v>2024</v>
      </c>
      <c r="B1497" s="2">
        <v>45376</v>
      </c>
      <c r="C1497" t="s">
        <v>137</v>
      </c>
      <c r="D1497" t="s">
        <v>531</v>
      </c>
      <c r="F1497" t="s">
        <v>20</v>
      </c>
      <c r="G1497" t="s">
        <v>38</v>
      </c>
      <c r="H1497" t="s">
        <v>147</v>
      </c>
      <c r="I1497" t="s">
        <v>23</v>
      </c>
      <c r="J1497" t="s">
        <v>123</v>
      </c>
      <c r="K1497" s="3">
        <v>254</v>
      </c>
      <c r="L1497" t="s">
        <v>825</v>
      </c>
      <c r="M1497" t="s">
        <v>1343</v>
      </c>
      <c r="O1497" s="4">
        <v>0.15</v>
      </c>
      <c r="P1497" s="3">
        <v>38.1</v>
      </c>
      <c r="Q1497" t="s">
        <v>1245</v>
      </c>
    </row>
    <row r="1498" spans="1:17" ht="15" customHeight="1" x14ac:dyDescent="0.3">
      <c r="A1498">
        <v>2024</v>
      </c>
      <c r="B1498" s="2">
        <v>45382</v>
      </c>
      <c r="C1498" t="s">
        <v>137</v>
      </c>
      <c r="D1498" t="s">
        <v>61</v>
      </c>
      <c r="F1498" t="s">
        <v>20</v>
      </c>
      <c r="G1498" t="s">
        <v>21</v>
      </c>
      <c r="H1498" t="s">
        <v>22</v>
      </c>
      <c r="I1498" t="s">
        <v>306</v>
      </c>
      <c r="J1498" t="s">
        <v>110</v>
      </c>
      <c r="K1498" s="3">
        <v>7558.24</v>
      </c>
      <c r="L1498" t="s">
        <v>793</v>
      </c>
      <c r="M1498" t="s">
        <v>1344</v>
      </c>
      <c r="O1498" s="4">
        <v>0.14621393340248501</v>
      </c>
      <c r="P1498" s="3">
        <v>1105.1199999999999</v>
      </c>
      <c r="Q1498" t="s">
        <v>1148</v>
      </c>
    </row>
    <row r="1499" spans="1:17" ht="15" customHeight="1" x14ac:dyDescent="0.3">
      <c r="A1499">
        <v>2024</v>
      </c>
      <c r="B1499" s="2">
        <v>45382</v>
      </c>
      <c r="C1499" t="s">
        <v>137</v>
      </c>
      <c r="D1499" t="s">
        <v>462</v>
      </c>
      <c r="F1499" t="s">
        <v>20</v>
      </c>
      <c r="G1499" t="s">
        <v>21</v>
      </c>
      <c r="H1499" t="s">
        <v>22</v>
      </c>
      <c r="I1499" t="s">
        <v>306</v>
      </c>
      <c r="J1499" t="s">
        <v>50</v>
      </c>
      <c r="K1499" s="3">
        <v>703013</v>
      </c>
      <c r="L1499" t="s">
        <v>793</v>
      </c>
      <c r="M1499" t="s">
        <v>1345</v>
      </c>
      <c r="O1499" s="4">
        <v>0.152583721780394</v>
      </c>
      <c r="P1499" s="3">
        <v>107268.34</v>
      </c>
      <c r="Q1499" t="s">
        <v>1346</v>
      </c>
    </row>
    <row r="1500" spans="1:17" ht="15" customHeight="1" x14ac:dyDescent="0.3">
      <c r="A1500">
        <v>2024</v>
      </c>
      <c r="B1500" s="2">
        <v>45382</v>
      </c>
      <c r="C1500" t="s">
        <v>137</v>
      </c>
      <c r="D1500" t="s">
        <v>749</v>
      </c>
      <c r="F1500" t="s">
        <v>20</v>
      </c>
      <c r="G1500" t="s">
        <v>38</v>
      </c>
      <c r="H1500" t="s">
        <v>39</v>
      </c>
      <c r="I1500" t="s">
        <v>306</v>
      </c>
      <c r="J1500" t="s">
        <v>50</v>
      </c>
      <c r="K1500" s="3">
        <v>568669.17000000004</v>
      </c>
      <c r="L1500" t="s">
        <v>793</v>
      </c>
      <c r="M1500" t="s">
        <v>1347</v>
      </c>
      <c r="O1500" s="4">
        <v>0.23165941983455901</v>
      </c>
      <c r="P1500" s="3">
        <v>131737.57</v>
      </c>
      <c r="Q1500" t="s">
        <v>1348</v>
      </c>
    </row>
    <row r="1501" spans="1:17" ht="15" customHeight="1" x14ac:dyDescent="0.3">
      <c r="A1501">
        <v>2024</v>
      </c>
      <c r="B1501" s="2">
        <v>45382</v>
      </c>
      <c r="C1501" t="s">
        <v>137</v>
      </c>
      <c r="D1501" t="s">
        <v>973</v>
      </c>
      <c r="F1501" t="s">
        <v>20</v>
      </c>
      <c r="G1501" t="s">
        <v>38</v>
      </c>
      <c r="H1501" t="s">
        <v>89</v>
      </c>
      <c r="I1501" t="s">
        <v>306</v>
      </c>
      <c r="J1501" t="s">
        <v>123</v>
      </c>
      <c r="K1501" s="3">
        <v>1761066.66</v>
      </c>
      <c r="L1501" t="s">
        <v>793</v>
      </c>
      <c r="M1501" t="s">
        <v>1349</v>
      </c>
      <c r="O1501" s="4">
        <v>0.118212453127697</v>
      </c>
      <c r="P1501" s="3">
        <v>208180.01</v>
      </c>
      <c r="Q1501" t="s">
        <v>1350</v>
      </c>
    </row>
    <row r="1502" spans="1:17" ht="15" customHeight="1" x14ac:dyDescent="0.3">
      <c r="A1502">
        <v>2024</v>
      </c>
      <c r="B1502" s="2">
        <v>45386</v>
      </c>
      <c r="C1502" t="s">
        <v>169</v>
      </c>
      <c r="D1502" t="s">
        <v>61</v>
      </c>
      <c r="F1502" t="s">
        <v>20</v>
      </c>
      <c r="G1502" t="s">
        <v>21</v>
      </c>
      <c r="H1502" t="s">
        <v>22</v>
      </c>
      <c r="I1502" t="s">
        <v>306</v>
      </c>
      <c r="J1502" t="s">
        <v>110</v>
      </c>
      <c r="K1502" s="3">
        <v>20639.18</v>
      </c>
      <c r="L1502" t="s">
        <v>825</v>
      </c>
      <c r="M1502" t="s">
        <v>1351</v>
      </c>
      <c r="O1502" s="4">
        <v>0.15</v>
      </c>
      <c r="P1502" s="3">
        <v>3095.877</v>
      </c>
      <c r="Q1502" t="s">
        <v>1148</v>
      </c>
    </row>
    <row r="1503" spans="1:17" ht="15" customHeight="1" x14ac:dyDescent="0.3">
      <c r="A1503">
        <v>2024</v>
      </c>
      <c r="B1503" s="2">
        <v>45391</v>
      </c>
      <c r="C1503" t="s">
        <v>169</v>
      </c>
      <c r="D1503" t="s">
        <v>155</v>
      </c>
      <c r="F1503" t="s">
        <v>20</v>
      </c>
      <c r="G1503" t="s">
        <v>38</v>
      </c>
      <c r="H1503" t="s">
        <v>39</v>
      </c>
      <c r="I1503" t="s">
        <v>23</v>
      </c>
      <c r="J1503" t="s">
        <v>50</v>
      </c>
      <c r="K1503" s="3">
        <v>7638</v>
      </c>
      <c r="L1503" t="s">
        <v>793</v>
      </c>
      <c r="M1503" t="s">
        <v>1352</v>
      </c>
      <c r="O1503" s="4">
        <v>0.157894736842105</v>
      </c>
      <c r="P1503" s="3">
        <v>1206</v>
      </c>
      <c r="Q1503" t="s">
        <v>1353</v>
      </c>
    </row>
    <row r="1504" spans="1:17" ht="15" customHeight="1" x14ac:dyDescent="0.3">
      <c r="A1504">
        <v>2024</v>
      </c>
      <c r="B1504" s="2">
        <v>45397</v>
      </c>
      <c r="C1504" t="s">
        <v>169</v>
      </c>
      <c r="D1504" t="s">
        <v>1183</v>
      </c>
      <c r="F1504" t="s">
        <v>20</v>
      </c>
      <c r="G1504" t="s">
        <v>38</v>
      </c>
      <c r="H1504" t="s">
        <v>39</v>
      </c>
      <c r="I1504" t="s">
        <v>23</v>
      </c>
      <c r="J1504" t="s">
        <v>110</v>
      </c>
      <c r="K1504" s="3">
        <v>943.33</v>
      </c>
      <c r="L1504" t="s">
        <v>793</v>
      </c>
      <c r="M1504" t="s">
        <v>1354</v>
      </c>
      <c r="O1504" s="4">
        <v>0.178442326651331</v>
      </c>
      <c r="P1504" s="3">
        <v>168.33</v>
      </c>
      <c r="Q1504" t="s">
        <v>1355</v>
      </c>
    </row>
    <row r="1505" spans="1:17" ht="15" customHeight="1" x14ac:dyDescent="0.3">
      <c r="A1505">
        <v>2024</v>
      </c>
      <c r="B1505" s="2">
        <v>45397</v>
      </c>
      <c r="C1505" t="s">
        <v>169</v>
      </c>
      <c r="D1505" t="s">
        <v>1356</v>
      </c>
      <c r="F1505" t="s">
        <v>20</v>
      </c>
      <c r="G1505" t="s">
        <v>38</v>
      </c>
      <c r="H1505" t="s">
        <v>39</v>
      </c>
      <c r="I1505" t="s">
        <v>306</v>
      </c>
      <c r="J1505" t="s">
        <v>123</v>
      </c>
      <c r="K1505" s="3">
        <v>149515.84</v>
      </c>
      <c r="L1505" t="s">
        <v>793</v>
      </c>
      <c r="M1505" t="s">
        <v>1357</v>
      </c>
      <c r="O1505" s="4">
        <v>0.17049531340625901</v>
      </c>
      <c r="P1505" s="3">
        <v>25491.750000000098</v>
      </c>
      <c r="Q1505" t="s">
        <v>1358</v>
      </c>
    </row>
    <row r="1506" spans="1:17" ht="15" customHeight="1" x14ac:dyDescent="0.3">
      <c r="A1506">
        <v>2024</v>
      </c>
      <c r="B1506" s="2">
        <v>45404</v>
      </c>
      <c r="C1506" t="s">
        <v>169</v>
      </c>
      <c r="D1506" t="s">
        <v>1233</v>
      </c>
      <c r="F1506" t="s">
        <v>20</v>
      </c>
      <c r="G1506" t="s">
        <v>107</v>
      </c>
      <c r="H1506" t="s">
        <v>108</v>
      </c>
      <c r="I1506" t="s">
        <v>23</v>
      </c>
      <c r="J1506" t="s">
        <v>110</v>
      </c>
      <c r="K1506" s="3">
        <v>5052</v>
      </c>
      <c r="L1506" t="s">
        <v>793</v>
      </c>
      <c r="M1506" t="s">
        <v>1359</v>
      </c>
      <c r="O1506" s="4">
        <v>0.2</v>
      </c>
      <c r="P1506" s="3">
        <v>1010.4</v>
      </c>
      <c r="Q1506" t="s">
        <v>1360</v>
      </c>
    </row>
    <row r="1507" spans="1:17" ht="15" customHeight="1" x14ac:dyDescent="0.3">
      <c r="A1507">
        <v>2024</v>
      </c>
      <c r="B1507" s="2">
        <v>45405</v>
      </c>
      <c r="C1507" t="s">
        <v>169</v>
      </c>
      <c r="D1507" t="s">
        <v>28</v>
      </c>
      <c r="F1507" t="s">
        <v>20</v>
      </c>
      <c r="G1507" t="s">
        <v>21</v>
      </c>
      <c r="H1507" t="s">
        <v>22</v>
      </c>
      <c r="I1507" t="s">
        <v>23</v>
      </c>
      <c r="J1507" t="s">
        <v>110</v>
      </c>
      <c r="K1507" s="3">
        <v>1390</v>
      </c>
      <c r="L1507" t="s">
        <v>793</v>
      </c>
      <c r="M1507" t="s">
        <v>1361</v>
      </c>
      <c r="O1507" s="4">
        <v>0.26043165467625901</v>
      </c>
      <c r="P1507" s="3">
        <v>362</v>
      </c>
      <c r="Q1507" t="s">
        <v>1148</v>
      </c>
    </row>
    <row r="1508" spans="1:17" ht="15" customHeight="1" x14ac:dyDescent="0.3">
      <c r="A1508">
        <v>2024</v>
      </c>
      <c r="B1508" s="2">
        <v>45407</v>
      </c>
      <c r="C1508" t="s">
        <v>169</v>
      </c>
      <c r="D1508" t="s">
        <v>1296</v>
      </c>
      <c r="F1508" t="s">
        <v>20</v>
      </c>
      <c r="G1508" t="s">
        <v>38</v>
      </c>
      <c r="H1508" t="s">
        <v>39</v>
      </c>
      <c r="I1508" t="s">
        <v>306</v>
      </c>
      <c r="J1508" t="s">
        <v>123</v>
      </c>
      <c r="K1508" s="3">
        <v>218028.74</v>
      </c>
      <c r="L1508" t="s">
        <v>825</v>
      </c>
      <c r="M1508" t="s">
        <v>1362</v>
      </c>
      <c r="O1508" s="4">
        <v>0.15</v>
      </c>
      <c r="P1508" s="3">
        <v>32704.311000000002</v>
      </c>
      <c r="Q1508" t="s">
        <v>1298</v>
      </c>
    </row>
    <row r="1509" spans="1:17" ht="15" customHeight="1" x14ac:dyDescent="0.3">
      <c r="A1509">
        <v>2024</v>
      </c>
      <c r="B1509" s="2">
        <v>45411</v>
      </c>
      <c r="C1509" t="s">
        <v>169</v>
      </c>
      <c r="D1509" t="s">
        <v>675</v>
      </c>
      <c r="F1509" t="s">
        <v>20</v>
      </c>
      <c r="G1509" t="s">
        <v>38</v>
      </c>
      <c r="H1509" t="s">
        <v>147</v>
      </c>
      <c r="I1509" t="s">
        <v>49</v>
      </c>
      <c r="J1509" t="s">
        <v>123</v>
      </c>
      <c r="K1509" s="3">
        <v>96000</v>
      </c>
      <c r="L1509" t="s">
        <v>793</v>
      </c>
      <c r="M1509" t="s">
        <v>1363</v>
      </c>
      <c r="O1509" s="4">
        <v>0.13794416666666701</v>
      </c>
      <c r="P1509" s="3">
        <v>13242.64</v>
      </c>
      <c r="Q1509" t="s">
        <v>1364</v>
      </c>
    </row>
    <row r="1510" spans="1:17" ht="15" customHeight="1" x14ac:dyDescent="0.3">
      <c r="A1510">
        <v>2024</v>
      </c>
      <c r="B1510" s="2">
        <v>45411</v>
      </c>
      <c r="C1510" t="s">
        <v>169</v>
      </c>
      <c r="D1510" t="s">
        <v>675</v>
      </c>
      <c r="F1510" t="s">
        <v>20</v>
      </c>
      <c r="G1510" t="s">
        <v>38</v>
      </c>
      <c r="H1510" t="s">
        <v>147</v>
      </c>
      <c r="I1510" t="s">
        <v>49</v>
      </c>
      <c r="J1510" t="s">
        <v>123</v>
      </c>
      <c r="K1510" s="3">
        <v>457390.22</v>
      </c>
      <c r="L1510" t="s">
        <v>793</v>
      </c>
      <c r="M1510" t="s">
        <v>1365</v>
      </c>
      <c r="O1510" s="4">
        <v>0.153007447338948</v>
      </c>
      <c r="P1510" s="3">
        <v>69984.109999999797</v>
      </c>
      <c r="Q1510" t="s">
        <v>1366</v>
      </c>
    </row>
    <row r="1511" spans="1:17" ht="15" customHeight="1" x14ac:dyDescent="0.3">
      <c r="A1511">
        <v>2024</v>
      </c>
      <c r="B1511" s="2">
        <v>45411</v>
      </c>
      <c r="C1511" t="s">
        <v>169</v>
      </c>
      <c r="D1511" t="s">
        <v>1007</v>
      </c>
      <c r="F1511" t="s">
        <v>20</v>
      </c>
      <c r="G1511" t="s">
        <v>38</v>
      </c>
      <c r="H1511" t="s">
        <v>39</v>
      </c>
      <c r="I1511" t="s">
        <v>306</v>
      </c>
      <c r="J1511" t="s">
        <v>123</v>
      </c>
      <c r="K1511" s="3">
        <v>670271.44915254205</v>
      </c>
      <c r="L1511" t="s">
        <v>793</v>
      </c>
      <c r="M1511" t="s">
        <v>1367</v>
      </c>
      <c r="O1511" s="4">
        <v>0.13870204395181099</v>
      </c>
      <c r="P1511" s="3">
        <v>92968.019999999902</v>
      </c>
      <c r="Q1511" t="s">
        <v>1368</v>
      </c>
    </row>
    <row r="1512" spans="1:17" ht="15" customHeight="1" x14ac:dyDescent="0.3">
      <c r="A1512">
        <v>2024</v>
      </c>
      <c r="B1512" s="2">
        <v>45415</v>
      </c>
      <c r="C1512" t="s">
        <v>190</v>
      </c>
      <c r="D1512" t="s">
        <v>816</v>
      </c>
      <c r="F1512" t="s">
        <v>20</v>
      </c>
      <c r="G1512" t="s">
        <v>107</v>
      </c>
      <c r="H1512" t="s">
        <v>108</v>
      </c>
      <c r="I1512" t="s">
        <v>23</v>
      </c>
      <c r="J1512" t="s">
        <v>110</v>
      </c>
      <c r="K1512" s="3">
        <v>2770</v>
      </c>
      <c r="L1512" t="s">
        <v>793</v>
      </c>
      <c r="M1512" t="s">
        <v>1369</v>
      </c>
      <c r="O1512" s="4">
        <v>0.417111913357401</v>
      </c>
      <c r="P1512" s="3">
        <v>1155.4000000000001</v>
      </c>
      <c r="Q1512" t="s">
        <v>1370</v>
      </c>
    </row>
    <row r="1513" spans="1:17" ht="15" customHeight="1" x14ac:dyDescent="0.3">
      <c r="A1513">
        <v>2024</v>
      </c>
      <c r="B1513" s="2">
        <v>45415</v>
      </c>
      <c r="C1513" t="s">
        <v>190</v>
      </c>
      <c r="D1513" t="s">
        <v>1296</v>
      </c>
      <c r="F1513" t="s">
        <v>20</v>
      </c>
      <c r="G1513" t="s">
        <v>38</v>
      </c>
      <c r="H1513" t="s">
        <v>39</v>
      </c>
      <c r="I1513" t="s">
        <v>306</v>
      </c>
      <c r="J1513" t="s">
        <v>123</v>
      </c>
      <c r="K1513" s="3">
        <v>3304.11</v>
      </c>
      <c r="L1513" t="s">
        <v>825</v>
      </c>
      <c r="M1513" t="s">
        <v>1371</v>
      </c>
      <c r="O1513" s="4">
        <v>0.15</v>
      </c>
      <c r="P1513" s="3">
        <v>495.61649999999997</v>
      </c>
      <c r="Q1513" t="s">
        <v>1298</v>
      </c>
    </row>
    <row r="1514" spans="1:17" ht="15" customHeight="1" x14ac:dyDescent="0.3">
      <c r="A1514">
        <v>2024</v>
      </c>
      <c r="B1514" s="2">
        <v>45421</v>
      </c>
      <c r="C1514" t="s">
        <v>190</v>
      </c>
      <c r="D1514" t="s">
        <v>844</v>
      </c>
      <c r="F1514" t="s">
        <v>20</v>
      </c>
      <c r="G1514" t="s">
        <v>107</v>
      </c>
      <c r="H1514" t="s">
        <v>108</v>
      </c>
      <c r="I1514" t="s">
        <v>306</v>
      </c>
      <c r="J1514" t="s">
        <v>50</v>
      </c>
      <c r="K1514" s="3">
        <v>2788.57</v>
      </c>
      <c r="L1514" t="s">
        <v>825</v>
      </c>
      <c r="M1514" t="s">
        <v>1372</v>
      </c>
      <c r="O1514" s="4">
        <v>0.15</v>
      </c>
      <c r="P1514" s="3">
        <v>418.28550000000001</v>
      </c>
      <c r="Q1514" t="s">
        <v>1327</v>
      </c>
    </row>
    <row r="1515" spans="1:17" ht="15" customHeight="1" x14ac:dyDescent="0.3">
      <c r="A1515">
        <v>2024</v>
      </c>
      <c r="B1515" s="2">
        <v>45421</v>
      </c>
      <c r="C1515" t="s">
        <v>190</v>
      </c>
      <c r="D1515" t="s">
        <v>832</v>
      </c>
      <c r="F1515" t="s">
        <v>20</v>
      </c>
      <c r="G1515" t="s">
        <v>38</v>
      </c>
      <c r="H1515" t="s">
        <v>39</v>
      </c>
      <c r="I1515" t="s">
        <v>306</v>
      </c>
      <c r="J1515" t="s">
        <v>123</v>
      </c>
      <c r="K1515" s="3">
        <v>110000</v>
      </c>
      <c r="L1515" t="s">
        <v>793</v>
      </c>
      <c r="M1515" t="s">
        <v>1373</v>
      </c>
      <c r="O1515" s="4">
        <v>0.15801727272727301</v>
      </c>
      <c r="P1515" s="3">
        <v>17381.900000000001</v>
      </c>
      <c r="Q1515" t="s">
        <v>1374</v>
      </c>
    </row>
    <row r="1516" spans="1:17" ht="15" customHeight="1" x14ac:dyDescent="0.3">
      <c r="A1516">
        <v>2024</v>
      </c>
      <c r="B1516" s="2">
        <v>45432</v>
      </c>
      <c r="C1516" t="s">
        <v>190</v>
      </c>
      <c r="D1516" t="s">
        <v>816</v>
      </c>
      <c r="F1516" t="s">
        <v>20</v>
      </c>
      <c r="G1516" t="s">
        <v>107</v>
      </c>
      <c r="H1516" t="s">
        <v>108</v>
      </c>
      <c r="I1516" t="s">
        <v>23</v>
      </c>
      <c r="J1516" t="s">
        <v>110</v>
      </c>
      <c r="K1516" s="3">
        <v>5200</v>
      </c>
      <c r="L1516" t="s">
        <v>793</v>
      </c>
      <c r="M1516" t="s">
        <v>1375</v>
      </c>
      <c r="O1516" s="4">
        <v>0.2</v>
      </c>
      <c r="P1516" s="3">
        <v>1040</v>
      </c>
      <c r="Q1516" t="s">
        <v>1376</v>
      </c>
    </row>
    <row r="1517" spans="1:17" ht="15" customHeight="1" x14ac:dyDescent="0.3">
      <c r="A1517">
        <v>2024</v>
      </c>
      <c r="B1517" s="2">
        <v>45433</v>
      </c>
      <c r="C1517" t="s">
        <v>190</v>
      </c>
      <c r="D1517" t="s">
        <v>56</v>
      </c>
      <c r="F1517" t="s">
        <v>20</v>
      </c>
      <c r="G1517" t="s">
        <v>21</v>
      </c>
      <c r="H1517" t="s">
        <v>22</v>
      </c>
      <c r="I1517" t="s">
        <v>306</v>
      </c>
      <c r="J1517" t="s">
        <v>123</v>
      </c>
      <c r="K1517" s="3">
        <v>41043.635593220301</v>
      </c>
      <c r="L1517" t="s">
        <v>825</v>
      </c>
      <c r="M1517" t="s">
        <v>1377</v>
      </c>
      <c r="O1517" s="4">
        <v>0.14999997955875399</v>
      </c>
      <c r="P1517" s="3">
        <v>6156.54449999999</v>
      </c>
      <c r="Q1517" t="s">
        <v>1289</v>
      </c>
    </row>
    <row r="1518" spans="1:17" ht="15" customHeight="1" x14ac:dyDescent="0.3">
      <c r="A1518">
        <v>2024</v>
      </c>
      <c r="B1518" s="2">
        <v>45439</v>
      </c>
      <c r="C1518" t="s">
        <v>190</v>
      </c>
      <c r="D1518" t="s">
        <v>224</v>
      </c>
      <c r="F1518" t="s">
        <v>20</v>
      </c>
      <c r="G1518" t="s">
        <v>21</v>
      </c>
      <c r="H1518" t="s">
        <v>22</v>
      </c>
      <c r="I1518" t="s">
        <v>23</v>
      </c>
      <c r="J1518" t="s">
        <v>110</v>
      </c>
      <c r="K1518" s="3">
        <v>440</v>
      </c>
      <c r="L1518" t="s">
        <v>793</v>
      </c>
      <c r="M1518" t="s">
        <v>1378</v>
      </c>
      <c r="O1518" s="4">
        <v>0.2</v>
      </c>
      <c r="P1518" s="3">
        <v>88</v>
      </c>
      <c r="Q1518" t="s">
        <v>1379</v>
      </c>
    </row>
    <row r="1519" spans="1:17" ht="15" customHeight="1" x14ac:dyDescent="0.3">
      <c r="A1519">
        <v>2024</v>
      </c>
      <c r="B1519" s="2">
        <v>45439</v>
      </c>
      <c r="C1519" t="s">
        <v>190</v>
      </c>
      <c r="D1519" t="s">
        <v>36</v>
      </c>
      <c r="F1519" t="s">
        <v>20</v>
      </c>
      <c r="G1519" t="s">
        <v>38</v>
      </c>
      <c r="H1519" t="s">
        <v>39</v>
      </c>
      <c r="I1519" t="s">
        <v>306</v>
      </c>
      <c r="J1519" t="s">
        <v>50</v>
      </c>
      <c r="K1519" s="3">
        <v>79248.740000000005</v>
      </c>
      <c r="L1519" t="s">
        <v>793</v>
      </c>
      <c r="M1519" t="s">
        <v>1380</v>
      </c>
      <c r="O1519" s="4">
        <v>0.20338127773388001</v>
      </c>
      <c r="P1519" s="3">
        <v>16117.710000000099</v>
      </c>
      <c r="Q1519" t="s">
        <v>1381</v>
      </c>
    </row>
    <row r="1520" spans="1:17" ht="15" customHeight="1" x14ac:dyDescent="0.3">
      <c r="A1520">
        <v>2024</v>
      </c>
      <c r="B1520" s="2">
        <v>45449</v>
      </c>
      <c r="C1520" t="s">
        <v>190</v>
      </c>
      <c r="D1520" t="s">
        <v>40</v>
      </c>
      <c r="F1520" t="s">
        <v>20</v>
      </c>
      <c r="G1520" t="s">
        <v>21</v>
      </c>
      <c r="H1520" t="s">
        <v>22</v>
      </c>
      <c r="I1520" t="s">
        <v>141</v>
      </c>
      <c r="J1520" t="s">
        <v>50</v>
      </c>
      <c r="K1520" s="3">
        <v>1477410.97</v>
      </c>
      <c r="L1520" t="s">
        <v>793</v>
      </c>
      <c r="M1520" t="s">
        <v>1382</v>
      </c>
      <c r="O1520" s="4">
        <v>0.16086773066264701</v>
      </c>
      <c r="P1520" s="3">
        <v>237667.75</v>
      </c>
      <c r="Q1520" t="s">
        <v>1383</v>
      </c>
    </row>
    <row r="1521" spans="1:17" ht="15" customHeight="1" x14ac:dyDescent="0.3">
      <c r="A1521">
        <v>2024</v>
      </c>
      <c r="B1521" s="2">
        <v>45449</v>
      </c>
      <c r="C1521" t="s">
        <v>190</v>
      </c>
      <c r="D1521" t="s">
        <v>1384</v>
      </c>
      <c r="F1521" t="s">
        <v>20</v>
      </c>
      <c r="G1521" t="s">
        <v>107</v>
      </c>
      <c r="H1521" t="s">
        <v>108</v>
      </c>
      <c r="I1521" t="s">
        <v>141</v>
      </c>
      <c r="J1521" t="s">
        <v>50</v>
      </c>
      <c r="K1521" s="3">
        <v>1393581.71</v>
      </c>
      <c r="L1521" t="s">
        <v>793</v>
      </c>
      <c r="M1521" t="s">
        <v>1385</v>
      </c>
      <c r="O1521" s="4">
        <v>0.16195615827937401</v>
      </c>
      <c r="P1521" s="3">
        <v>225699.140000001</v>
      </c>
      <c r="Q1521" t="s">
        <v>293</v>
      </c>
    </row>
    <row r="1522" spans="1:17" ht="15" customHeight="1" x14ac:dyDescent="0.3">
      <c r="A1522">
        <v>2024</v>
      </c>
      <c r="B1522" s="2">
        <v>45449</v>
      </c>
      <c r="C1522" t="s">
        <v>218</v>
      </c>
      <c r="D1522" t="s">
        <v>40</v>
      </c>
      <c r="F1522" t="s">
        <v>20</v>
      </c>
      <c r="G1522" t="s">
        <v>21</v>
      </c>
      <c r="H1522" t="s">
        <v>22</v>
      </c>
      <c r="I1522" t="s">
        <v>141</v>
      </c>
      <c r="J1522" t="s">
        <v>123</v>
      </c>
      <c r="K1522" s="3">
        <v>21500</v>
      </c>
      <c r="L1522" t="s">
        <v>793</v>
      </c>
      <c r="M1522" t="s">
        <v>1386</v>
      </c>
      <c r="O1522" s="4">
        <v>0.17489348837209301</v>
      </c>
      <c r="P1522" s="3">
        <v>3760.21</v>
      </c>
      <c r="Q1522" t="s">
        <v>1387</v>
      </c>
    </row>
    <row r="1523" spans="1:17" ht="15" customHeight="1" x14ac:dyDescent="0.3">
      <c r="A1523">
        <v>2024</v>
      </c>
      <c r="B1523" s="2">
        <v>45450</v>
      </c>
      <c r="C1523" t="s">
        <v>218</v>
      </c>
      <c r="D1523" t="s">
        <v>56</v>
      </c>
      <c r="F1523" t="s">
        <v>20</v>
      </c>
      <c r="G1523" t="s">
        <v>21</v>
      </c>
      <c r="H1523" t="s">
        <v>22</v>
      </c>
      <c r="I1523" t="s">
        <v>306</v>
      </c>
      <c r="J1523" t="s">
        <v>123</v>
      </c>
      <c r="K1523" s="3">
        <v>9996</v>
      </c>
      <c r="L1523" t="s">
        <v>793</v>
      </c>
      <c r="M1523" t="s">
        <v>1388</v>
      </c>
      <c r="O1523" s="4">
        <v>0.202559023609444</v>
      </c>
      <c r="P1523" s="3">
        <v>2024.78</v>
      </c>
      <c r="Q1523" t="s">
        <v>1219</v>
      </c>
    </row>
    <row r="1524" spans="1:17" ht="15" customHeight="1" x14ac:dyDescent="0.3">
      <c r="A1524">
        <v>2024</v>
      </c>
      <c r="B1524" s="2">
        <v>45453</v>
      </c>
      <c r="C1524" t="s">
        <v>218</v>
      </c>
      <c r="D1524" t="s">
        <v>601</v>
      </c>
      <c r="F1524" t="s">
        <v>20</v>
      </c>
      <c r="G1524" t="s">
        <v>107</v>
      </c>
      <c r="H1524" t="s">
        <v>603</v>
      </c>
      <c r="I1524" t="s">
        <v>334</v>
      </c>
      <c r="J1524" t="s">
        <v>123</v>
      </c>
      <c r="K1524" s="3">
        <v>49535.28</v>
      </c>
      <c r="L1524" t="s">
        <v>793</v>
      </c>
      <c r="M1524" t="s">
        <v>1389</v>
      </c>
      <c r="O1524" s="4">
        <v>0.17646998260633601</v>
      </c>
      <c r="P1524" s="3">
        <v>8741.4899999999798</v>
      </c>
      <c r="Q1524" t="s">
        <v>1390</v>
      </c>
    </row>
    <row r="1525" spans="1:17" ht="15" customHeight="1" x14ac:dyDescent="0.3">
      <c r="A1525">
        <v>2024</v>
      </c>
      <c r="B1525" s="2">
        <v>45455</v>
      </c>
      <c r="C1525" t="s">
        <v>218</v>
      </c>
      <c r="D1525" t="s">
        <v>746</v>
      </c>
      <c r="F1525" t="s">
        <v>20</v>
      </c>
      <c r="G1525" t="s">
        <v>21</v>
      </c>
      <c r="H1525" t="s">
        <v>22</v>
      </c>
      <c r="I1525" t="s">
        <v>141</v>
      </c>
      <c r="J1525" t="s">
        <v>50</v>
      </c>
      <c r="K1525" s="3">
        <v>970797.346949153</v>
      </c>
      <c r="L1525" t="s">
        <v>793</v>
      </c>
      <c r="M1525" t="s">
        <v>1391</v>
      </c>
      <c r="O1525" s="4">
        <v>0.184519364997175</v>
      </c>
      <c r="P1525" s="3">
        <v>179130.91</v>
      </c>
      <c r="Q1525" t="s">
        <v>1392</v>
      </c>
    </row>
    <row r="1526" spans="1:17" ht="15" customHeight="1" x14ac:dyDescent="0.3">
      <c r="A1526">
        <v>2024</v>
      </c>
      <c r="B1526" s="2">
        <v>45467</v>
      </c>
      <c r="C1526" t="s">
        <v>218</v>
      </c>
      <c r="D1526" t="s">
        <v>1356</v>
      </c>
      <c r="F1526" t="s">
        <v>20</v>
      </c>
      <c r="G1526" t="s">
        <v>38</v>
      </c>
      <c r="H1526" t="s">
        <v>39</v>
      </c>
      <c r="I1526" t="s">
        <v>306</v>
      </c>
      <c r="J1526" t="s">
        <v>123</v>
      </c>
      <c r="K1526" s="3">
        <v>2525</v>
      </c>
      <c r="L1526" t="s">
        <v>825</v>
      </c>
      <c r="M1526" t="s">
        <v>1393</v>
      </c>
      <c r="O1526" s="4">
        <v>0.15</v>
      </c>
      <c r="P1526" s="3">
        <v>378.75</v>
      </c>
      <c r="Q1526" t="s">
        <v>1358</v>
      </c>
    </row>
    <row r="1527" spans="1:17" ht="15" customHeight="1" x14ac:dyDescent="0.3">
      <c r="A1527">
        <v>2024</v>
      </c>
      <c r="B1527" s="2">
        <v>45468</v>
      </c>
      <c r="C1527" t="s">
        <v>218</v>
      </c>
      <c r="D1527" t="s">
        <v>184</v>
      </c>
      <c r="F1527" t="s">
        <v>20</v>
      </c>
      <c r="G1527" t="s">
        <v>107</v>
      </c>
      <c r="H1527" t="s">
        <v>108</v>
      </c>
      <c r="I1527" t="s">
        <v>23</v>
      </c>
      <c r="J1527" t="s">
        <v>110</v>
      </c>
      <c r="K1527" s="3">
        <v>5489.6</v>
      </c>
      <c r="L1527" t="s">
        <v>793</v>
      </c>
      <c r="M1527" t="s">
        <v>1394</v>
      </c>
      <c r="O1527" s="4">
        <v>0.15657607111629299</v>
      </c>
      <c r="P1527" s="3">
        <v>859.54000000000201</v>
      </c>
      <c r="Q1527" t="s">
        <v>1395</v>
      </c>
    </row>
    <row r="1528" spans="1:17" ht="15" customHeight="1" x14ac:dyDescent="0.3">
      <c r="A1528">
        <v>2024</v>
      </c>
      <c r="B1528" s="2">
        <v>45468</v>
      </c>
      <c r="C1528" t="s">
        <v>218</v>
      </c>
      <c r="D1528" t="s">
        <v>56</v>
      </c>
      <c r="F1528" t="s">
        <v>20</v>
      </c>
      <c r="G1528" t="s">
        <v>21</v>
      </c>
      <c r="H1528" t="s">
        <v>22</v>
      </c>
      <c r="I1528" t="s">
        <v>141</v>
      </c>
      <c r="J1528" t="s">
        <v>24</v>
      </c>
      <c r="K1528" s="3">
        <v>84722.29</v>
      </c>
      <c r="L1528" t="s">
        <v>793</v>
      </c>
      <c r="M1528" t="s">
        <v>1396</v>
      </c>
      <c r="O1528" s="4">
        <v>0.14983695554027199</v>
      </c>
      <c r="P1528" s="3">
        <v>12694.53</v>
      </c>
      <c r="Q1528" t="s">
        <v>1397</v>
      </c>
    </row>
    <row r="1529" spans="1:17" ht="15" customHeight="1" x14ac:dyDescent="0.3">
      <c r="A1529">
        <v>2024</v>
      </c>
      <c r="B1529" s="2">
        <v>45468</v>
      </c>
      <c r="C1529" t="s">
        <v>218</v>
      </c>
      <c r="D1529" t="s">
        <v>56</v>
      </c>
      <c r="F1529" t="s">
        <v>20</v>
      </c>
      <c r="G1529" t="s">
        <v>21</v>
      </c>
      <c r="H1529" t="s">
        <v>22</v>
      </c>
      <c r="I1529" t="s">
        <v>306</v>
      </c>
      <c r="J1529" t="s">
        <v>123</v>
      </c>
      <c r="K1529" s="3">
        <v>8193.9699999999993</v>
      </c>
      <c r="L1529" t="s">
        <v>825</v>
      </c>
      <c r="M1529" t="s">
        <v>1398</v>
      </c>
      <c r="O1529" s="4">
        <v>0.15</v>
      </c>
      <c r="P1529" s="3">
        <v>1229.0954999999999</v>
      </c>
      <c r="Q1529" t="s">
        <v>1289</v>
      </c>
    </row>
    <row r="1530" spans="1:17" ht="15" customHeight="1" x14ac:dyDescent="0.3">
      <c r="A1530">
        <v>2024</v>
      </c>
      <c r="B1530" s="2">
        <v>45469</v>
      </c>
      <c r="C1530" t="s">
        <v>218</v>
      </c>
      <c r="D1530" t="s">
        <v>746</v>
      </c>
      <c r="F1530" t="s">
        <v>20</v>
      </c>
      <c r="G1530" t="s">
        <v>21</v>
      </c>
      <c r="H1530" t="s">
        <v>22</v>
      </c>
      <c r="I1530" t="s">
        <v>141</v>
      </c>
      <c r="J1530" t="s">
        <v>50</v>
      </c>
      <c r="K1530" s="3">
        <v>190</v>
      </c>
      <c r="L1530" t="s">
        <v>793</v>
      </c>
      <c r="M1530" t="s">
        <v>1399</v>
      </c>
      <c r="O1530" s="4">
        <v>0.2</v>
      </c>
      <c r="P1530" s="3">
        <v>38</v>
      </c>
      <c r="Q1530" t="s">
        <v>481</v>
      </c>
    </row>
    <row r="1531" spans="1:17" ht="15" customHeight="1" x14ac:dyDescent="0.3">
      <c r="A1531">
        <v>2024</v>
      </c>
      <c r="B1531" s="2">
        <v>45471</v>
      </c>
      <c r="C1531" t="s">
        <v>218</v>
      </c>
      <c r="D1531" t="s">
        <v>675</v>
      </c>
      <c r="F1531" t="s">
        <v>20</v>
      </c>
      <c r="G1531" t="s">
        <v>38</v>
      </c>
      <c r="H1531" t="s">
        <v>147</v>
      </c>
      <c r="I1531" t="s">
        <v>23</v>
      </c>
      <c r="J1531" t="s">
        <v>110</v>
      </c>
      <c r="K1531" s="3">
        <v>3880</v>
      </c>
      <c r="L1531" t="s">
        <v>793</v>
      </c>
      <c r="M1531" t="s">
        <v>1400</v>
      </c>
      <c r="O1531" s="4">
        <v>0.2</v>
      </c>
      <c r="P1531" s="3">
        <v>776</v>
      </c>
      <c r="Q1531" t="s">
        <v>1401</v>
      </c>
    </row>
    <row r="1532" spans="1:17" ht="15" customHeight="1" x14ac:dyDescent="0.3">
      <c r="A1532">
        <v>2024</v>
      </c>
      <c r="B1532" s="2">
        <v>45474</v>
      </c>
      <c r="C1532" t="s">
        <v>262</v>
      </c>
      <c r="D1532" t="s">
        <v>832</v>
      </c>
      <c r="F1532" t="s">
        <v>20</v>
      </c>
      <c r="G1532" t="s">
        <v>38</v>
      </c>
      <c r="H1532" t="s">
        <v>39</v>
      </c>
      <c r="I1532" t="s">
        <v>306</v>
      </c>
      <c r="J1532" t="s">
        <v>123</v>
      </c>
      <c r="K1532" s="3">
        <v>5818.75</v>
      </c>
      <c r="L1532" t="s">
        <v>825</v>
      </c>
      <c r="M1532" t="s">
        <v>1402</v>
      </c>
      <c r="O1532" s="4">
        <v>0.15</v>
      </c>
      <c r="P1532" s="3">
        <v>872.8125</v>
      </c>
      <c r="Q1532" t="s">
        <v>1374</v>
      </c>
    </row>
    <row r="1533" spans="1:17" ht="15" customHeight="1" x14ac:dyDescent="0.3">
      <c r="A1533">
        <v>2024</v>
      </c>
      <c r="B1533" s="2">
        <v>45475</v>
      </c>
      <c r="C1533" t="s">
        <v>262</v>
      </c>
      <c r="D1533" t="s">
        <v>675</v>
      </c>
      <c r="F1533" t="s">
        <v>20</v>
      </c>
      <c r="G1533" t="s">
        <v>38</v>
      </c>
      <c r="H1533" t="s">
        <v>147</v>
      </c>
      <c r="I1533" t="s">
        <v>49</v>
      </c>
      <c r="J1533" t="s">
        <v>123</v>
      </c>
      <c r="K1533" s="3">
        <v>15576.5</v>
      </c>
      <c r="L1533" t="s">
        <v>825</v>
      </c>
      <c r="M1533" t="s">
        <v>1403</v>
      </c>
      <c r="O1533" s="4">
        <v>0.15</v>
      </c>
      <c r="P1533" s="3">
        <v>2336.4749999999999</v>
      </c>
      <c r="Q1533" t="s">
        <v>1366</v>
      </c>
    </row>
    <row r="1534" spans="1:17" ht="15" customHeight="1" x14ac:dyDescent="0.3">
      <c r="A1534">
        <v>2024</v>
      </c>
      <c r="B1534" s="2">
        <v>45481</v>
      </c>
      <c r="C1534" t="s">
        <v>262</v>
      </c>
      <c r="D1534" t="s">
        <v>749</v>
      </c>
      <c r="F1534" t="s">
        <v>20</v>
      </c>
      <c r="G1534" t="s">
        <v>38</v>
      </c>
      <c r="H1534" t="s">
        <v>39</v>
      </c>
      <c r="I1534" t="s">
        <v>306</v>
      </c>
      <c r="J1534" t="s">
        <v>50</v>
      </c>
      <c r="K1534" s="3">
        <v>34854.65</v>
      </c>
      <c r="L1534" t="s">
        <v>825</v>
      </c>
      <c r="M1534" t="s">
        <v>1404</v>
      </c>
      <c r="O1534" s="4">
        <v>0.15</v>
      </c>
      <c r="P1534" s="3">
        <v>5228.1975000000002</v>
      </c>
      <c r="Q1534" t="s">
        <v>1348</v>
      </c>
    </row>
    <row r="1535" spans="1:17" ht="15" customHeight="1" x14ac:dyDescent="0.3">
      <c r="A1535">
        <v>2024</v>
      </c>
      <c r="B1535" s="2">
        <v>45481</v>
      </c>
      <c r="C1535" t="s">
        <v>262</v>
      </c>
      <c r="D1535" t="s">
        <v>749</v>
      </c>
      <c r="F1535" t="s">
        <v>20</v>
      </c>
      <c r="G1535" t="s">
        <v>38</v>
      </c>
      <c r="H1535" t="s">
        <v>39</v>
      </c>
      <c r="I1535" t="s">
        <v>306</v>
      </c>
      <c r="J1535" t="s">
        <v>50</v>
      </c>
      <c r="K1535" s="3">
        <v>13421.3</v>
      </c>
      <c r="L1535" t="s">
        <v>825</v>
      </c>
      <c r="M1535" t="s">
        <v>1405</v>
      </c>
      <c r="O1535" s="4">
        <v>0.15</v>
      </c>
      <c r="P1535" s="3">
        <v>2013.1949999999999</v>
      </c>
      <c r="Q1535" t="s">
        <v>1348</v>
      </c>
    </row>
    <row r="1536" spans="1:17" ht="15" customHeight="1" x14ac:dyDescent="0.3">
      <c r="A1536">
        <v>2024</v>
      </c>
      <c r="B1536" s="2">
        <v>45481</v>
      </c>
      <c r="C1536" t="s">
        <v>262</v>
      </c>
      <c r="D1536" t="s">
        <v>1406</v>
      </c>
      <c r="F1536" t="s">
        <v>20</v>
      </c>
      <c r="G1536" t="s">
        <v>21</v>
      </c>
      <c r="H1536" t="s">
        <v>22</v>
      </c>
      <c r="I1536" t="s">
        <v>136</v>
      </c>
      <c r="J1536" t="s">
        <v>123</v>
      </c>
      <c r="K1536" s="3">
        <v>68437.820000000007</v>
      </c>
      <c r="L1536" t="s">
        <v>793</v>
      </c>
      <c r="M1536" t="s">
        <v>1407</v>
      </c>
      <c r="O1536" s="4">
        <v>0.18714608384662201</v>
      </c>
      <c r="P1536" s="3">
        <v>12807.87</v>
      </c>
      <c r="Q1536" t="s">
        <v>1408</v>
      </c>
    </row>
    <row r="1537" spans="1:17" ht="15" customHeight="1" x14ac:dyDescent="0.3">
      <c r="A1537">
        <v>2024</v>
      </c>
      <c r="B1537" s="2">
        <v>45481</v>
      </c>
      <c r="C1537" t="s">
        <v>262</v>
      </c>
      <c r="D1537" t="s">
        <v>462</v>
      </c>
      <c r="F1537" t="s">
        <v>20</v>
      </c>
      <c r="G1537" t="s">
        <v>21</v>
      </c>
      <c r="H1537" t="s">
        <v>22</v>
      </c>
      <c r="I1537" t="s">
        <v>306</v>
      </c>
      <c r="J1537" t="s">
        <v>123</v>
      </c>
      <c r="K1537" s="3">
        <v>36111.19</v>
      </c>
      <c r="L1537" t="s">
        <v>825</v>
      </c>
      <c r="M1537" t="s">
        <v>1409</v>
      </c>
      <c r="O1537" s="4">
        <v>0.15</v>
      </c>
      <c r="P1537" s="3">
        <v>5416.6785</v>
      </c>
      <c r="Q1537" t="s">
        <v>1346</v>
      </c>
    </row>
    <row r="1538" spans="1:17" ht="15" customHeight="1" x14ac:dyDescent="0.3">
      <c r="A1538">
        <v>2024</v>
      </c>
      <c r="B1538" s="2">
        <v>45482</v>
      </c>
      <c r="C1538" t="s">
        <v>262</v>
      </c>
      <c r="D1538" t="s">
        <v>1318</v>
      </c>
      <c r="F1538" t="s">
        <v>20</v>
      </c>
      <c r="G1538" t="s">
        <v>38</v>
      </c>
      <c r="H1538" t="s">
        <v>39</v>
      </c>
      <c r="I1538" t="s">
        <v>1410</v>
      </c>
      <c r="J1538" t="s">
        <v>50</v>
      </c>
      <c r="K1538" s="3">
        <v>1154869.68</v>
      </c>
      <c r="L1538" t="s">
        <v>793</v>
      </c>
      <c r="M1538" t="s">
        <v>1411</v>
      </c>
      <c r="O1538" s="4">
        <v>0.10052096960412001</v>
      </c>
      <c r="P1538" s="3">
        <v>116088.62</v>
      </c>
      <c r="Q1538" t="s">
        <v>1412</v>
      </c>
    </row>
    <row r="1539" spans="1:17" ht="15" customHeight="1" x14ac:dyDescent="0.3">
      <c r="A1539">
        <v>2024</v>
      </c>
      <c r="B1539" s="2">
        <v>45482</v>
      </c>
      <c r="C1539" t="s">
        <v>262</v>
      </c>
      <c r="D1539" t="s">
        <v>786</v>
      </c>
      <c r="F1539" t="s">
        <v>20</v>
      </c>
      <c r="G1539" t="s">
        <v>21</v>
      </c>
      <c r="H1539" t="s">
        <v>22</v>
      </c>
      <c r="I1539" t="s">
        <v>23</v>
      </c>
      <c r="J1539" t="s">
        <v>110</v>
      </c>
      <c r="K1539" s="3">
        <v>29091</v>
      </c>
      <c r="L1539" t="s">
        <v>793</v>
      </c>
      <c r="M1539" t="s">
        <v>1413</v>
      </c>
      <c r="O1539" s="4">
        <v>0.170965934481455</v>
      </c>
      <c r="P1539" s="3">
        <v>4973.5700000000097</v>
      </c>
      <c r="Q1539" t="s">
        <v>1414</v>
      </c>
    </row>
    <row r="1540" spans="1:17" ht="15" customHeight="1" x14ac:dyDescent="0.3">
      <c r="A1540">
        <v>2024</v>
      </c>
      <c r="B1540" s="2">
        <v>45482</v>
      </c>
      <c r="C1540" t="s">
        <v>262</v>
      </c>
      <c r="D1540" t="s">
        <v>675</v>
      </c>
      <c r="F1540" t="s">
        <v>20</v>
      </c>
      <c r="G1540" t="s">
        <v>38</v>
      </c>
      <c r="H1540" t="s">
        <v>147</v>
      </c>
      <c r="I1540" t="s">
        <v>49</v>
      </c>
      <c r="J1540" t="s">
        <v>123</v>
      </c>
      <c r="K1540" s="3">
        <v>2760</v>
      </c>
      <c r="L1540" t="s">
        <v>825</v>
      </c>
      <c r="M1540" t="s">
        <v>1415</v>
      </c>
      <c r="O1540" s="4">
        <v>0.15</v>
      </c>
      <c r="P1540" s="3">
        <v>414</v>
      </c>
      <c r="Q1540" t="s">
        <v>1366</v>
      </c>
    </row>
    <row r="1541" spans="1:17" ht="15" customHeight="1" x14ac:dyDescent="0.3">
      <c r="A1541">
        <v>2024</v>
      </c>
      <c r="B1541" s="2">
        <v>45485</v>
      </c>
      <c r="C1541" t="s">
        <v>262</v>
      </c>
      <c r="D1541" t="s">
        <v>675</v>
      </c>
      <c r="F1541" t="s">
        <v>20</v>
      </c>
      <c r="G1541" t="s">
        <v>38</v>
      </c>
      <c r="H1541" t="s">
        <v>147</v>
      </c>
      <c r="I1541" t="s">
        <v>49</v>
      </c>
      <c r="J1541" t="s">
        <v>123</v>
      </c>
      <c r="K1541" s="3">
        <v>10960</v>
      </c>
      <c r="L1541" t="s">
        <v>825</v>
      </c>
      <c r="M1541" t="s">
        <v>1416</v>
      </c>
      <c r="O1541" s="4">
        <v>0.15</v>
      </c>
      <c r="P1541" s="3">
        <v>1644</v>
      </c>
      <c r="Q1541" t="s">
        <v>1366</v>
      </c>
    </row>
    <row r="1542" spans="1:17" ht="15" customHeight="1" x14ac:dyDescent="0.3">
      <c r="A1542">
        <v>2024</v>
      </c>
      <c r="B1542" s="2">
        <v>45490</v>
      </c>
      <c r="C1542" t="s">
        <v>262</v>
      </c>
      <c r="D1542" t="s">
        <v>56</v>
      </c>
      <c r="F1542" t="s">
        <v>20</v>
      </c>
      <c r="G1542" t="s">
        <v>21</v>
      </c>
      <c r="H1542" t="s">
        <v>22</v>
      </c>
      <c r="I1542" t="s">
        <v>306</v>
      </c>
      <c r="J1542" t="s">
        <v>123</v>
      </c>
      <c r="K1542" s="3">
        <v>5300</v>
      </c>
      <c r="L1542" t="s">
        <v>825</v>
      </c>
      <c r="M1542" t="s">
        <v>1417</v>
      </c>
      <c r="O1542" s="4">
        <v>0.15</v>
      </c>
      <c r="P1542" s="3">
        <v>795</v>
      </c>
      <c r="Q1542" t="s">
        <v>1289</v>
      </c>
    </row>
    <row r="1543" spans="1:17" ht="15" customHeight="1" x14ac:dyDescent="0.3">
      <c r="A1543">
        <v>2024</v>
      </c>
      <c r="B1543" s="2">
        <v>45499</v>
      </c>
      <c r="C1543" t="s">
        <v>262</v>
      </c>
      <c r="D1543" t="s">
        <v>1406</v>
      </c>
      <c r="F1543" t="s">
        <v>20</v>
      </c>
      <c r="G1543" t="s">
        <v>21</v>
      </c>
      <c r="H1543" t="s">
        <v>22</v>
      </c>
      <c r="I1543" t="s">
        <v>136</v>
      </c>
      <c r="J1543" t="s">
        <v>123</v>
      </c>
      <c r="K1543" s="3">
        <v>67244.820000000007</v>
      </c>
      <c r="L1543" t="s">
        <v>793</v>
      </c>
      <c r="M1543" t="s">
        <v>1418</v>
      </c>
      <c r="O1543" s="4">
        <v>0.186918040675847</v>
      </c>
      <c r="P1543" s="3">
        <v>12569.27</v>
      </c>
      <c r="Q1543" t="s">
        <v>1408</v>
      </c>
    </row>
    <row r="1544" spans="1:17" ht="15" customHeight="1" x14ac:dyDescent="0.3">
      <c r="A1544">
        <v>2024</v>
      </c>
      <c r="B1544" s="2">
        <v>45504</v>
      </c>
      <c r="C1544" t="s">
        <v>262</v>
      </c>
      <c r="D1544" t="s">
        <v>61</v>
      </c>
      <c r="F1544" t="s">
        <v>20</v>
      </c>
      <c r="G1544" t="s">
        <v>21</v>
      </c>
      <c r="H1544" t="s">
        <v>22</v>
      </c>
      <c r="I1544" t="s">
        <v>306</v>
      </c>
      <c r="J1544" t="s">
        <v>110</v>
      </c>
      <c r="K1544" s="3">
        <v>118070.17</v>
      </c>
      <c r="L1544" t="s">
        <v>793</v>
      </c>
      <c r="M1544" t="s">
        <v>1419</v>
      </c>
      <c r="O1544" s="4">
        <v>0.14475747769313799</v>
      </c>
      <c r="P1544" s="3">
        <v>17091.54</v>
      </c>
      <c r="Q1544" t="s">
        <v>1420</v>
      </c>
    </row>
    <row r="1545" spans="1:17" ht="15" customHeight="1" x14ac:dyDescent="0.3">
      <c r="A1545">
        <v>2024</v>
      </c>
      <c r="B1545" s="2">
        <v>45509</v>
      </c>
      <c r="C1545" t="s">
        <v>291</v>
      </c>
      <c r="D1545" t="s">
        <v>1421</v>
      </c>
      <c r="F1545" t="s">
        <v>20</v>
      </c>
      <c r="G1545" t="s">
        <v>107</v>
      </c>
      <c r="H1545" t="s">
        <v>108</v>
      </c>
      <c r="I1545" t="s">
        <v>1422</v>
      </c>
      <c r="J1545" t="s">
        <v>123</v>
      </c>
      <c r="K1545" s="3">
        <v>205000</v>
      </c>
      <c r="L1545" t="s">
        <v>793</v>
      </c>
      <c r="M1545" t="s">
        <v>1423</v>
      </c>
      <c r="O1545" s="4">
        <v>0.141858195121951</v>
      </c>
      <c r="P1545" s="3">
        <v>29080.93</v>
      </c>
      <c r="Q1545" t="s">
        <v>1424</v>
      </c>
    </row>
    <row r="1546" spans="1:17" ht="15" customHeight="1" x14ac:dyDescent="0.3">
      <c r="A1546">
        <v>2024</v>
      </c>
      <c r="B1546" s="2">
        <v>45517</v>
      </c>
      <c r="C1546" t="s">
        <v>291</v>
      </c>
      <c r="D1546" t="s">
        <v>61</v>
      </c>
      <c r="F1546" t="s">
        <v>20</v>
      </c>
      <c r="G1546" t="s">
        <v>21</v>
      </c>
      <c r="H1546" t="s">
        <v>22</v>
      </c>
      <c r="I1546" t="s">
        <v>306</v>
      </c>
      <c r="J1546" t="s">
        <v>123</v>
      </c>
      <c r="K1546" s="3">
        <v>69561.75</v>
      </c>
      <c r="L1546" t="s">
        <v>793</v>
      </c>
      <c r="M1546" t="s">
        <v>1425</v>
      </c>
      <c r="O1546" s="4">
        <v>0.172259754822154</v>
      </c>
      <c r="P1546" s="3">
        <v>11982.69</v>
      </c>
      <c r="Q1546" t="s">
        <v>1426</v>
      </c>
    </row>
    <row r="1547" spans="1:17" ht="15" customHeight="1" x14ac:dyDescent="0.3">
      <c r="A1547">
        <v>2024</v>
      </c>
      <c r="B1547" s="2">
        <v>45517</v>
      </c>
      <c r="C1547" t="s">
        <v>291</v>
      </c>
      <c r="D1547" t="s">
        <v>1269</v>
      </c>
      <c r="F1547" t="s">
        <v>20</v>
      </c>
      <c r="G1547" t="s">
        <v>21</v>
      </c>
      <c r="H1547" t="s">
        <v>22</v>
      </c>
      <c r="I1547" t="s">
        <v>23</v>
      </c>
      <c r="J1547" t="s">
        <v>110</v>
      </c>
      <c r="K1547" s="3">
        <v>5457.13</v>
      </c>
      <c r="L1547" t="s">
        <v>793</v>
      </c>
      <c r="M1547" t="s">
        <v>1427</v>
      </c>
      <c r="O1547" s="4">
        <v>0.18944573429623299</v>
      </c>
      <c r="P1547" s="3">
        <v>1033.83</v>
      </c>
      <c r="Q1547" t="s">
        <v>1428</v>
      </c>
    </row>
    <row r="1548" spans="1:17" ht="15" customHeight="1" x14ac:dyDescent="0.3">
      <c r="A1548">
        <v>2024</v>
      </c>
      <c r="B1548" s="2">
        <v>45517</v>
      </c>
      <c r="C1548" t="s">
        <v>291</v>
      </c>
      <c r="D1548" t="s">
        <v>462</v>
      </c>
      <c r="F1548" t="s">
        <v>20</v>
      </c>
      <c r="G1548" t="s">
        <v>21</v>
      </c>
      <c r="H1548" t="s">
        <v>22</v>
      </c>
      <c r="I1548" t="s">
        <v>306</v>
      </c>
      <c r="J1548" t="s">
        <v>50</v>
      </c>
      <c r="K1548" s="3">
        <v>17421.54</v>
      </c>
      <c r="L1548" t="s">
        <v>825</v>
      </c>
      <c r="M1548" t="s">
        <v>1429</v>
      </c>
      <c r="O1548" s="4">
        <v>0.15</v>
      </c>
      <c r="P1548" s="3">
        <v>2613.2310000000002</v>
      </c>
      <c r="Q1548" t="s">
        <v>1346</v>
      </c>
    </row>
    <row r="1549" spans="1:17" ht="15" customHeight="1" x14ac:dyDescent="0.3">
      <c r="A1549">
        <v>2024</v>
      </c>
      <c r="B1549" s="2">
        <v>45519</v>
      </c>
      <c r="C1549" t="s">
        <v>291</v>
      </c>
      <c r="D1549" t="s">
        <v>749</v>
      </c>
      <c r="F1549" t="s">
        <v>20</v>
      </c>
      <c r="G1549" t="s">
        <v>38</v>
      </c>
      <c r="H1549" t="s">
        <v>39</v>
      </c>
      <c r="I1549" t="s">
        <v>306</v>
      </c>
      <c r="J1549" t="s">
        <v>50</v>
      </c>
      <c r="K1549" s="3">
        <v>33168</v>
      </c>
      <c r="L1549" t="s">
        <v>793</v>
      </c>
      <c r="M1549" t="s">
        <v>1430</v>
      </c>
      <c r="O1549" s="4">
        <v>0.28250904486251799</v>
      </c>
      <c r="P1549" s="3">
        <v>9370.26</v>
      </c>
      <c r="Q1549" t="s">
        <v>1431</v>
      </c>
    </row>
    <row r="1550" spans="1:17" ht="15" customHeight="1" x14ac:dyDescent="0.3">
      <c r="A1550">
        <v>2024</v>
      </c>
      <c r="B1550" s="2">
        <v>45524</v>
      </c>
      <c r="C1550" t="s">
        <v>291</v>
      </c>
      <c r="D1550" t="s">
        <v>675</v>
      </c>
      <c r="F1550" t="s">
        <v>20</v>
      </c>
      <c r="G1550" t="s">
        <v>38</v>
      </c>
      <c r="H1550" t="s">
        <v>147</v>
      </c>
      <c r="I1550" t="s">
        <v>49</v>
      </c>
      <c r="J1550" t="s">
        <v>123</v>
      </c>
      <c r="K1550" s="3">
        <v>3235.62</v>
      </c>
      <c r="L1550" t="s">
        <v>825</v>
      </c>
      <c r="M1550" t="s">
        <v>1432</v>
      </c>
      <c r="O1550" s="4">
        <v>0.15</v>
      </c>
      <c r="P1550" s="3">
        <v>485.34300000000002</v>
      </c>
      <c r="Q1550" t="s">
        <v>1366</v>
      </c>
    </row>
    <row r="1551" spans="1:17" ht="15" customHeight="1" x14ac:dyDescent="0.3">
      <c r="A1551">
        <v>2024</v>
      </c>
      <c r="B1551" s="2">
        <v>45531</v>
      </c>
      <c r="C1551" t="s">
        <v>291</v>
      </c>
      <c r="D1551" t="s">
        <v>675</v>
      </c>
      <c r="F1551" t="s">
        <v>20</v>
      </c>
      <c r="G1551" t="s">
        <v>38</v>
      </c>
      <c r="H1551" t="s">
        <v>147</v>
      </c>
      <c r="I1551" t="s">
        <v>23</v>
      </c>
      <c r="J1551" t="s">
        <v>110</v>
      </c>
      <c r="K1551" s="3">
        <v>8030</v>
      </c>
      <c r="L1551" t="s">
        <v>793</v>
      </c>
      <c r="M1551" t="s">
        <v>1433</v>
      </c>
      <c r="O1551" s="4">
        <v>0.35096637608966402</v>
      </c>
      <c r="P1551" s="3">
        <v>2818.26</v>
      </c>
      <c r="Q1551" t="s">
        <v>1434</v>
      </c>
    </row>
    <row r="1552" spans="1:17" ht="15" customHeight="1" x14ac:dyDescent="0.3">
      <c r="A1552">
        <v>2024</v>
      </c>
      <c r="B1552" s="2">
        <v>45532</v>
      </c>
      <c r="C1552" t="s">
        <v>291</v>
      </c>
      <c r="D1552" t="s">
        <v>749</v>
      </c>
      <c r="F1552" t="s">
        <v>20</v>
      </c>
      <c r="G1552" t="s">
        <v>38</v>
      </c>
      <c r="H1552" t="s">
        <v>39</v>
      </c>
      <c r="I1552" t="s">
        <v>306</v>
      </c>
      <c r="J1552" t="s">
        <v>50</v>
      </c>
      <c r="K1552" s="3">
        <v>17854.540677966099</v>
      </c>
      <c r="L1552" t="s">
        <v>825</v>
      </c>
      <c r="M1552" t="s">
        <v>1435</v>
      </c>
      <c r="O1552" s="4">
        <v>0.14999999430425501</v>
      </c>
      <c r="P1552" s="3">
        <v>2678.181</v>
      </c>
      <c r="Q1552" t="s">
        <v>1348</v>
      </c>
    </row>
    <row r="1553" spans="1:17" ht="15" customHeight="1" x14ac:dyDescent="0.3">
      <c r="A1553">
        <v>2024</v>
      </c>
      <c r="B1553" s="2">
        <v>45532</v>
      </c>
      <c r="C1553" t="s">
        <v>291</v>
      </c>
      <c r="D1553" t="s">
        <v>53</v>
      </c>
      <c r="F1553" t="s">
        <v>20</v>
      </c>
      <c r="G1553" t="s">
        <v>21</v>
      </c>
      <c r="H1553" t="s">
        <v>22</v>
      </c>
      <c r="I1553" t="s">
        <v>141</v>
      </c>
      <c r="J1553" t="s">
        <v>123</v>
      </c>
      <c r="K1553" s="3">
        <v>19000</v>
      </c>
      <c r="L1553" t="s">
        <v>793</v>
      </c>
      <c r="M1553" t="s">
        <v>1436</v>
      </c>
      <c r="O1553" s="4">
        <v>0.154520526315789</v>
      </c>
      <c r="P1553" s="3">
        <v>2935.8899999999899</v>
      </c>
      <c r="Q1553" t="s">
        <v>1437</v>
      </c>
    </row>
    <row r="1554" spans="1:17" ht="15" customHeight="1" x14ac:dyDescent="0.3">
      <c r="A1554">
        <v>2024</v>
      </c>
      <c r="B1554" s="2">
        <v>45532</v>
      </c>
      <c r="C1554" t="s">
        <v>291</v>
      </c>
      <c r="D1554" t="s">
        <v>53</v>
      </c>
      <c r="F1554" t="s">
        <v>20</v>
      </c>
      <c r="G1554" t="s">
        <v>21</v>
      </c>
      <c r="H1554" t="s">
        <v>22</v>
      </c>
      <c r="I1554" t="s">
        <v>141</v>
      </c>
      <c r="J1554" t="s">
        <v>123</v>
      </c>
      <c r="K1554" s="3">
        <v>197000</v>
      </c>
      <c r="L1554" t="s">
        <v>793</v>
      </c>
      <c r="M1554" t="s">
        <v>1438</v>
      </c>
      <c r="O1554" s="4">
        <v>9.7180507614213194E-2</v>
      </c>
      <c r="P1554" s="3">
        <v>19144.560000000001</v>
      </c>
      <c r="Q1554" t="s">
        <v>1439</v>
      </c>
    </row>
    <row r="1555" spans="1:17" ht="15" customHeight="1" x14ac:dyDescent="0.3">
      <c r="A1555">
        <v>2024</v>
      </c>
      <c r="B1555" s="2">
        <v>45533</v>
      </c>
      <c r="C1555" t="s">
        <v>291</v>
      </c>
      <c r="D1555" t="s">
        <v>1007</v>
      </c>
      <c r="F1555" t="s">
        <v>20</v>
      </c>
      <c r="G1555" t="s">
        <v>38</v>
      </c>
      <c r="H1555" t="s">
        <v>39</v>
      </c>
      <c r="I1555" t="s">
        <v>306</v>
      </c>
      <c r="J1555" t="s">
        <v>123</v>
      </c>
      <c r="K1555" s="3">
        <v>2857.14</v>
      </c>
      <c r="L1555" t="s">
        <v>825</v>
      </c>
      <c r="M1555" t="s">
        <v>1440</v>
      </c>
      <c r="O1555" s="4">
        <v>0.15</v>
      </c>
      <c r="P1555" s="3">
        <v>428.57100000000003</v>
      </c>
      <c r="Q1555" t="s">
        <v>1441</v>
      </c>
    </row>
    <row r="1556" spans="1:17" ht="15" customHeight="1" x14ac:dyDescent="0.3">
      <c r="A1556">
        <v>2024</v>
      </c>
      <c r="B1556" s="2">
        <v>45540</v>
      </c>
      <c r="C1556" t="s">
        <v>325</v>
      </c>
      <c r="D1556" t="s">
        <v>1299</v>
      </c>
      <c r="F1556" t="s">
        <v>20</v>
      </c>
      <c r="G1556" t="s">
        <v>38</v>
      </c>
      <c r="H1556" t="s">
        <v>619</v>
      </c>
      <c r="I1556" t="s">
        <v>49</v>
      </c>
      <c r="J1556" t="s">
        <v>123</v>
      </c>
      <c r="K1556" s="3">
        <v>6903.76</v>
      </c>
      <c r="L1556" t="s">
        <v>825</v>
      </c>
      <c r="M1556" t="s">
        <v>1442</v>
      </c>
      <c r="O1556" s="4">
        <v>0.15</v>
      </c>
      <c r="P1556" s="3">
        <v>1035.5640000000001</v>
      </c>
      <c r="Q1556" t="s">
        <v>1301</v>
      </c>
    </row>
    <row r="1557" spans="1:17" ht="15" customHeight="1" x14ac:dyDescent="0.3">
      <c r="A1557">
        <v>2024</v>
      </c>
      <c r="B1557" s="2">
        <v>45544</v>
      </c>
      <c r="C1557" t="s">
        <v>325</v>
      </c>
      <c r="D1557" t="s">
        <v>973</v>
      </c>
      <c r="F1557" t="s">
        <v>20</v>
      </c>
      <c r="G1557" t="s">
        <v>38</v>
      </c>
      <c r="H1557" t="s">
        <v>89</v>
      </c>
      <c r="I1557" t="s">
        <v>306</v>
      </c>
      <c r="J1557" t="s">
        <v>123</v>
      </c>
      <c r="K1557" s="3">
        <v>10297.879999999999</v>
      </c>
      <c r="L1557" t="s">
        <v>825</v>
      </c>
      <c r="M1557" t="s">
        <v>1443</v>
      </c>
      <c r="O1557" s="4">
        <v>0.15</v>
      </c>
      <c r="P1557" s="3">
        <v>1544.682</v>
      </c>
      <c r="Q1557" t="s">
        <v>1350</v>
      </c>
    </row>
    <row r="1558" spans="1:17" ht="15" customHeight="1" x14ac:dyDescent="0.3">
      <c r="A1558">
        <v>2024</v>
      </c>
      <c r="B1558" s="2">
        <v>45544</v>
      </c>
      <c r="C1558" t="s">
        <v>325</v>
      </c>
      <c r="D1558" t="s">
        <v>973</v>
      </c>
      <c r="F1558" t="s">
        <v>20</v>
      </c>
      <c r="G1558" t="s">
        <v>38</v>
      </c>
      <c r="H1558" t="s">
        <v>89</v>
      </c>
      <c r="I1558" t="s">
        <v>306</v>
      </c>
      <c r="J1558" t="s">
        <v>123</v>
      </c>
      <c r="K1558" s="3">
        <v>2631</v>
      </c>
      <c r="L1558" t="s">
        <v>825</v>
      </c>
      <c r="M1558" t="s">
        <v>1444</v>
      </c>
      <c r="O1558" s="4">
        <v>0.15</v>
      </c>
      <c r="P1558" s="3">
        <v>394.65</v>
      </c>
      <c r="Q1558" t="s">
        <v>1350</v>
      </c>
    </row>
    <row r="1559" spans="1:17" ht="15" customHeight="1" x14ac:dyDescent="0.3">
      <c r="A1559">
        <v>2024</v>
      </c>
      <c r="B1559" s="2">
        <v>45545</v>
      </c>
      <c r="C1559" t="s">
        <v>325</v>
      </c>
      <c r="D1559" t="s">
        <v>462</v>
      </c>
      <c r="F1559" t="s">
        <v>20</v>
      </c>
      <c r="G1559" t="s">
        <v>21</v>
      </c>
      <c r="H1559" t="s">
        <v>22</v>
      </c>
      <c r="I1559" t="s">
        <v>306</v>
      </c>
      <c r="J1559" t="s">
        <v>50</v>
      </c>
      <c r="K1559" s="3">
        <v>17526</v>
      </c>
      <c r="L1559" t="s">
        <v>825</v>
      </c>
      <c r="M1559" t="s">
        <v>1445</v>
      </c>
      <c r="O1559" s="4">
        <v>0.15</v>
      </c>
      <c r="P1559" s="3">
        <v>2628.9</v>
      </c>
      <c r="Q1559" t="s">
        <v>1346</v>
      </c>
    </row>
    <row r="1560" spans="1:17" ht="15" customHeight="1" x14ac:dyDescent="0.3">
      <c r="A1560">
        <v>2024</v>
      </c>
      <c r="B1560" s="2">
        <v>45546</v>
      </c>
      <c r="C1560" t="s">
        <v>325</v>
      </c>
      <c r="D1560" t="s">
        <v>675</v>
      </c>
      <c r="F1560" t="s">
        <v>20</v>
      </c>
      <c r="G1560" t="s">
        <v>38</v>
      </c>
      <c r="H1560" t="s">
        <v>147</v>
      </c>
      <c r="I1560" t="s">
        <v>23</v>
      </c>
      <c r="J1560" t="s">
        <v>123</v>
      </c>
      <c r="K1560" s="3">
        <v>60000</v>
      </c>
      <c r="L1560" t="s">
        <v>793</v>
      </c>
      <c r="M1560" t="s">
        <v>1446</v>
      </c>
      <c r="O1560" s="4">
        <v>0.14163166666666699</v>
      </c>
      <c r="P1560" s="3">
        <v>8497.9000000000196</v>
      </c>
      <c r="Q1560" t="s">
        <v>1447</v>
      </c>
    </row>
    <row r="1561" spans="1:17" ht="15" customHeight="1" x14ac:dyDescent="0.3">
      <c r="A1561">
        <v>2024</v>
      </c>
      <c r="B1561" s="2">
        <v>45548</v>
      </c>
      <c r="C1561" t="s">
        <v>325</v>
      </c>
      <c r="D1561" t="s">
        <v>1323</v>
      </c>
      <c r="F1561" t="s">
        <v>20</v>
      </c>
      <c r="G1561" t="s">
        <v>21</v>
      </c>
      <c r="H1561" t="s">
        <v>22</v>
      </c>
      <c r="I1561" t="s">
        <v>306</v>
      </c>
      <c r="J1561" t="s">
        <v>123</v>
      </c>
      <c r="K1561" s="3">
        <v>3200</v>
      </c>
      <c r="L1561" t="s">
        <v>825</v>
      </c>
      <c r="M1561" t="s">
        <v>1448</v>
      </c>
      <c r="O1561" s="4">
        <v>0.15</v>
      </c>
      <c r="P1561" s="3">
        <v>480</v>
      </c>
      <c r="Q1561" t="s">
        <v>1325</v>
      </c>
    </row>
    <row r="1562" spans="1:17" ht="15" customHeight="1" x14ac:dyDescent="0.3">
      <c r="A1562">
        <v>2024</v>
      </c>
      <c r="B1562" s="2">
        <v>45551</v>
      </c>
      <c r="C1562" t="s">
        <v>325</v>
      </c>
      <c r="D1562" t="s">
        <v>1449</v>
      </c>
      <c r="F1562" t="s">
        <v>20</v>
      </c>
      <c r="G1562" t="s">
        <v>38</v>
      </c>
      <c r="H1562" t="s">
        <v>147</v>
      </c>
      <c r="I1562" t="s">
        <v>23</v>
      </c>
      <c r="J1562" t="s">
        <v>110</v>
      </c>
      <c r="K1562" s="3">
        <v>13482.5</v>
      </c>
      <c r="L1562" t="s">
        <v>793</v>
      </c>
      <c r="M1562" t="s">
        <v>1450</v>
      </c>
      <c r="O1562" s="4">
        <v>0.17852772111997001</v>
      </c>
      <c r="P1562" s="3">
        <v>2407</v>
      </c>
      <c r="Q1562" t="s">
        <v>1451</v>
      </c>
    </row>
    <row r="1563" spans="1:17" ht="15" customHeight="1" x14ac:dyDescent="0.3">
      <c r="A1563">
        <v>2024</v>
      </c>
      <c r="B1563" s="2">
        <v>45553</v>
      </c>
      <c r="C1563" t="s">
        <v>325</v>
      </c>
      <c r="D1563" t="s">
        <v>462</v>
      </c>
      <c r="F1563" t="s">
        <v>20</v>
      </c>
      <c r="G1563" t="s">
        <v>21</v>
      </c>
      <c r="H1563" t="s">
        <v>22</v>
      </c>
      <c r="I1563" t="s">
        <v>306</v>
      </c>
      <c r="J1563" t="s">
        <v>50</v>
      </c>
      <c r="K1563" s="3">
        <v>8920</v>
      </c>
      <c r="L1563" t="s">
        <v>825</v>
      </c>
      <c r="M1563" t="s">
        <v>1452</v>
      </c>
      <c r="O1563" s="4">
        <v>0.15</v>
      </c>
      <c r="P1563" s="3">
        <v>1338</v>
      </c>
      <c r="Q1563" t="s">
        <v>1346</v>
      </c>
    </row>
    <row r="1564" spans="1:17" ht="15" customHeight="1" x14ac:dyDescent="0.3">
      <c r="A1564">
        <v>2024</v>
      </c>
      <c r="B1564" s="2">
        <v>45553</v>
      </c>
      <c r="C1564" t="s">
        <v>325</v>
      </c>
      <c r="D1564" t="s">
        <v>1384</v>
      </c>
      <c r="F1564" t="s">
        <v>20</v>
      </c>
      <c r="G1564" t="s">
        <v>107</v>
      </c>
      <c r="H1564" t="s">
        <v>108</v>
      </c>
      <c r="I1564" t="s">
        <v>141</v>
      </c>
      <c r="J1564" t="s">
        <v>50</v>
      </c>
      <c r="K1564" s="3">
        <v>21509.439999999999</v>
      </c>
      <c r="L1564" t="s">
        <v>825</v>
      </c>
      <c r="M1564" t="s">
        <v>1453</v>
      </c>
      <c r="O1564" s="4">
        <v>0.15</v>
      </c>
      <c r="P1564" s="3">
        <v>3226.4160000000002</v>
      </c>
      <c r="Q1564" t="s">
        <v>293</v>
      </c>
    </row>
    <row r="1565" spans="1:17" ht="15" customHeight="1" x14ac:dyDescent="0.3">
      <c r="A1565">
        <v>2024</v>
      </c>
      <c r="B1565" s="2">
        <v>45553</v>
      </c>
      <c r="C1565" t="s">
        <v>325</v>
      </c>
      <c r="D1565" t="s">
        <v>1384</v>
      </c>
      <c r="F1565" t="s">
        <v>20</v>
      </c>
      <c r="G1565" t="s">
        <v>107</v>
      </c>
      <c r="H1565" t="s">
        <v>108</v>
      </c>
      <c r="I1565" t="s">
        <v>141</v>
      </c>
      <c r="J1565" t="s">
        <v>50</v>
      </c>
      <c r="K1565" s="3">
        <v>33931.65</v>
      </c>
      <c r="L1565" t="s">
        <v>825</v>
      </c>
      <c r="M1565" t="s">
        <v>1454</v>
      </c>
      <c r="O1565" s="4">
        <v>0.15</v>
      </c>
      <c r="P1565" s="3">
        <v>5089.7475000000004</v>
      </c>
      <c r="Q1565" t="s">
        <v>293</v>
      </c>
    </row>
    <row r="1566" spans="1:17" ht="15" customHeight="1" x14ac:dyDescent="0.3">
      <c r="A1566">
        <v>2024</v>
      </c>
      <c r="B1566" s="2">
        <v>45558</v>
      </c>
      <c r="C1566" t="s">
        <v>325</v>
      </c>
      <c r="D1566" t="s">
        <v>779</v>
      </c>
      <c r="F1566" t="s">
        <v>20</v>
      </c>
      <c r="G1566" t="s">
        <v>38</v>
      </c>
      <c r="H1566" t="s">
        <v>89</v>
      </c>
      <c r="I1566" t="s">
        <v>136</v>
      </c>
      <c r="J1566" t="s">
        <v>123</v>
      </c>
      <c r="K1566" s="3">
        <v>128740.65</v>
      </c>
      <c r="L1566" t="s">
        <v>793</v>
      </c>
      <c r="M1566" t="s">
        <v>1455</v>
      </c>
      <c r="O1566" s="4">
        <v>0.16817966974689</v>
      </c>
      <c r="P1566" s="3">
        <v>21651.56</v>
      </c>
      <c r="Q1566" t="s">
        <v>1456</v>
      </c>
    </row>
    <row r="1567" spans="1:17" ht="15" customHeight="1" x14ac:dyDescent="0.3">
      <c r="A1567">
        <v>2024</v>
      </c>
      <c r="B1567" s="2">
        <v>45565</v>
      </c>
      <c r="C1567" t="s">
        <v>325</v>
      </c>
      <c r="D1567" t="s">
        <v>1384</v>
      </c>
      <c r="F1567" t="s">
        <v>20</v>
      </c>
      <c r="G1567" t="s">
        <v>107</v>
      </c>
      <c r="H1567" t="s">
        <v>108</v>
      </c>
      <c r="I1567" t="s">
        <v>141</v>
      </c>
      <c r="J1567" t="s">
        <v>50</v>
      </c>
      <c r="K1567" s="3">
        <v>24500.0003389831</v>
      </c>
      <c r="L1567" t="s">
        <v>825</v>
      </c>
      <c r="M1567" t="s">
        <v>1457</v>
      </c>
      <c r="O1567" s="4">
        <v>0.14999999792459401</v>
      </c>
      <c r="P1567" s="3">
        <v>3675.00000000002</v>
      </c>
      <c r="Q1567" t="s">
        <v>293</v>
      </c>
    </row>
    <row r="1568" spans="1:17" ht="15" customHeight="1" x14ac:dyDescent="0.3">
      <c r="A1568">
        <v>2024</v>
      </c>
      <c r="B1568" s="2">
        <v>45565</v>
      </c>
      <c r="C1568" t="s">
        <v>325</v>
      </c>
      <c r="D1568" t="s">
        <v>53</v>
      </c>
      <c r="F1568" t="s">
        <v>20</v>
      </c>
      <c r="G1568" t="s">
        <v>21</v>
      </c>
      <c r="H1568" t="s">
        <v>22</v>
      </c>
      <c r="I1568" t="s">
        <v>141</v>
      </c>
      <c r="J1568" t="s">
        <v>123</v>
      </c>
      <c r="K1568" s="3">
        <v>3006</v>
      </c>
      <c r="L1568" t="s">
        <v>825</v>
      </c>
      <c r="M1568" t="s">
        <v>1458</v>
      </c>
      <c r="O1568" s="4">
        <v>0.15</v>
      </c>
      <c r="P1568" s="3">
        <v>450.9</v>
      </c>
      <c r="Q1568" t="s">
        <v>1437</v>
      </c>
    </row>
    <row r="1569" spans="1:17" ht="15" customHeight="1" x14ac:dyDescent="0.3">
      <c r="A1569">
        <v>2024</v>
      </c>
      <c r="B1569" s="2">
        <v>45569</v>
      </c>
      <c r="C1569" t="s">
        <v>357</v>
      </c>
      <c r="D1569" t="s">
        <v>779</v>
      </c>
      <c r="F1569" t="s">
        <v>20</v>
      </c>
      <c r="G1569" t="s">
        <v>38</v>
      </c>
      <c r="H1569" t="s">
        <v>89</v>
      </c>
      <c r="I1569" t="s">
        <v>136</v>
      </c>
      <c r="J1569" t="s">
        <v>123</v>
      </c>
      <c r="K1569" s="3">
        <v>18108.330000000002</v>
      </c>
      <c r="L1569" t="s">
        <v>793</v>
      </c>
      <c r="M1569" t="s">
        <v>1459</v>
      </c>
      <c r="O1569" s="4">
        <v>0.16359487594935601</v>
      </c>
      <c r="P1569" s="3">
        <v>2962.43</v>
      </c>
      <c r="Q1569" t="s">
        <v>1460</v>
      </c>
    </row>
    <row r="1570" spans="1:17" ht="15" customHeight="1" x14ac:dyDescent="0.3">
      <c r="A1570">
        <v>2024</v>
      </c>
      <c r="B1570" s="2">
        <v>45569</v>
      </c>
      <c r="C1570" t="s">
        <v>357</v>
      </c>
      <c r="D1570" t="s">
        <v>40</v>
      </c>
      <c r="F1570" t="s">
        <v>20</v>
      </c>
      <c r="G1570" t="s">
        <v>21</v>
      </c>
      <c r="H1570" t="s">
        <v>22</v>
      </c>
      <c r="I1570" t="s">
        <v>141</v>
      </c>
      <c r="J1570" t="s">
        <v>123</v>
      </c>
      <c r="K1570" s="3">
        <v>250000</v>
      </c>
      <c r="L1570" t="s">
        <v>793</v>
      </c>
      <c r="M1570" t="s">
        <v>1461</v>
      </c>
      <c r="O1570" s="4">
        <v>0.16178564000000001</v>
      </c>
      <c r="P1570" s="3">
        <v>40446.410000000003</v>
      </c>
      <c r="Q1570" t="s">
        <v>1383</v>
      </c>
    </row>
    <row r="1571" spans="1:17" ht="15" customHeight="1" x14ac:dyDescent="0.3">
      <c r="A1571">
        <v>2024</v>
      </c>
      <c r="B1571" s="2">
        <v>45574</v>
      </c>
      <c r="C1571" t="s">
        <v>357</v>
      </c>
      <c r="D1571" t="s">
        <v>1296</v>
      </c>
      <c r="F1571" t="s">
        <v>20</v>
      </c>
      <c r="G1571" t="s">
        <v>38</v>
      </c>
      <c r="H1571" t="s">
        <v>39</v>
      </c>
      <c r="I1571" t="s">
        <v>306</v>
      </c>
      <c r="J1571" t="s">
        <v>123</v>
      </c>
      <c r="K1571" s="3">
        <v>107625.07</v>
      </c>
      <c r="L1571" t="s">
        <v>825</v>
      </c>
      <c r="M1571" t="s">
        <v>1462</v>
      </c>
      <c r="O1571" s="4">
        <v>0.15</v>
      </c>
      <c r="P1571" s="3">
        <v>16143.7605</v>
      </c>
      <c r="Q1571" t="s">
        <v>1298</v>
      </c>
    </row>
    <row r="1572" spans="1:17" ht="15" customHeight="1" x14ac:dyDescent="0.3">
      <c r="A1572">
        <v>2024</v>
      </c>
      <c r="B1572" s="2">
        <v>45579</v>
      </c>
      <c r="C1572" t="s">
        <v>357</v>
      </c>
      <c r="D1572" t="s">
        <v>746</v>
      </c>
      <c r="F1572" t="s">
        <v>20</v>
      </c>
      <c r="G1572" t="s">
        <v>21</v>
      </c>
      <c r="H1572" t="s">
        <v>22</v>
      </c>
      <c r="I1572" t="s">
        <v>141</v>
      </c>
      <c r="J1572" t="s">
        <v>50</v>
      </c>
      <c r="K1572" s="3">
        <v>5159</v>
      </c>
      <c r="L1572" t="s">
        <v>793</v>
      </c>
      <c r="M1572" t="s">
        <v>1463</v>
      </c>
      <c r="O1572" s="4">
        <v>0.34811009885636801</v>
      </c>
      <c r="P1572" s="3">
        <v>1795.9</v>
      </c>
      <c r="Q1572" t="s">
        <v>1464</v>
      </c>
    </row>
    <row r="1573" spans="1:17" ht="15" customHeight="1" x14ac:dyDescent="0.3">
      <c r="A1573">
        <v>2024</v>
      </c>
      <c r="B1573" s="2">
        <v>45579</v>
      </c>
      <c r="C1573" t="s">
        <v>357</v>
      </c>
      <c r="D1573" t="s">
        <v>746</v>
      </c>
      <c r="F1573" t="s">
        <v>20</v>
      </c>
      <c r="G1573" t="s">
        <v>21</v>
      </c>
      <c r="H1573" t="s">
        <v>22</v>
      </c>
      <c r="I1573" t="s">
        <v>141</v>
      </c>
      <c r="J1573" t="s">
        <v>50</v>
      </c>
      <c r="K1573" s="3">
        <v>8558</v>
      </c>
      <c r="L1573" t="s">
        <v>793</v>
      </c>
      <c r="M1573" t="s">
        <v>1465</v>
      </c>
      <c r="O1573" s="4">
        <v>0.29560645010516501</v>
      </c>
      <c r="P1573" s="3">
        <v>2529.8000000000002</v>
      </c>
      <c r="Q1573" t="s">
        <v>1466</v>
      </c>
    </row>
    <row r="1574" spans="1:17" ht="15" customHeight="1" x14ac:dyDescent="0.3">
      <c r="A1574">
        <v>2024</v>
      </c>
      <c r="B1574" s="2">
        <v>45593</v>
      </c>
      <c r="C1574" t="s">
        <v>357</v>
      </c>
      <c r="D1574" t="s">
        <v>28</v>
      </c>
      <c r="F1574" t="s">
        <v>20</v>
      </c>
      <c r="G1574" t="s">
        <v>21</v>
      </c>
      <c r="H1574" t="s">
        <v>22</v>
      </c>
      <c r="I1574" t="s">
        <v>23</v>
      </c>
      <c r="J1574" t="s">
        <v>123</v>
      </c>
      <c r="K1574" s="3">
        <v>15259</v>
      </c>
      <c r="L1574" t="s">
        <v>793</v>
      </c>
      <c r="M1574" t="s">
        <v>1467</v>
      </c>
      <c r="O1574" s="4">
        <v>0.154048102759028</v>
      </c>
      <c r="P1574" s="3">
        <v>2350.6200000000099</v>
      </c>
      <c r="Q1574" t="s">
        <v>1468</v>
      </c>
    </row>
    <row r="1575" spans="1:17" ht="15" customHeight="1" x14ac:dyDescent="0.3">
      <c r="A1575">
        <v>2024</v>
      </c>
      <c r="B1575" s="2">
        <v>45593</v>
      </c>
      <c r="C1575" t="s">
        <v>357</v>
      </c>
      <c r="D1575" t="s">
        <v>28</v>
      </c>
      <c r="F1575" t="s">
        <v>20</v>
      </c>
      <c r="G1575" t="s">
        <v>21</v>
      </c>
      <c r="H1575" t="s">
        <v>22</v>
      </c>
      <c r="I1575" t="s">
        <v>23</v>
      </c>
      <c r="J1575" t="s">
        <v>123</v>
      </c>
      <c r="K1575" s="3">
        <v>10230</v>
      </c>
      <c r="L1575" t="s">
        <v>793</v>
      </c>
      <c r="M1575" t="s">
        <v>1469</v>
      </c>
      <c r="O1575" s="4">
        <v>0.14392864125122201</v>
      </c>
      <c r="P1575" s="3">
        <v>1472.39</v>
      </c>
      <c r="Q1575" t="s">
        <v>1468</v>
      </c>
    </row>
    <row r="1576" spans="1:17" ht="15" customHeight="1" x14ac:dyDescent="0.3">
      <c r="A1576">
        <v>2024</v>
      </c>
      <c r="B1576" s="2">
        <v>45593</v>
      </c>
      <c r="C1576" t="s">
        <v>357</v>
      </c>
      <c r="D1576" t="s">
        <v>28</v>
      </c>
      <c r="F1576" t="s">
        <v>20</v>
      </c>
      <c r="G1576" t="s">
        <v>21</v>
      </c>
      <c r="H1576" t="s">
        <v>22</v>
      </c>
      <c r="I1576" t="s">
        <v>23</v>
      </c>
      <c r="J1576" t="s">
        <v>123</v>
      </c>
      <c r="K1576" s="3">
        <v>57938.11</v>
      </c>
      <c r="L1576" t="s">
        <v>793</v>
      </c>
      <c r="M1576" t="s">
        <v>1470</v>
      </c>
      <c r="O1576" s="4">
        <v>0.17999965825602501</v>
      </c>
      <c r="P1576" s="3">
        <v>10428.84</v>
      </c>
      <c r="Q1576" t="s">
        <v>1468</v>
      </c>
    </row>
    <row r="1577" spans="1:17" ht="15" customHeight="1" x14ac:dyDescent="0.3">
      <c r="A1577">
        <v>2024</v>
      </c>
      <c r="B1577" s="2">
        <v>45594</v>
      </c>
      <c r="C1577" t="s">
        <v>357</v>
      </c>
      <c r="D1577" t="s">
        <v>791</v>
      </c>
      <c r="F1577" t="s">
        <v>20</v>
      </c>
      <c r="G1577" t="s">
        <v>21</v>
      </c>
      <c r="H1577" t="s">
        <v>22</v>
      </c>
      <c r="I1577" t="s">
        <v>306</v>
      </c>
      <c r="J1577" t="s">
        <v>24</v>
      </c>
      <c r="K1577" s="3">
        <v>1185464.3400000001</v>
      </c>
      <c r="L1577" t="s">
        <v>793</v>
      </c>
      <c r="M1577" t="s">
        <v>1471</v>
      </c>
      <c r="O1577" s="4">
        <v>0.14071425379189401</v>
      </c>
      <c r="P1577" s="3">
        <v>166811.73000000001</v>
      </c>
      <c r="Q1577" t="s">
        <v>1472</v>
      </c>
    </row>
    <row r="1578" spans="1:17" ht="15" customHeight="1" x14ac:dyDescent="0.3">
      <c r="A1578">
        <v>2024</v>
      </c>
      <c r="B1578" s="2">
        <v>45594</v>
      </c>
      <c r="C1578" t="s">
        <v>357</v>
      </c>
      <c r="D1578" t="s">
        <v>1473</v>
      </c>
      <c r="F1578" t="s">
        <v>20</v>
      </c>
      <c r="G1578" t="s">
        <v>21</v>
      </c>
      <c r="H1578" t="s">
        <v>176</v>
      </c>
      <c r="I1578" t="s">
        <v>23</v>
      </c>
      <c r="J1578" t="s">
        <v>110</v>
      </c>
      <c r="K1578" s="3">
        <v>3101</v>
      </c>
      <c r="L1578" t="s">
        <v>793</v>
      </c>
      <c r="M1578" t="s">
        <v>1474</v>
      </c>
      <c r="O1578" s="4">
        <v>0.16155756207674901</v>
      </c>
      <c r="P1578" s="3">
        <v>500.98999999999899</v>
      </c>
      <c r="Q1578" t="s">
        <v>1475</v>
      </c>
    </row>
    <row r="1579" spans="1:17" ht="15" customHeight="1" x14ac:dyDescent="0.3">
      <c r="A1579">
        <v>2024</v>
      </c>
      <c r="B1579" s="2">
        <v>45594</v>
      </c>
      <c r="C1579" t="s">
        <v>357</v>
      </c>
      <c r="D1579" t="s">
        <v>973</v>
      </c>
      <c r="F1579" t="s">
        <v>20</v>
      </c>
      <c r="G1579" t="s">
        <v>38</v>
      </c>
      <c r="H1579" t="s">
        <v>89</v>
      </c>
      <c r="I1579" t="s">
        <v>306</v>
      </c>
      <c r="J1579" t="s">
        <v>123</v>
      </c>
      <c r="K1579" s="3">
        <v>6507.97</v>
      </c>
      <c r="L1579" t="s">
        <v>825</v>
      </c>
      <c r="M1579" t="s">
        <v>1476</v>
      </c>
      <c r="O1579" s="4">
        <v>0.15</v>
      </c>
      <c r="P1579" s="3">
        <v>976.19550000000004</v>
      </c>
      <c r="Q1579" t="s">
        <v>1350</v>
      </c>
    </row>
    <row r="1580" spans="1:17" ht="15" customHeight="1" x14ac:dyDescent="0.3">
      <c r="A1580">
        <v>2024</v>
      </c>
      <c r="B1580" s="2">
        <v>45594</v>
      </c>
      <c r="C1580" t="s">
        <v>357</v>
      </c>
      <c r="D1580" t="s">
        <v>53</v>
      </c>
      <c r="F1580" t="s">
        <v>20</v>
      </c>
      <c r="G1580" t="s">
        <v>21</v>
      </c>
      <c r="H1580" t="s">
        <v>22</v>
      </c>
      <c r="I1580" t="s">
        <v>141</v>
      </c>
      <c r="J1580" t="s">
        <v>123</v>
      </c>
      <c r="K1580" s="3">
        <v>786</v>
      </c>
      <c r="L1580" t="s">
        <v>825</v>
      </c>
      <c r="M1580" t="s">
        <v>1477</v>
      </c>
      <c r="O1580" s="4">
        <v>0.15</v>
      </c>
      <c r="P1580" s="3">
        <v>117.9</v>
      </c>
      <c r="Q1580" t="s">
        <v>1437</v>
      </c>
    </row>
    <row r="1581" spans="1:17" ht="15" customHeight="1" x14ac:dyDescent="0.3">
      <c r="A1581">
        <v>2024</v>
      </c>
      <c r="B1581" s="2">
        <v>45596</v>
      </c>
      <c r="C1581" t="s">
        <v>357</v>
      </c>
      <c r="D1581" t="s">
        <v>779</v>
      </c>
      <c r="F1581" t="s">
        <v>20</v>
      </c>
      <c r="G1581" t="s">
        <v>38</v>
      </c>
      <c r="H1581" t="s">
        <v>89</v>
      </c>
      <c r="I1581" t="s">
        <v>136</v>
      </c>
      <c r="J1581" t="s">
        <v>123</v>
      </c>
      <c r="K1581" s="3">
        <v>3250</v>
      </c>
      <c r="L1581" t="s">
        <v>825</v>
      </c>
      <c r="M1581" t="s">
        <v>1478</v>
      </c>
      <c r="O1581" s="4">
        <v>0.15</v>
      </c>
      <c r="P1581" s="3">
        <v>487.5</v>
      </c>
      <c r="Q1581" t="s">
        <v>1456</v>
      </c>
    </row>
    <row r="1582" spans="1:17" ht="15" customHeight="1" x14ac:dyDescent="0.3">
      <c r="A1582">
        <v>2024</v>
      </c>
      <c r="B1582" s="2">
        <v>45596</v>
      </c>
      <c r="C1582" t="s">
        <v>357</v>
      </c>
      <c r="D1582" t="s">
        <v>675</v>
      </c>
      <c r="F1582" t="s">
        <v>20</v>
      </c>
      <c r="G1582" t="s">
        <v>38</v>
      </c>
      <c r="H1582" t="s">
        <v>147</v>
      </c>
      <c r="I1582" t="s">
        <v>306</v>
      </c>
      <c r="J1582" t="s">
        <v>50</v>
      </c>
      <c r="K1582" s="3">
        <v>211</v>
      </c>
      <c r="L1582" t="s">
        <v>793</v>
      </c>
      <c r="M1582" t="s">
        <v>1479</v>
      </c>
      <c r="O1582" s="4">
        <v>0.5</v>
      </c>
      <c r="P1582" s="3">
        <v>105.5</v>
      </c>
      <c r="Q1582" t="s">
        <v>1259</v>
      </c>
    </row>
    <row r="1583" spans="1:17" ht="15" customHeight="1" x14ac:dyDescent="0.3">
      <c r="A1583">
        <v>2024</v>
      </c>
      <c r="B1583" s="2">
        <v>45597</v>
      </c>
      <c r="C1583" t="s">
        <v>389</v>
      </c>
      <c r="D1583" t="s">
        <v>1480</v>
      </c>
      <c r="F1583" t="s">
        <v>20</v>
      </c>
      <c r="G1583" t="s">
        <v>107</v>
      </c>
      <c r="H1583" t="s">
        <v>108</v>
      </c>
      <c r="I1583" t="s">
        <v>23</v>
      </c>
      <c r="J1583" t="s">
        <v>110</v>
      </c>
      <c r="K1583" s="3">
        <v>4163</v>
      </c>
      <c r="L1583" t="s">
        <v>793</v>
      </c>
      <c r="M1583" t="s">
        <v>1481</v>
      </c>
      <c r="O1583" s="4">
        <v>0.36942109055969302</v>
      </c>
      <c r="P1583" s="3">
        <v>1537.9</v>
      </c>
      <c r="Q1583" t="s">
        <v>1482</v>
      </c>
    </row>
    <row r="1584" spans="1:17" ht="15" customHeight="1" x14ac:dyDescent="0.3">
      <c r="A1584">
        <v>2024</v>
      </c>
      <c r="B1584" s="2">
        <v>45598</v>
      </c>
      <c r="C1584" t="s">
        <v>389</v>
      </c>
      <c r="D1584" t="s">
        <v>779</v>
      </c>
      <c r="F1584" t="s">
        <v>20</v>
      </c>
      <c r="G1584" t="s">
        <v>38</v>
      </c>
      <c r="H1584" t="s">
        <v>89</v>
      </c>
      <c r="I1584" t="s">
        <v>136</v>
      </c>
      <c r="J1584" t="s">
        <v>123</v>
      </c>
      <c r="K1584" s="3">
        <v>59800.59</v>
      </c>
      <c r="L1584" t="s">
        <v>825</v>
      </c>
      <c r="M1584" t="s">
        <v>1483</v>
      </c>
      <c r="O1584" s="4">
        <v>0.15</v>
      </c>
      <c r="P1584" s="3">
        <v>8970.0884999999998</v>
      </c>
      <c r="Q1584" t="s">
        <v>1456</v>
      </c>
    </row>
    <row r="1585" spans="1:17" ht="15" customHeight="1" x14ac:dyDescent="0.3">
      <c r="A1585">
        <v>2024</v>
      </c>
      <c r="B1585" s="2">
        <v>45621</v>
      </c>
      <c r="C1585" t="s">
        <v>389</v>
      </c>
      <c r="D1585" t="s">
        <v>1406</v>
      </c>
      <c r="F1585" t="s">
        <v>20</v>
      </c>
      <c r="G1585" t="s">
        <v>21</v>
      </c>
      <c r="H1585" t="s">
        <v>22</v>
      </c>
      <c r="I1585" t="s">
        <v>136</v>
      </c>
      <c r="J1585" t="s">
        <v>123</v>
      </c>
      <c r="K1585" s="3">
        <v>5646.34</v>
      </c>
      <c r="L1585" t="s">
        <v>825</v>
      </c>
      <c r="M1585" t="s">
        <v>1484</v>
      </c>
      <c r="O1585" s="4">
        <v>0.15</v>
      </c>
      <c r="P1585" s="3">
        <v>846.95100000000002</v>
      </c>
      <c r="Q1585" t="s">
        <v>1408</v>
      </c>
    </row>
    <row r="1586" spans="1:17" ht="15" customHeight="1" x14ac:dyDescent="0.3">
      <c r="A1586">
        <v>2024</v>
      </c>
      <c r="B1586" s="2">
        <v>45625</v>
      </c>
      <c r="C1586" t="s">
        <v>389</v>
      </c>
      <c r="D1586" t="s">
        <v>1356</v>
      </c>
      <c r="F1586" t="s">
        <v>20</v>
      </c>
      <c r="G1586" t="s">
        <v>38</v>
      </c>
      <c r="H1586" t="s">
        <v>39</v>
      </c>
      <c r="I1586" t="s">
        <v>306</v>
      </c>
      <c r="J1586" t="s">
        <v>123</v>
      </c>
      <c r="K1586" s="3">
        <v>1050</v>
      </c>
      <c r="L1586" t="s">
        <v>825</v>
      </c>
      <c r="M1586" t="s">
        <v>1485</v>
      </c>
      <c r="O1586" s="4">
        <v>0.15</v>
      </c>
      <c r="P1586" s="3">
        <v>157.5</v>
      </c>
      <c r="Q1586" t="s">
        <v>1358</v>
      </c>
    </row>
    <row r="1587" spans="1:17" ht="15" customHeight="1" x14ac:dyDescent="0.3">
      <c r="A1587">
        <v>2024</v>
      </c>
      <c r="B1587" s="2">
        <v>45625</v>
      </c>
      <c r="C1587" t="s">
        <v>389</v>
      </c>
      <c r="D1587" t="s">
        <v>1277</v>
      </c>
      <c r="F1587" t="s">
        <v>20</v>
      </c>
      <c r="G1587" t="s">
        <v>107</v>
      </c>
      <c r="H1587" t="s">
        <v>108</v>
      </c>
      <c r="I1587" t="s">
        <v>23</v>
      </c>
      <c r="J1587" t="s">
        <v>110</v>
      </c>
      <c r="K1587" s="3">
        <v>337.5</v>
      </c>
      <c r="L1587" t="s">
        <v>793</v>
      </c>
      <c r="M1587" t="s">
        <v>1486</v>
      </c>
      <c r="O1587" s="4">
        <v>0.55555555555555602</v>
      </c>
      <c r="P1587" s="3">
        <v>187.5</v>
      </c>
      <c r="Q1587" t="s">
        <v>1279</v>
      </c>
    </row>
    <row r="1588" spans="1:17" ht="15" customHeight="1" x14ac:dyDescent="0.3">
      <c r="A1588">
        <v>2024</v>
      </c>
      <c r="B1588" s="2">
        <v>45630</v>
      </c>
      <c r="C1588" t="s">
        <v>389</v>
      </c>
      <c r="D1588" t="s">
        <v>644</v>
      </c>
      <c r="F1588" t="s">
        <v>20</v>
      </c>
      <c r="G1588" t="s">
        <v>107</v>
      </c>
      <c r="H1588" t="s">
        <v>522</v>
      </c>
      <c r="I1588" t="s">
        <v>136</v>
      </c>
      <c r="J1588" t="s">
        <v>123</v>
      </c>
      <c r="K1588" s="3">
        <v>399766.95</v>
      </c>
      <c r="L1588" t="s">
        <v>793</v>
      </c>
      <c r="M1588" t="s">
        <v>1487</v>
      </c>
      <c r="O1588" s="4">
        <v>0.186207939400693</v>
      </c>
      <c r="P1588" s="3">
        <v>74439.779999999897</v>
      </c>
      <c r="Q1588" t="s">
        <v>1488</v>
      </c>
    </row>
    <row r="1589" spans="1:17" ht="15" customHeight="1" x14ac:dyDescent="0.3">
      <c r="A1589">
        <v>2024</v>
      </c>
      <c r="B1589" s="2">
        <v>45630</v>
      </c>
      <c r="C1589" t="s">
        <v>416</v>
      </c>
      <c r="D1589" t="s">
        <v>675</v>
      </c>
      <c r="F1589" t="s">
        <v>20</v>
      </c>
      <c r="G1589" t="s">
        <v>38</v>
      </c>
      <c r="H1589" t="s">
        <v>147</v>
      </c>
      <c r="I1589" t="s">
        <v>23</v>
      </c>
      <c r="J1589" t="s">
        <v>110</v>
      </c>
      <c r="K1589" s="3">
        <v>700</v>
      </c>
      <c r="L1589" t="s">
        <v>793</v>
      </c>
      <c r="M1589" t="s">
        <v>1489</v>
      </c>
      <c r="O1589" s="4">
        <v>0.5</v>
      </c>
      <c r="P1589" s="3">
        <v>350</v>
      </c>
      <c r="Q1589" t="s">
        <v>1490</v>
      </c>
    </row>
    <row r="1590" spans="1:17" ht="15" customHeight="1" x14ac:dyDescent="0.3">
      <c r="A1590">
        <v>2024</v>
      </c>
      <c r="B1590" s="2">
        <v>45630</v>
      </c>
      <c r="C1590" t="s">
        <v>416</v>
      </c>
      <c r="D1590" t="s">
        <v>1007</v>
      </c>
      <c r="F1590" t="s">
        <v>20</v>
      </c>
      <c r="G1590" t="s">
        <v>38</v>
      </c>
      <c r="H1590" t="s">
        <v>39</v>
      </c>
      <c r="I1590" t="s">
        <v>23</v>
      </c>
      <c r="J1590" t="s">
        <v>110</v>
      </c>
      <c r="K1590" s="3">
        <v>3921.4</v>
      </c>
      <c r="L1590" t="s">
        <v>793</v>
      </c>
      <c r="M1590" t="s">
        <v>1491</v>
      </c>
      <c r="O1590" s="4">
        <v>5.51843729280359E-2</v>
      </c>
      <c r="P1590" s="3">
        <v>216.4</v>
      </c>
      <c r="Q1590" t="s">
        <v>1492</v>
      </c>
    </row>
    <row r="1591" spans="1:17" ht="15" customHeight="1" x14ac:dyDescent="0.3">
      <c r="A1591">
        <v>2024</v>
      </c>
      <c r="B1591" s="2">
        <v>45643</v>
      </c>
      <c r="C1591" t="s">
        <v>416</v>
      </c>
      <c r="D1591" t="s">
        <v>973</v>
      </c>
      <c r="F1591" t="s">
        <v>20</v>
      </c>
      <c r="G1591" t="s">
        <v>38</v>
      </c>
      <c r="H1591" t="s">
        <v>89</v>
      </c>
      <c r="I1591" t="s">
        <v>306</v>
      </c>
      <c r="J1591" t="s">
        <v>123</v>
      </c>
      <c r="K1591" s="3">
        <v>3936</v>
      </c>
      <c r="L1591" t="s">
        <v>825</v>
      </c>
      <c r="M1591" t="s">
        <v>1493</v>
      </c>
      <c r="O1591" s="4">
        <v>0.15</v>
      </c>
      <c r="P1591" s="3">
        <v>590.4</v>
      </c>
      <c r="Q1591" t="s">
        <v>1350</v>
      </c>
    </row>
    <row r="1592" spans="1:17" ht="15" customHeight="1" x14ac:dyDescent="0.3">
      <c r="A1592">
        <v>2024</v>
      </c>
      <c r="B1592" s="2">
        <v>45644</v>
      </c>
      <c r="C1592" t="s">
        <v>416</v>
      </c>
      <c r="D1592" t="s">
        <v>40</v>
      </c>
      <c r="F1592" t="s">
        <v>20</v>
      </c>
      <c r="G1592" t="s">
        <v>21</v>
      </c>
      <c r="H1592" t="s">
        <v>22</v>
      </c>
      <c r="I1592" t="s">
        <v>141</v>
      </c>
      <c r="J1592" t="s">
        <v>123</v>
      </c>
      <c r="K1592" s="3">
        <v>17246</v>
      </c>
      <c r="L1592" t="s">
        <v>825</v>
      </c>
      <c r="M1592" t="s">
        <v>1494</v>
      </c>
      <c r="O1592" s="4">
        <v>0.15</v>
      </c>
      <c r="P1592" s="3">
        <v>2586.9</v>
      </c>
      <c r="Q1592" t="s">
        <v>1383</v>
      </c>
    </row>
    <row r="1593" spans="1:17" ht="15" customHeight="1" x14ac:dyDescent="0.3">
      <c r="A1593">
        <v>2024</v>
      </c>
      <c r="B1593" s="2">
        <v>45644</v>
      </c>
      <c r="C1593" t="s">
        <v>416</v>
      </c>
      <c r="D1593" t="s">
        <v>40</v>
      </c>
      <c r="F1593" t="s">
        <v>20</v>
      </c>
      <c r="G1593" t="s">
        <v>21</v>
      </c>
      <c r="H1593" t="s">
        <v>22</v>
      </c>
      <c r="I1593" t="s">
        <v>141</v>
      </c>
      <c r="J1593" t="s">
        <v>123</v>
      </c>
      <c r="K1593" s="3">
        <v>14979.55</v>
      </c>
      <c r="L1593" t="s">
        <v>825</v>
      </c>
      <c r="M1593" t="s">
        <v>1495</v>
      </c>
      <c r="O1593" s="4">
        <v>0.15</v>
      </c>
      <c r="P1593" s="3">
        <v>2246.9324999999999</v>
      </c>
      <c r="Q1593" t="s">
        <v>1383</v>
      </c>
    </row>
    <row r="1594" spans="1:17" ht="15" customHeight="1" x14ac:dyDescent="0.3">
      <c r="A1594">
        <v>2024</v>
      </c>
      <c r="B1594" s="2">
        <v>45644</v>
      </c>
      <c r="C1594" t="s">
        <v>416</v>
      </c>
      <c r="D1594" t="s">
        <v>205</v>
      </c>
      <c r="F1594" t="s">
        <v>20</v>
      </c>
      <c r="G1594" t="s">
        <v>21</v>
      </c>
      <c r="H1594" t="s">
        <v>22</v>
      </c>
      <c r="I1594" t="s">
        <v>136</v>
      </c>
      <c r="J1594" t="s">
        <v>123</v>
      </c>
      <c r="K1594" s="3">
        <v>46604.4</v>
      </c>
      <c r="L1594" t="s">
        <v>793</v>
      </c>
      <c r="M1594" t="s">
        <v>1496</v>
      </c>
      <c r="O1594" s="4">
        <v>0.15250491369913599</v>
      </c>
      <c r="P1594" s="3">
        <v>7107.4000000000096</v>
      </c>
      <c r="Q1594" t="s">
        <v>1497</v>
      </c>
    </row>
    <row r="1595" spans="1:17" ht="15" customHeight="1" x14ac:dyDescent="0.3">
      <c r="A1595">
        <v>2024</v>
      </c>
      <c r="B1595" s="2">
        <v>45646</v>
      </c>
      <c r="C1595" t="s">
        <v>416</v>
      </c>
      <c r="D1595" t="s">
        <v>749</v>
      </c>
      <c r="F1595" t="s">
        <v>20</v>
      </c>
      <c r="G1595" t="s">
        <v>38</v>
      </c>
      <c r="H1595" t="s">
        <v>39</v>
      </c>
      <c r="I1595" t="s">
        <v>306</v>
      </c>
      <c r="J1595" t="s">
        <v>50</v>
      </c>
      <c r="K1595" s="3">
        <v>1139.49</v>
      </c>
      <c r="L1595" t="s">
        <v>825</v>
      </c>
      <c r="M1595" t="s">
        <v>1498</v>
      </c>
      <c r="O1595" s="4">
        <v>0.15</v>
      </c>
      <c r="P1595" s="3">
        <v>170.92349999999999</v>
      </c>
      <c r="Q1595" t="s">
        <v>1348</v>
      </c>
    </row>
    <row r="1596" spans="1:17" ht="15" customHeight="1" x14ac:dyDescent="0.3">
      <c r="A1596">
        <v>2024</v>
      </c>
      <c r="B1596" s="2">
        <v>45649</v>
      </c>
      <c r="C1596" t="s">
        <v>416</v>
      </c>
      <c r="D1596" t="s">
        <v>462</v>
      </c>
      <c r="F1596" t="s">
        <v>20</v>
      </c>
      <c r="G1596" t="s">
        <v>21</v>
      </c>
      <c r="H1596" t="s">
        <v>22</v>
      </c>
      <c r="I1596" t="s">
        <v>23</v>
      </c>
      <c r="J1596" t="s">
        <v>110</v>
      </c>
      <c r="K1596" s="3">
        <v>483.87</v>
      </c>
      <c r="L1596" t="s">
        <v>793</v>
      </c>
      <c r="M1596" t="s">
        <v>1499</v>
      </c>
      <c r="O1596" s="4">
        <v>6.9998139996280004E-2</v>
      </c>
      <c r="P1596" s="3">
        <v>33.869999999999997</v>
      </c>
      <c r="Q1596" t="s">
        <v>1500</v>
      </c>
    </row>
    <row r="1597" spans="1:17" ht="15" customHeight="1" x14ac:dyDescent="0.3">
      <c r="A1597">
        <v>2024</v>
      </c>
      <c r="B1597" s="2">
        <v>45650</v>
      </c>
      <c r="C1597" t="s">
        <v>416</v>
      </c>
      <c r="D1597" t="s">
        <v>973</v>
      </c>
      <c r="F1597" t="s">
        <v>20</v>
      </c>
      <c r="G1597" t="s">
        <v>38</v>
      </c>
      <c r="H1597" t="s">
        <v>89</v>
      </c>
      <c r="I1597" t="s">
        <v>306</v>
      </c>
      <c r="J1597" t="s">
        <v>123</v>
      </c>
      <c r="K1597" s="3">
        <v>1360</v>
      </c>
      <c r="L1597" t="s">
        <v>825</v>
      </c>
      <c r="M1597" t="s">
        <v>1501</v>
      </c>
      <c r="O1597" s="4">
        <v>0.15</v>
      </c>
      <c r="P1597" s="3">
        <v>204</v>
      </c>
      <c r="Q1597" t="s">
        <v>1350</v>
      </c>
    </row>
    <row r="1598" spans="1:17" ht="15" customHeight="1" x14ac:dyDescent="0.3">
      <c r="A1598">
        <v>2024</v>
      </c>
      <c r="B1598" s="2">
        <v>45656</v>
      </c>
      <c r="C1598" t="s">
        <v>416</v>
      </c>
      <c r="D1598" t="s">
        <v>973</v>
      </c>
      <c r="F1598" t="s">
        <v>20</v>
      </c>
      <c r="G1598" t="s">
        <v>38</v>
      </c>
      <c r="H1598" t="s">
        <v>89</v>
      </c>
      <c r="I1598" t="s">
        <v>306</v>
      </c>
      <c r="J1598" t="s">
        <v>123</v>
      </c>
      <c r="K1598" s="3">
        <v>204</v>
      </c>
      <c r="L1598" t="s">
        <v>825</v>
      </c>
      <c r="M1598" t="s">
        <v>1502</v>
      </c>
      <c r="O1598" s="4">
        <v>0.15</v>
      </c>
      <c r="P1598" s="3">
        <v>30.6</v>
      </c>
      <c r="Q1598" t="s">
        <v>1350</v>
      </c>
    </row>
    <row r="1599" spans="1:17" ht="15" customHeight="1" x14ac:dyDescent="0.3">
      <c r="A1599">
        <v>2024</v>
      </c>
      <c r="B1599" s="2">
        <v>45664</v>
      </c>
      <c r="C1599" t="s">
        <v>416</v>
      </c>
      <c r="D1599" t="s">
        <v>205</v>
      </c>
      <c r="F1599" t="s">
        <v>20</v>
      </c>
      <c r="G1599" t="s">
        <v>21</v>
      </c>
      <c r="H1599" t="s">
        <v>22</v>
      </c>
      <c r="I1599" t="s">
        <v>136</v>
      </c>
      <c r="J1599" t="s">
        <v>123</v>
      </c>
      <c r="K1599" s="3">
        <v>5987.36</v>
      </c>
      <c r="L1599" t="s">
        <v>825</v>
      </c>
      <c r="M1599" t="s">
        <v>1503</v>
      </c>
      <c r="O1599" s="4">
        <v>0.15</v>
      </c>
      <c r="P1599" s="3">
        <v>898.10400000000004</v>
      </c>
      <c r="Q1599" t="s">
        <v>1497</v>
      </c>
    </row>
    <row r="1600" spans="1:17" ht="15" customHeight="1" x14ac:dyDescent="0.3">
      <c r="A1600">
        <v>2025</v>
      </c>
      <c r="B1600" s="2">
        <v>45681</v>
      </c>
      <c r="C1600" t="s">
        <v>17</v>
      </c>
      <c r="D1600" t="s">
        <v>531</v>
      </c>
      <c r="F1600" t="s">
        <v>20</v>
      </c>
      <c r="G1600" t="s">
        <v>38</v>
      </c>
      <c r="H1600" t="s">
        <v>147</v>
      </c>
      <c r="I1600" t="s">
        <v>23</v>
      </c>
      <c r="J1600" t="s">
        <v>110</v>
      </c>
      <c r="K1600" s="3">
        <v>888.11</v>
      </c>
      <c r="L1600" t="s">
        <v>793</v>
      </c>
      <c r="M1600" t="s">
        <v>1504</v>
      </c>
      <c r="O1600" s="4">
        <v>0.15370843701793699</v>
      </c>
      <c r="P1600" s="3">
        <v>136.51</v>
      </c>
      <c r="Q1600" t="s">
        <v>1505</v>
      </c>
    </row>
    <row r="1601" spans="1:17" ht="15" customHeight="1" x14ac:dyDescent="0.3">
      <c r="A1601">
        <v>2025</v>
      </c>
      <c r="B1601" s="2">
        <v>45681</v>
      </c>
      <c r="C1601" t="s">
        <v>17</v>
      </c>
      <c r="D1601" t="s">
        <v>531</v>
      </c>
      <c r="F1601" t="s">
        <v>20</v>
      </c>
      <c r="G1601" t="s">
        <v>38</v>
      </c>
      <c r="H1601" t="s">
        <v>147</v>
      </c>
      <c r="I1601" t="s">
        <v>23</v>
      </c>
      <c r="J1601" t="s">
        <v>110</v>
      </c>
      <c r="K1601" s="3">
        <v>2994.28</v>
      </c>
      <c r="L1601" t="s">
        <v>793</v>
      </c>
      <c r="M1601" t="s">
        <v>1506</v>
      </c>
      <c r="O1601" s="4">
        <v>0.155523197563354</v>
      </c>
      <c r="P1601" s="3">
        <v>465.68</v>
      </c>
      <c r="Q1601" t="s">
        <v>1507</v>
      </c>
    </row>
    <row r="1602" spans="1:17" ht="15" customHeight="1" x14ac:dyDescent="0.3">
      <c r="A1602">
        <v>2025</v>
      </c>
      <c r="B1602" s="2">
        <v>45695</v>
      </c>
      <c r="C1602" t="s">
        <v>71</v>
      </c>
      <c r="D1602" t="s">
        <v>746</v>
      </c>
      <c r="F1602" t="s">
        <v>20</v>
      </c>
      <c r="G1602" t="s">
        <v>21</v>
      </c>
      <c r="H1602" t="s">
        <v>22</v>
      </c>
      <c r="I1602" t="s">
        <v>23</v>
      </c>
      <c r="J1602" t="s">
        <v>110</v>
      </c>
      <c r="K1602" s="3">
        <v>10000</v>
      </c>
      <c r="L1602" t="s">
        <v>793</v>
      </c>
      <c r="M1602" t="s">
        <v>1508</v>
      </c>
      <c r="O1602" s="4">
        <v>0.25</v>
      </c>
      <c r="P1602" s="3">
        <v>2500</v>
      </c>
      <c r="Q1602" t="s">
        <v>1509</v>
      </c>
    </row>
    <row r="1603" spans="1:17" ht="15" customHeight="1" x14ac:dyDescent="0.3">
      <c r="A1603">
        <v>2025</v>
      </c>
      <c r="B1603" s="2">
        <v>45700</v>
      </c>
      <c r="C1603" t="s">
        <v>17</v>
      </c>
      <c r="D1603" t="s">
        <v>462</v>
      </c>
      <c r="F1603" t="s">
        <v>20</v>
      </c>
      <c r="G1603" t="s">
        <v>21</v>
      </c>
      <c r="H1603" t="s">
        <v>22</v>
      </c>
      <c r="I1603" t="s">
        <v>306</v>
      </c>
      <c r="J1603" t="s">
        <v>123</v>
      </c>
      <c r="K1603" s="3">
        <v>193369.00610169501</v>
      </c>
      <c r="L1603" t="s">
        <v>793</v>
      </c>
      <c r="M1603" t="s">
        <v>1510</v>
      </c>
      <c r="O1603" s="4">
        <v>0.151967477065822</v>
      </c>
      <c r="P1603" s="3">
        <v>29385.800000000101</v>
      </c>
      <c r="Q1603" t="s">
        <v>1511</v>
      </c>
    </row>
    <row r="1604" spans="1:17" ht="15" customHeight="1" x14ac:dyDescent="0.3">
      <c r="A1604">
        <v>2025</v>
      </c>
      <c r="B1604" s="2">
        <v>45705</v>
      </c>
      <c r="C1604" t="s">
        <v>71</v>
      </c>
      <c r="D1604" t="s">
        <v>675</v>
      </c>
      <c r="F1604" t="s">
        <v>20</v>
      </c>
      <c r="G1604" t="s">
        <v>38</v>
      </c>
      <c r="H1604" t="s">
        <v>147</v>
      </c>
      <c r="I1604" t="s">
        <v>306</v>
      </c>
      <c r="J1604" t="s">
        <v>123</v>
      </c>
      <c r="K1604" s="3">
        <v>815120.48</v>
      </c>
      <c r="L1604" t="s">
        <v>793</v>
      </c>
      <c r="M1604" t="s">
        <v>1512</v>
      </c>
      <c r="O1604" s="4">
        <v>0.14022487816770299</v>
      </c>
      <c r="P1604" s="3">
        <v>114300.17</v>
      </c>
      <c r="Q1604" t="s">
        <v>1513</v>
      </c>
    </row>
    <row r="1605" spans="1:17" ht="15" customHeight="1" x14ac:dyDescent="0.3">
      <c r="A1605">
        <v>2025</v>
      </c>
      <c r="B1605" s="2">
        <v>45707</v>
      </c>
      <c r="C1605" t="s">
        <v>71</v>
      </c>
      <c r="D1605" t="s">
        <v>746</v>
      </c>
      <c r="F1605" t="s">
        <v>20</v>
      </c>
      <c r="G1605" t="s">
        <v>21</v>
      </c>
      <c r="H1605" t="s">
        <v>22</v>
      </c>
      <c r="I1605" t="s">
        <v>23</v>
      </c>
      <c r="J1605" t="s">
        <v>110</v>
      </c>
      <c r="K1605" s="3">
        <v>1340</v>
      </c>
      <c r="L1605" t="s">
        <v>793</v>
      </c>
      <c r="M1605" t="s">
        <v>1514</v>
      </c>
      <c r="O1605" s="4">
        <v>0.19089552238806001</v>
      </c>
      <c r="P1605" s="3">
        <v>255.8</v>
      </c>
      <c r="Q1605" t="s">
        <v>1515</v>
      </c>
    </row>
    <row r="1606" spans="1:17" ht="15" customHeight="1" x14ac:dyDescent="0.3">
      <c r="A1606">
        <v>2025</v>
      </c>
      <c r="B1606" s="2">
        <v>45713</v>
      </c>
      <c r="C1606" t="s">
        <v>71</v>
      </c>
      <c r="D1606" t="s">
        <v>531</v>
      </c>
      <c r="F1606" t="s">
        <v>20</v>
      </c>
      <c r="G1606" t="s">
        <v>38</v>
      </c>
      <c r="H1606" t="s">
        <v>147</v>
      </c>
      <c r="I1606" t="s">
        <v>23</v>
      </c>
      <c r="J1606" t="s">
        <v>110</v>
      </c>
      <c r="K1606" s="3">
        <v>510</v>
      </c>
      <c r="L1606" t="s">
        <v>793</v>
      </c>
      <c r="M1606" t="s">
        <v>1516</v>
      </c>
      <c r="O1606" s="4">
        <v>0.52941176470588203</v>
      </c>
      <c r="P1606" s="3">
        <v>270</v>
      </c>
      <c r="Q1606" t="s">
        <v>1517</v>
      </c>
    </row>
    <row r="1607" spans="1:17" ht="15" customHeight="1" x14ac:dyDescent="0.3">
      <c r="A1607">
        <v>2025</v>
      </c>
      <c r="B1607" s="2">
        <v>45714</v>
      </c>
      <c r="C1607" t="s">
        <v>71</v>
      </c>
      <c r="D1607" t="s">
        <v>470</v>
      </c>
      <c r="F1607" t="s">
        <v>20</v>
      </c>
      <c r="G1607" t="s">
        <v>38</v>
      </c>
      <c r="H1607" t="s">
        <v>147</v>
      </c>
      <c r="I1607" t="s">
        <v>49</v>
      </c>
      <c r="J1607" t="s">
        <v>24</v>
      </c>
      <c r="K1607" s="3">
        <v>194358.88135593201</v>
      </c>
      <c r="L1607" t="s">
        <v>793</v>
      </c>
      <c r="M1607" t="s">
        <v>1518</v>
      </c>
      <c r="O1607" s="4">
        <v>0.18937786502585599</v>
      </c>
      <c r="P1607" s="3">
        <v>36807.270000000099</v>
      </c>
      <c r="Q1607" t="s">
        <v>1519</v>
      </c>
    </row>
    <row r="1608" spans="1:17" ht="15" customHeight="1" x14ac:dyDescent="0.3">
      <c r="A1608">
        <v>2025</v>
      </c>
      <c r="B1608" s="2">
        <v>45714</v>
      </c>
      <c r="C1608" t="s">
        <v>71</v>
      </c>
      <c r="D1608" t="s">
        <v>749</v>
      </c>
      <c r="F1608" t="s">
        <v>20</v>
      </c>
      <c r="G1608" t="s">
        <v>38</v>
      </c>
      <c r="H1608" t="s">
        <v>39</v>
      </c>
      <c r="I1608" t="s">
        <v>141</v>
      </c>
      <c r="J1608" t="s">
        <v>50</v>
      </c>
      <c r="K1608" s="3">
        <v>71799.22</v>
      </c>
      <c r="L1608" t="s">
        <v>793</v>
      </c>
      <c r="M1608" t="s">
        <v>1520</v>
      </c>
      <c r="O1608" s="4">
        <v>0.21278699127929299</v>
      </c>
      <c r="P1608" s="3">
        <v>15277.94</v>
      </c>
      <c r="Q1608" t="s">
        <v>1521</v>
      </c>
    </row>
    <row r="1609" spans="1:17" ht="15" customHeight="1" x14ac:dyDescent="0.3">
      <c r="A1609">
        <v>2025</v>
      </c>
      <c r="B1609" s="2">
        <v>45716</v>
      </c>
      <c r="C1609" t="s">
        <v>71</v>
      </c>
      <c r="D1609" t="s">
        <v>1522</v>
      </c>
      <c r="F1609" t="s">
        <v>20</v>
      </c>
      <c r="G1609" t="s">
        <v>107</v>
      </c>
      <c r="H1609" t="s">
        <v>108</v>
      </c>
      <c r="I1609" t="s">
        <v>23</v>
      </c>
      <c r="J1609" t="s">
        <v>110</v>
      </c>
      <c r="K1609" s="3">
        <v>3092.21</v>
      </c>
      <c r="L1609" t="s">
        <v>793</v>
      </c>
      <c r="M1609" t="s">
        <v>1523</v>
      </c>
      <c r="O1609" s="4">
        <v>0.24999919151674699</v>
      </c>
      <c r="P1609" s="3">
        <v>773.05</v>
      </c>
      <c r="Q1609" t="s">
        <v>1524</v>
      </c>
    </row>
    <row r="1610" spans="1:17" ht="15" customHeight="1" x14ac:dyDescent="0.3">
      <c r="A1610">
        <v>2025</v>
      </c>
      <c r="B1610" s="2">
        <v>45726</v>
      </c>
      <c r="C1610" t="s">
        <v>137</v>
      </c>
      <c r="D1610" t="s">
        <v>1525</v>
      </c>
      <c r="F1610" t="s">
        <v>20</v>
      </c>
      <c r="G1610" t="s">
        <v>21</v>
      </c>
      <c r="H1610" t="s">
        <v>22</v>
      </c>
      <c r="I1610" t="s">
        <v>23</v>
      </c>
      <c r="J1610" t="s">
        <v>110</v>
      </c>
      <c r="K1610" s="3">
        <v>175123</v>
      </c>
      <c r="L1610" t="s">
        <v>793</v>
      </c>
      <c r="M1610" t="s">
        <v>1526</v>
      </c>
      <c r="O1610" s="4">
        <v>0.14391456290721399</v>
      </c>
      <c r="P1610" s="3">
        <v>25202.75</v>
      </c>
      <c r="Q1610" t="s">
        <v>1527</v>
      </c>
    </row>
    <row r="1611" spans="1:17" ht="15" customHeight="1" x14ac:dyDescent="0.3">
      <c r="A1611">
        <v>2025</v>
      </c>
      <c r="B1611" s="2">
        <v>45728</v>
      </c>
      <c r="C1611" t="s">
        <v>137</v>
      </c>
      <c r="D1611" t="s">
        <v>1522</v>
      </c>
      <c r="F1611" t="s">
        <v>20</v>
      </c>
      <c r="G1611" t="s">
        <v>107</v>
      </c>
      <c r="H1611" t="s">
        <v>108</v>
      </c>
      <c r="I1611" t="s">
        <v>136</v>
      </c>
      <c r="J1611" t="s">
        <v>123</v>
      </c>
      <c r="K1611" s="3">
        <v>22670.36</v>
      </c>
      <c r="L1611" t="s">
        <v>793</v>
      </c>
      <c r="M1611" t="s">
        <v>1528</v>
      </c>
      <c r="O1611" s="4">
        <v>0.17403649522989501</v>
      </c>
      <c r="P1611" s="3">
        <v>3945.47</v>
      </c>
      <c r="Q1611" t="s">
        <v>1529</v>
      </c>
    </row>
    <row r="1612" spans="1:17" ht="15" customHeight="1" x14ac:dyDescent="0.3">
      <c r="A1612">
        <v>2025</v>
      </c>
      <c r="B1612" s="2">
        <v>45733</v>
      </c>
      <c r="C1612" t="s">
        <v>137</v>
      </c>
      <c r="D1612" t="s">
        <v>184</v>
      </c>
      <c r="F1612" t="s">
        <v>20</v>
      </c>
      <c r="G1612" t="s">
        <v>107</v>
      </c>
      <c r="H1612" t="s">
        <v>108</v>
      </c>
      <c r="I1612" t="s">
        <v>23</v>
      </c>
      <c r="J1612" t="s">
        <v>110</v>
      </c>
      <c r="K1612" s="3">
        <v>16000</v>
      </c>
      <c r="L1612" t="s">
        <v>793</v>
      </c>
      <c r="M1612" t="s">
        <v>1530</v>
      </c>
      <c r="O1612" s="4">
        <v>0.14860000000000001</v>
      </c>
      <c r="P1612" s="3">
        <v>2377.6</v>
      </c>
      <c r="Q1612" t="s">
        <v>1531</v>
      </c>
    </row>
    <row r="1613" spans="1:17" ht="15" customHeight="1" x14ac:dyDescent="0.3">
      <c r="A1613">
        <v>2025</v>
      </c>
      <c r="B1613" s="2">
        <v>45733</v>
      </c>
      <c r="C1613" t="s">
        <v>137</v>
      </c>
      <c r="D1613" t="s">
        <v>791</v>
      </c>
      <c r="F1613" t="s">
        <v>20</v>
      </c>
      <c r="G1613" t="s">
        <v>21</v>
      </c>
      <c r="H1613" t="s">
        <v>22</v>
      </c>
      <c r="I1613" t="s">
        <v>1410</v>
      </c>
      <c r="J1613" t="s">
        <v>123</v>
      </c>
      <c r="K1613" s="3">
        <v>48530.23</v>
      </c>
      <c r="L1613" t="s">
        <v>793</v>
      </c>
      <c r="M1613" t="s">
        <v>1532</v>
      </c>
      <c r="O1613" s="4">
        <v>0.13226353965353199</v>
      </c>
      <c r="P1613" s="3">
        <v>6418.7800000000298</v>
      </c>
      <c r="Q1613" t="s">
        <v>1533</v>
      </c>
    </row>
    <row r="1614" spans="1:17" ht="15" customHeight="1" x14ac:dyDescent="0.3">
      <c r="A1614">
        <v>2025</v>
      </c>
      <c r="B1614" s="2">
        <v>45734</v>
      </c>
      <c r="C1614" t="s">
        <v>137</v>
      </c>
      <c r="D1614" t="s">
        <v>155</v>
      </c>
      <c r="F1614" t="s">
        <v>20</v>
      </c>
      <c r="G1614" t="s">
        <v>38</v>
      </c>
      <c r="H1614" t="s">
        <v>39</v>
      </c>
      <c r="I1614" t="s">
        <v>306</v>
      </c>
      <c r="J1614" t="s">
        <v>50</v>
      </c>
      <c r="K1614" s="3">
        <v>187039.67</v>
      </c>
      <c r="L1614" t="s">
        <v>793</v>
      </c>
      <c r="M1614" t="s">
        <v>1534</v>
      </c>
      <c r="O1614" s="4">
        <v>0.188200823921471</v>
      </c>
      <c r="P1614" s="3">
        <v>35201.020000000099</v>
      </c>
      <c r="Q1614" t="s">
        <v>1178</v>
      </c>
    </row>
    <row r="1615" spans="1:17" ht="15" customHeight="1" x14ac:dyDescent="0.3">
      <c r="A1615">
        <v>2025</v>
      </c>
      <c r="B1615" s="2">
        <v>45735</v>
      </c>
      <c r="C1615" t="s">
        <v>137</v>
      </c>
      <c r="D1615" t="s">
        <v>746</v>
      </c>
      <c r="F1615" t="s">
        <v>20</v>
      </c>
      <c r="G1615" t="s">
        <v>21</v>
      </c>
      <c r="H1615" t="s">
        <v>22</v>
      </c>
      <c r="I1615" t="s">
        <v>23</v>
      </c>
      <c r="J1615" t="s">
        <v>110</v>
      </c>
      <c r="K1615" s="3">
        <v>12487.6</v>
      </c>
      <c r="L1615" t="s">
        <v>793</v>
      </c>
      <c r="M1615" t="s">
        <v>1535</v>
      </c>
      <c r="O1615" s="4">
        <v>0.135148467279541</v>
      </c>
      <c r="P1615" s="3">
        <v>1687.68</v>
      </c>
      <c r="Q1615" t="s">
        <v>1536</v>
      </c>
    </row>
    <row r="1616" spans="1:17" ht="15" customHeight="1" x14ac:dyDescent="0.3">
      <c r="A1616">
        <v>2025</v>
      </c>
      <c r="B1616" s="2">
        <v>45736</v>
      </c>
      <c r="C1616" t="s">
        <v>137</v>
      </c>
      <c r="D1616" t="s">
        <v>1537</v>
      </c>
      <c r="F1616" t="s">
        <v>20</v>
      </c>
      <c r="G1616" t="s">
        <v>38</v>
      </c>
      <c r="H1616" t="s">
        <v>1538</v>
      </c>
      <c r="I1616" t="s">
        <v>306</v>
      </c>
      <c r="J1616" t="s">
        <v>110</v>
      </c>
      <c r="K1616" s="3">
        <v>25500</v>
      </c>
      <c r="L1616" t="s">
        <v>793</v>
      </c>
      <c r="M1616" t="s">
        <v>1539</v>
      </c>
      <c r="O1616" s="4">
        <v>0.15</v>
      </c>
      <c r="P1616" s="3">
        <v>3825</v>
      </c>
      <c r="Q1616" t="s">
        <v>1540</v>
      </c>
    </row>
    <row r="1617" spans="1:17" ht="15" customHeight="1" x14ac:dyDescent="0.3">
      <c r="A1617">
        <v>2025</v>
      </c>
      <c r="B1617" s="2">
        <v>45740</v>
      </c>
      <c r="C1617" t="s">
        <v>137</v>
      </c>
      <c r="D1617" t="s">
        <v>61</v>
      </c>
      <c r="F1617" t="s">
        <v>20</v>
      </c>
      <c r="G1617" t="s">
        <v>21</v>
      </c>
      <c r="H1617" t="s">
        <v>22</v>
      </c>
      <c r="I1617" t="s">
        <v>141</v>
      </c>
      <c r="J1617" t="s">
        <v>50</v>
      </c>
      <c r="K1617" s="3">
        <v>1401114.8111864401</v>
      </c>
      <c r="L1617" t="s">
        <v>793</v>
      </c>
      <c r="M1617" t="s">
        <v>1541</v>
      </c>
      <c r="O1617" s="4">
        <v>0.145581445839743</v>
      </c>
      <c r="P1617" s="3">
        <v>203976.320000001</v>
      </c>
      <c r="Q1617" t="s">
        <v>1542</v>
      </c>
    </row>
    <row r="1618" spans="1:17" ht="15" customHeight="1" x14ac:dyDescent="0.3">
      <c r="A1618">
        <v>2025</v>
      </c>
      <c r="B1618" s="2">
        <v>45741</v>
      </c>
      <c r="C1618" t="s">
        <v>137</v>
      </c>
      <c r="D1618" t="s">
        <v>1007</v>
      </c>
      <c r="F1618" t="s">
        <v>20</v>
      </c>
      <c r="G1618" t="s">
        <v>38</v>
      </c>
      <c r="H1618" t="s">
        <v>39</v>
      </c>
      <c r="I1618" t="s">
        <v>306</v>
      </c>
      <c r="J1618" t="s">
        <v>123</v>
      </c>
      <c r="K1618" s="3">
        <v>34561.160000000003</v>
      </c>
      <c r="L1618" t="s">
        <v>825</v>
      </c>
      <c r="M1618" t="s">
        <v>1543</v>
      </c>
      <c r="O1618" s="4">
        <v>0.15</v>
      </c>
      <c r="P1618" s="3">
        <v>5184.174</v>
      </c>
      <c r="Q1618" t="s">
        <v>1441</v>
      </c>
    </row>
    <row r="1619" spans="1:17" ht="15" customHeight="1" x14ac:dyDescent="0.3">
      <c r="A1619">
        <v>2025</v>
      </c>
      <c r="B1619" s="2">
        <v>45743</v>
      </c>
      <c r="C1619" t="s">
        <v>137</v>
      </c>
      <c r="D1619" t="s">
        <v>462</v>
      </c>
      <c r="F1619" t="s">
        <v>20</v>
      </c>
      <c r="G1619" t="s">
        <v>21</v>
      </c>
      <c r="H1619" t="s">
        <v>22</v>
      </c>
      <c r="I1619" t="s">
        <v>306</v>
      </c>
      <c r="J1619" t="s">
        <v>123</v>
      </c>
      <c r="K1619" s="3">
        <v>1649.41</v>
      </c>
      <c r="L1619" t="s">
        <v>825</v>
      </c>
      <c r="M1619" t="s">
        <v>1544</v>
      </c>
      <c r="O1619" s="4">
        <v>0.15</v>
      </c>
      <c r="P1619" s="3">
        <v>247.41149999999999</v>
      </c>
      <c r="Q1619" t="s">
        <v>1545</v>
      </c>
    </row>
    <row r="1620" spans="1:17" ht="15" customHeight="1" x14ac:dyDescent="0.3">
      <c r="A1620">
        <v>2025</v>
      </c>
      <c r="B1620" s="2">
        <v>45744</v>
      </c>
      <c r="C1620" t="s">
        <v>137</v>
      </c>
      <c r="D1620" t="s">
        <v>763</v>
      </c>
      <c r="F1620" t="s">
        <v>20</v>
      </c>
      <c r="G1620" t="s">
        <v>21</v>
      </c>
      <c r="H1620" t="s">
        <v>764</v>
      </c>
      <c r="I1620" t="s">
        <v>306</v>
      </c>
      <c r="J1620" t="s">
        <v>123</v>
      </c>
      <c r="K1620" s="3">
        <v>224427.897627119</v>
      </c>
      <c r="L1620" t="s">
        <v>793</v>
      </c>
      <c r="M1620" t="s">
        <v>1546</v>
      </c>
      <c r="O1620" s="4">
        <v>0.150160164383806</v>
      </c>
      <c r="P1620" s="3">
        <v>33700.130000000201</v>
      </c>
      <c r="Q1620" t="s">
        <v>1547</v>
      </c>
    </row>
    <row r="1621" spans="1:17" ht="15" customHeight="1" x14ac:dyDescent="0.3">
      <c r="A1621">
        <v>2025</v>
      </c>
      <c r="B1621" s="2">
        <v>45747</v>
      </c>
      <c r="C1621" t="s">
        <v>137</v>
      </c>
      <c r="D1621" t="s">
        <v>45</v>
      </c>
      <c r="F1621" t="s">
        <v>20</v>
      </c>
      <c r="G1621" t="s">
        <v>38</v>
      </c>
      <c r="H1621" t="s">
        <v>39</v>
      </c>
      <c r="I1621" t="s">
        <v>306</v>
      </c>
      <c r="J1621" t="s">
        <v>50</v>
      </c>
      <c r="K1621" s="3">
        <v>4440813.9477966102</v>
      </c>
      <c r="L1621" t="s">
        <v>793</v>
      </c>
      <c r="M1621" t="s">
        <v>1548</v>
      </c>
      <c r="O1621" s="4">
        <v>0.150659459699266</v>
      </c>
      <c r="P1621" s="3">
        <v>669050.63000000198</v>
      </c>
      <c r="Q1621" t="s">
        <v>1549</v>
      </c>
    </row>
    <row r="1622" spans="1:17" ht="15" customHeight="1" x14ac:dyDescent="0.3">
      <c r="A1622">
        <v>2025</v>
      </c>
      <c r="B1622" s="2">
        <v>45754</v>
      </c>
      <c r="C1622" t="s">
        <v>169</v>
      </c>
      <c r="D1622" t="s">
        <v>1296</v>
      </c>
      <c r="F1622" t="s">
        <v>20</v>
      </c>
      <c r="G1622" t="s">
        <v>38</v>
      </c>
      <c r="H1622" t="s">
        <v>39</v>
      </c>
      <c r="I1622" t="s">
        <v>306</v>
      </c>
      <c r="J1622" t="s">
        <v>123</v>
      </c>
      <c r="K1622" s="3">
        <v>583445.75</v>
      </c>
      <c r="L1622" t="s">
        <v>793</v>
      </c>
      <c r="M1622" t="s">
        <v>1550</v>
      </c>
      <c r="O1622" s="4">
        <v>0.17539923806112201</v>
      </c>
      <c r="P1622" s="3">
        <v>102335.94</v>
      </c>
      <c r="Q1622" t="s">
        <v>1178</v>
      </c>
    </row>
    <row r="1623" spans="1:17" ht="15" customHeight="1" x14ac:dyDescent="0.3">
      <c r="A1623">
        <v>2025</v>
      </c>
      <c r="B1623" s="2">
        <v>45756</v>
      </c>
      <c r="C1623" t="s">
        <v>169</v>
      </c>
      <c r="D1623" t="s">
        <v>746</v>
      </c>
      <c r="F1623" t="s">
        <v>20</v>
      </c>
      <c r="G1623" t="s">
        <v>21</v>
      </c>
      <c r="H1623" t="s">
        <v>22</v>
      </c>
      <c r="I1623" t="s">
        <v>23</v>
      </c>
      <c r="J1623" t="s">
        <v>110</v>
      </c>
      <c r="K1623" s="3">
        <v>27000</v>
      </c>
      <c r="L1623" t="s">
        <v>813</v>
      </c>
      <c r="M1623" t="s">
        <v>1551</v>
      </c>
      <c r="O1623" s="49">
        <v>0.3</v>
      </c>
      <c r="P1623" s="3">
        <f>Tabla1[[#This Row],[Margen Comercial]]*Tabla1[[#This Row],[Importe total]]</f>
        <v>8100</v>
      </c>
      <c r="Q1623" t="s">
        <v>1552</v>
      </c>
    </row>
    <row r="1624" spans="1:17" ht="15" customHeight="1" x14ac:dyDescent="0.3">
      <c r="A1624">
        <v>2025</v>
      </c>
      <c r="B1624" s="2">
        <v>45756</v>
      </c>
      <c r="C1624" t="s">
        <v>169</v>
      </c>
      <c r="D1624" t="s">
        <v>61</v>
      </c>
      <c r="F1624" t="s">
        <v>20</v>
      </c>
      <c r="G1624" t="s">
        <v>21</v>
      </c>
      <c r="H1624" t="s">
        <v>22</v>
      </c>
      <c r="I1624" t="s">
        <v>23</v>
      </c>
      <c r="J1624" t="s">
        <v>110</v>
      </c>
      <c r="K1624" s="3">
        <v>7299.55</v>
      </c>
      <c r="L1624" t="s">
        <v>793</v>
      </c>
      <c r="M1624" t="s">
        <v>1553</v>
      </c>
      <c r="O1624" s="4">
        <v>0.14493496174421699</v>
      </c>
      <c r="P1624" s="3">
        <v>1057.96</v>
      </c>
      <c r="Q1624" t="s">
        <v>1554</v>
      </c>
    </row>
    <row r="1625" spans="1:17" ht="15" customHeight="1" x14ac:dyDescent="0.3">
      <c r="A1625">
        <v>2025</v>
      </c>
      <c r="B1625" s="2">
        <v>45757</v>
      </c>
      <c r="C1625" t="s">
        <v>169</v>
      </c>
      <c r="D1625" t="s">
        <v>1007</v>
      </c>
      <c r="F1625" t="s">
        <v>20</v>
      </c>
      <c r="G1625" t="s">
        <v>38</v>
      </c>
      <c r="H1625" t="s">
        <v>39</v>
      </c>
      <c r="I1625" t="s">
        <v>306</v>
      </c>
      <c r="J1625" t="s">
        <v>50</v>
      </c>
      <c r="K1625" s="3">
        <v>3087510.15</v>
      </c>
      <c r="L1625" t="s">
        <v>793</v>
      </c>
      <c r="M1625" t="s">
        <v>1555</v>
      </c>
      <c r="O1625" s="4">
        <v>0.18470048106562501</v>
      </c>
      <c r="P1625" s="3">
        <v>570264.61</v>
      </c>
      <c r="Q1625" t="s">
        <v>1556</v>
      </c>
    </row>
    <row r="1626" spans="1:17" ht="15" customHeight="1" x14ac:dyDescent="0.3">
      <c r="A1626">
        <v>2025</v>
      </c>
      <c r="B1626" s="2">
        <v>45757</v>
      </c>
      <c r="C1626" t="s">
        <v>169</v>
      </c>
      <c r="D1626" t="s">
        <v>1525</v>
      </c>
      <c r="F1626" t="s">
        <v>20</v>
      </c>
      <c r="G1626" t="s">
        <v>21</v>
      </c>
      <c r="H1626" t="s">
        <v>22</v>
      </c>
      <c r="I1626" t="s">
        <v>23</v>
      </c>
      <c r="J1626" t="s">
        <v>110</v>
      </c>
      <c r="K1626" s="3">
        <v>53333.5</v>
      </c>
      <c r="L1626" t="s">
        <v>825</v>
      </c>
      <c r="M1626" t="s">
        <v>1557</v>
      </c>
      <c r="O1626" s="4">
        <v>0.15</v>
      </c>
      <c r="P1626" s="3">
        <v>8000.0249999999996</v>
      </c>
      <c r="Q1626" t="s">
        <v>1527</v>
      </c>
    </row>
    <row r="1627" spans="1:17" ht="15" customHeight="1" x14ac:dyDescent="0.3">
      <c r="A1627">
        <v>2025</v>
      </c>
      <c r="B1627" s="2">
        <v>45757</v>
      </c>
      <c r="C1627" t="s">
        <v>169</v>
      </c>
      <c r="D1627" t="s">
        <v>1525</v>
      </c>
      <c r="F1627" t="s">
        <v>20</v>
      </c>
      <c r="G1627" t="s">
        <v>21</v>
      </c>
      <c r="H1627" t="s">
        <v>22</v>
      </c>
      <c r="I1627" t="s">
        <v>23</v>
      </c>
      <c r="J1627" t="s">
        <v>110</v>
      </c>
      <c r="K1627" s="3">
        <v>25748.799999999999</v>
      </c>
      <c r="L1627" t="s">
        <v>825</v>
      </c>
      <c r="M1627" t="s">
        <v>1558</v>
      </c>
      <c r="O1627" s="4">
        <v>0.15</v>
      </c>
      <c r="P1627" s="3">
        <v>3862.32</v>
      </c>
      <c r="Q1627" t="s">
        <v>1527</v>
      </c>
    </row>
    <row r="1628" spans="1:17" ht="15" customHeight="1" x14ac:dyDescent="0.3">
      <c r="A1628">
        <v>2025</v>
      </c>
      <c r="B1628" s="2">
        <v>45758</v>
      </c>
      <c r="C1628" t="s">
        <v>169</v>
      </c>
      <c r="D1628" t="s">
        <v>45</v>
      </c>
      <c r="F1628" t="s">
        <v>20</v>
      </c>
      <c r="G1628" t="s">
        <v>38</v>
      </c>
      <c r="H1628" t="s">
        <v>39</v>
      </c>
      <c r="I1628" t="s">
        <v>306</v>
      </c>
      <c r="J1628" t="s">
        <v>50</v>
      </c>
      <c r="K1628" s="3">
        <v>1292.79</v>
      </c>
      <c r="L1628" t="s">
        <v>825</v>
      </c>
      <c r="M1628" t="s">
        <v>1559</v>
      </c>
      <c r="O1628" s="4">
        <v>0.15</v>
      </c>
      <c r="P1628" s="3">
        <v>193.91849999999999</v>
      </c>
      <c r="Q1628" t="s">
        <v>1560</v>
      </c>
    </row>
    <row r="1629" spans="1:17" ht="15" customHeight="1" x14ac:dyDescent="0.3">
      <c r="A1629">
        <v>2025</v>
      </c>
      <c r="B1629" s="2">
        <v>45758</v>
      </c>
      <c r="C1629" t="s">
        <v>169</v>
      </c>
      <c r="D1629" t="s">
        <v>786</v>
      </c>
      <c r="F1629" t="s">
        <v>20</v>
      </c>
      <c r="G1629" t="s">
        <v>21</v>
      </c>
      <c r="H1629" t="s">
        <v>22</v>
      </c>
      <c r="I1629" t="s">
        <v>23</v>
      </c>
      <c r="J1629" t="s">
        <v>123</v>
      </c>
      <c r="K1629" s="3">
        <v>704744.81711864402</v>
      </c>
      <c r="L1629" t="s">
        <v>793</v>
      </c>
      <c r="M1629" t="s">
        <v>1561</v>
      </c>
      <c r="O1629" s="4">
        <v>0.135518215501713</v>
      </c>
      <c r="P1629" s="3">
        <v>95505.759999999704</v>
      </c>
      <c r="Q1629" t="s">
        <v>1562</v>
      </c>
    </row>
    <row r="1630" spans="1:17" ht="15" customHeight="1" x14ac:dyDescent="0.3">
      <c r="A1630">
        <v>2025</v>
      </c>
      <c r="B1630" s="2">
        <v>45775</v>
      </c>
      <c r="C1630" t="s">
        <v>169</v>
      </c>
      <c r="D1630" t="s">
        <v>1563</v>
      </c>
      <c r="F1630" t="s">
        <v>20</v>
      </c>
      <c r="G1630" t="s">
        <v>107</v>
      </c>
      <c r="H1630" t="s">
        <v>108</v>
      </c>
      <c r="I1630" t="s">
        <v>23</v>
      </c>
      <c r="J1630" t="s">
        <v>110</v>
      </c>
      <c r="K1630" s="3">
        <v>117308</v>
      </c>
      <c r="L1630" t="s">
        <v>825</v>
      </c>
      <c r="M1630" t="s">
        <v>1564</v>
      </c>
      <c r="O1630" s="4"/>
      <c r="P1630" s="3"/>
      <c r="Q1630" t="s">
        <v>1565</v>
      </c>
    </row>
    <row r="1631" spans="1:17" ht="15" customHeight="1" x14ac:dyDescent="0.3">
      <c r="A1631">
        <v>2025</v>
      </c>
      <c r="B1631" s="2">
        <v>45783</v>
      </c>
      <c r="C1631" t="s">
        <v>190</v>
      </c>
      <c r="D1631" t="s">
        <v>749</v>
      </c>
      <c r="F1631" t="s">
        <v>20</v>
      </c>
      <c r="G1631" t="s">
        <v>38</v>
      </c>
      <c r="H1631" t="s">
        <v>39</v>
      </c>
      <c r="I1631" t="s">
        <v>23</v>
      </c>
      <c r="J1631" t="s">
        <v>110</v>
      </c>
      <c r="K1631" s="3">
        <v>9574.73</v>
      </c>
      <c r="L1631" t="s">
        <v>793</v>
      </c>
      <c r="M1631" t="s">
        <v>1567</v>
      </c>
      <c r="O1631" s="4">
        <v>0.155003848672495</v>
      </c>
      <c r="P1631" s="3">
        <v>1484.12</v>
      </c>
      <c r="Q1631" t="s">
        <v>1568</v>
      </c>
    </row>
    <row r="1632" spans="1:17" ht="15" customHeight="1" x14ac:dyDescent="0.3">
      <c r="A1632">
        <v>2025</v>
      </c>
      <c r="B1632" s="2">
        <v>45783</v>
      </c>
      <c r="C1632" t="s">
        <v>190</v>
      </c>
      <c r="D1632" t="s">
        <v>1569</v>
      </c>
      <c r="F1632" t="s">
        <v>20</v>
      </c>
      <c r="G1632" t="s">
        <v>107</v>
      </c>
      <c r="H1632" t="s">
        <v>108</v>
      </c>
      <c r="I1632" t="s">
        <v>306</v>
      </c>
      <c r="J1632" t="s">
        <v>123</v>
      </c>
      <c r="K1632" s="3">
        <v>227377.61</v>
      </c>
      <c r="L1632" t="s">
        <v>793</v>
      </c>
      <c r="M1632" t="s">
        <v>1570</v>
      </c>
      <c r="O1632" s="4">
        <v>0.16261231701749401</v>
      </c>
      <c r="P1632" s="3">
        <v>36974.400000000103</v>
      </c>
      <c r="Q1632" t="s">
        <v>1571</v>
      </c>
    </row>
    <row r="1633" spans="1:17" ht="15" customHeight="1" x14ac:dyDescent="0.3">
      <c r="A1633">
        <v>2025</v>
      </c>
      <c r="B1633" s="2">
        <v>45784</v>
      </c>
      <c r="C1633" t="s">
        <v>190</v>
      </c>
      <c r="D1633" t="s">
        <v>69</v>
      </c>
      <c r="F1633" t="s">
        <v>20</v>
      </c>
      <c r="G1633" t="s">
        <v>38</v>
      </c>
      <c r="H1633" t="s">
        <v>147</v>
      </c>
      <c r="I1633" t="s">
        <v>49</v>
      </c>
      <c r="J1633" t="s">
        <v>50</v>
      </c>
      <c r="K1633" s="3">
        <v>676862.38983050897</v>
      </c>
      <c r="L1633" t="s">
        <v>793</v>
      </c>
      <c r="M1633" t="s">
        <v>1572</v>
      </c>
      <c r="O1633" s="4">
        <v>0.15356991548315899</v>
      </c>
      <c r="P1633" s="3">
        <v>103945.7</v>
      </c>
      <c r="Q1633" t="s">
        <v>1573</v>
      </c>
    </row>
    <row r="1634" spans="1:17" ht="15" customHeight="1" x14ac:dyDescent="0.3">
      <c r="A1634">
        <v>2025</v>
      </c>
      <c r="B1634" s="2">
        <v>45786</v>
      </c>
      <c r="C1634" t="s">
        <v>190</v>
      </c>
      <c r="D1634" t="s">
        <v>1296</v>
      </c>
      <c r="F1634" t="s">
        <v>20</v>
      </c>
      <c r="G1634" t="s">
        <v>38</v>
      </c>
      <c r="H1634" t="s">
        <v>39</v>
      </c>
      <c r="I1634" t="s">
        <v>306</v>
      </c>
      <c r="J1634" t="s">
        <v>123</v>
      </c>
      <c r="K1634" s="3">
        <v>14725.11</v>
      </c>
      <c r="L1634" t="s">
        <v>825</v>
      </c>
      <c r="M1634" t="s">
        <v>1574</v>
      </c>
      <c r="O1634" s="4">
        <v>0.15</v>
      </c>
      <c r="P1634" s="3">
        <v>2208.7665000000002</v>
      </c>
      <c r="Q1634" t="s">
        <v>1178</v>
      </c>
    </row>
    <row r="1635" spans="1:17" ht="15" customHeight="1" x14ac:dyDescent="0.3">
      <c r="A1635">
        <v>2025</v>
      </c>
      <c r="B1635" s="2">
        <v>45790</v>
      </c>
      <c r="C1635" t="s">
        <v>190</v>
      </c>
      <c r="D1635" t="s">
        <v>1007</v>
      </c>
      <c r="F1635" t="s">
        <v>20</v>
      </c>
      <c r="G1635" t="s">
        <v>38</v>
      </c>
      <c r="H1635" t="s">
        <v>39</v>
      </c>
      <c r="I1635" t="s">
        <v>306</v>
      </c>
      <c r="J1635" t="s">
        <v>50</v>
      </c>
      <c r="K1635" s="3">
        <v>37200.01</v>
      </c>
      <c r="L1635" t="s">
        <v>825</v>
      </c>
      <c r="M1635" t="s">
        <v>1575</v>
      </c>
      <c r="O1635" s="4">
        <v>0.15</v>
      </c>
      <c r="P1635" s="3">
        <v>5580.0015000000003</v>
      </c>
      <c r="Q1635" t="s">
        <v>1576</v>
      </c>
    </row>
    <row r="1636" spans="1:17" ht="15" customHeight="1" x14ac:dyDescent="0.3">
      <c r="A1636">
        <v>2025</v>
      </c>
      <c r="B1636" s="2">
        <v>45793</v>
      </c>
      <c r="C1636" t="s">
        <v>190</v>
      </c>
      <c r="D1636" t="s">
        <v>749</v>
      </c>
      <c r="F1636" t="s">
        <v>20</v>
      </c>
      <c r="G1636" t="s">
        <v>38</v>
      </c>
      <c r="H1636" t="s">
        <v>39</v>
      </c>
      <c r="I1636" t="s">
        <v>306</v>
      </c>
      <c r="J1636" t="s">
        <v>50</v>
      </c>
      <c r="K1636" s="3">
        <v>496629.93</v>
      </c>
      <c r="L1636" t="s">
        <v>793</v>
      </c>
      <c r="M1636" t="s">
        <v>1577</v>
      </c>
      <c r="O1636" s="4">
        <v>0.16692560192656899</v>
      </c>
      <c r="P1636" s="3">
        <v>82900.249999999796</v>
      </c>
      <c r="Q1636" t="s">
        <v>1578</v>
      </c>
    </row>
    <row r="1637" spans="1:17" ht="15" customHeight="1" x14ac:dyDescent="0.3">
      <c r="A1637">
        <v>2025</v>
      </c>
      <c r="B1637" s="2">
        <v>45793</v>
      </c>
      <c r="C1637" t="s">
        <v>190</v>
      </c>
      <c r="D1637" t="s">
        <v>749</v>
      </c>
      <c r="F1637" t="s">
        <v>20</v>
      </c>
      <c r="G1637" t="s">
        <v>38</v>
      </c>
      <c r="H1637" t="s">
        <v>39</v>
      </c>
      <c r="I1637" t="s">
        <v>306</v>
      </c>
      <c r="J1637" t="s">
        <v>50</v>
      </c>
      <c r="K1637" s="3">
        <v>22252.26</v>
      </c>
      <c r="L1637" t="s">
        <v>825</v>
      </c>
      <c r="M1637" t="s">
        <v>1579</v>
      </c>
      <c r="O1637" s="4">
        <v>0.15</v>
      </c>
      <c r="P1637" s="3">
        <v>3337.8389999999999</v>
      </c>
      <c r="Q1637" t="s">
        <v>1578</v>
      </c>
    </row>
    <row r="1638" spans="1:17" ht="15" customHeight="1" x14ac:dyDescent="0.3">
      <c r="A1638">
        <v>2025</v>
      </c>
      <c r="B1638" s="2">
        <v>45800</v>
      </c>
      <c r="C1638" t="s">
        <v>190</v>
      </c>
      <c r="D1638" t="s">
        <v>1580</v>
      </c>
      <c r="F1638" t="s">
        <v>20</v>
      </c>
      <c r="G1638" t="s">
        <v>38</v>
      </c>
      <c r="H1638" t="s">
        <v>39</v>
      </c>
      <c r="I1638" t="s">
        <v>306</v>
      </c>
      <c r="J1638" t="s">
        <v>123</v>
      </c>
      <c r="K1638" s="3">
        <v>1603.81</v>
      </c>
      <c r="L1638" t="s">
        <v>825</v>
      </c>
      <c r="M1638" t="s">
        <v>1581</v>
      </c>
      <c r="O1638" s="4">
        <v>0.15</v>
      </c>
      <c r="P1638" s="3">
        <v>240.57149999999999</v>
      </c>
      <c r="Q1638" t="s">
        <v>1178</v>
      </c>
    </row>
    <row r="1639" spans="1:17" ht="15" customHeight="1" x14ac:dyDescent="0.3">
      <c r="A1639">
        <v>2025</v>
      </c>
      <c r="B1639" s="2">
        <v>45803</v>
      </c>
      <c r="C1639" t="s">
        <v>190</v>
      </c>
      <c r="D1639" t="s">
        <v>1525</v>
      </c>
      <c r="F1639" t="s">
        <v>20</v>
      </c>
      <c r="G1639" t="s">
        <v>21</v>
      </c>
      <c r="H1639" t="s">
        <v>22</v>
      </c>
      <c r="I1639" t="s">
        <v>23</v>
      </c>
      <c r="J1639" t="s">
        <v>110</v>
      </c>
      <c r="K1639" s="3">
        <v>2307.98</v>
      </c>
      <c r="L1639" t="s">
        <v>825</v>
      </c>
      <c r="M1639" t="s">
        <v>1582</v>
      </c>
      <c r="O1639" s="4">
        <v>0.15344067106300799</v>
      </c>
      <c r="P1639" s="3">
        <v>354.138000000001</v>
      </c>
      <c r="Q1639" t="s">
        <v>1527</v>
      </c>
    </row>
    <row r="1640" spans="1:17" ht="15" customHeight="1" x14ac:dyDescent="0.3">
      <c r="A1640">
        <v>2025</v>
      </c>
      <c r="B1640" s="2">
        <v>45803</v>
      </c>
      <c r="C1640" t="s">
        <v>190</v>
      </c>
      <c r="D1640" t="s">
        <v>1356</v>
      </c>
      <c r="F1640" t="s">
        <v>20</v>
      </c>
      <c r="G1640" t="s">
        <v>38</v>
      </c>
      <c r="H1640" t="s">
        <v>39</v>
      </c>
      <c r="I1640" t="s">
        <v>23</v>
      </c>
      <c r="J1640" t="s">
        <v>110</v>
      </c>
      <c r="K1640" s="3">
        <v>4265.26</v>
      </c>
      <c r="L1640" t="s">
        <v>793</v>
      </c>
      <c r="M1640" t="s">
        <v>1583</v>
      </c>
      <c r="O1640" s="4">
        <v>0.25209717578764301</v>
      </c>
      <c r="P1640" s="3">
        <v>1075.26</v>
      </c>
      <c r="Q1640" t="s">
        <v>1584</v>
      </c>
    </row>
    <row r="1641" spans="1:17" ht="15" customHeight="1" x14ac:dyDescent="0.3">
      <c r="A1641">
        <v>2025</v>
      </c>
      <c r="B1641" s="2">
        <v>45804</v>
      </c>
      <c r="C1641" t="s">
        <v>190</v>
      </c>
      <c r="D1641" t="s">
        <v>786</v>
      </c>
      <c r="F1641" t="s">
        <v>20</v>
      </c>
      <c r="G1641" t="s">
        <v>38</v>
      </c>
      <c r="H1641" t="s">
        <v>89</v>
      </c>
      <c r="I1641" t="s">
        <v>306</v>
      </c>
      <c r="J1641" t="s">
        <v>123</v>
      </c>
      <c r="K1641" s="3">
        <v>144610.29999999999</v>
      </c>
      <c r="L1641" t="s">
        <v>793</v>
      </c>
      <c r="M1641" t="s">
        <v>1585</v>
      </c>
      <c r="O1641" s="4">
        <v>0.17985516937590201</v>
      </c>
      <c r="P1641" s="3">
        <v>26008.91</v>
      </c>
      <c r="Q1641" t="s">
        <v>1586</v>
      </c>
    </row>
    <row r="1642" spans="1:17" ht="15" customHeight="1" x14ac:dyDescent="0.3">
      <c r="A1642">
        <v>2025</v>
      </c>
      <c r="B1642" s="2">
        <v>45808</v>
      </c>
      <c r="C1642" t="s">
        <v>190</v>
      </c>
      <c r="D1642" t="s">
        <v>364</v>
      </c>
      <c r="F1642" t="s">
        <v>20</v>
      </c>
      <c r="G1642" t="s">
        <v>21</v>
      </c>
      <c r="H1642" t="s">
        <v>101</v>
      </c>
      <c r="I1642" t="s">
        <v>141</v>
      </c>
      <c r="J1642" t="s">
        <v>50</v>
      </c>
      <c r="K1642" s="3">
        <v>596173.6</v>
      </c>
      <c r="L1642" t="s">
        <v>793</v>
      </c>
      <c r="M1642" t="s">
        <v>1587</v>
      </c>
      <c r="O1642" s="4">
        <v>0.17319456950123299</v>
      </c>
      <c r="P1642" s="3">
        <v>103254.03</v>
      </c>
      <c r="Q1642" t="s">
        <v>1588</v>
      </c>
    </row>
    <row r="1643" spans="1:17" ht="15" customHeight="1" x14ac:dyDescent="0.3">
      <c r="A1643">
        <v>2025</v>
      </c>
      <c r="B1643" s="2">
        <v>45817</v>
      </c>
      <c r="C1643" t="s">
        <v>218</v>
      </c>
      <c r="D1643" t="s">
        <v>1589</v>
      </c>
      <c r="F1643" t="s">
        <v>20</v>
      </c>
      <c r="G1643" t="s">
        <v>38</v>
      </c>
      <c r="H1643" t="s">
        <v>39</v>
      </c>
      <c r="I1643" t="s">
        <v>23</v>
      </c>
      <c r="J1643" t="s">
        <v>110</v>
      </c>
      <c r="K1643" s="3">
        <v>2200</v>
      </c>
      <c r="L1643" t="s">
        <v>793</v>
      </c>
      <c r="M1643" t="s">
        <v>1590</v>
      </c>
      <c r="O1643" s="4">
        <v>0.190031818181818</v>
      </c>
      <c r="P1643" s="3">
        <v>418.07</v>
      </c>
      <c r="Q1643" t="s">
        <v>1591</v>
      </c>
    </row>
    <row r="1644" spans="1:17" ht="15" customHeight="1" x14ac:dyDescent="0.3">
      <c r="A1644">
        <v>2025</v>
      </c>
      <c r="B1644" s="2">
        <v>45820</v>
      </c>
      <c r="C1644" t="s">
        <v>218</v>
      </c>
      <c r="D1644" t="s">
        <v>1007</v>
      </c>
      <c r="F1644" t="s">
        <v>20</v>
      </c>
      <c r="G1644" t="s">
        <v>38</v>
      </c>
      <c r="H1644" t="s">
        <v>39</v>
      </c>
      <c r="I1644" t="s">
        <v>306</v>
      </c>
      <c r="J1644" t="s">
        <v>50</v>
      </c>
      <c r="K1644" s="3">
        <v>1041.3699999999999</v>
      </c>
      <c r="L1644" t="s">
        <v>825</v>
      </c>
      <c r="M1644" t="s">
        <v>1592</v>
      </c>
      <c r="O1644" s="4">
        <v>0.15</v>
      </c>
      <c r="P1644" s="3">
        <v>156.2055</v>
      </c>
      <c r="Q1644" t="s">
        <v>1576</v>
      </c>
    </row>
    <row r="1645" spans="1:17" ht="15" customHeight="1" x14ac:dyDescent="0.3">
      <c r="A1645">
        <v>2025</v>
      </c>
      <c r="B1645" s="2">
        <v>45821</v>
      </c>
      <c r="C1645" t="s">
        <v>218</v>
      </c>
      <c r="D1645" t="s">
        <v>749</v>
      </c>
      <c r="F1645" t="s">
        <v>20</v>
      </c>
      <c r="G1645" t="s">
        <v>38</v>
      </c>
      <c r="H1645" t="s">
        <v>39</v>
      </c>
      <c r="I1645" t="s">
        <v>306</v>
      </c>
      <c r="J1645" t="s">
        <v>50</v>
      </c>
      <c r="K1645" s="3">
        <v>118512.69</v>
      </c>
      <c r="L1645" t="s">
        <v>793</v>
      </c>
      <c r="M1645" t="s">
        <v>1593</v>
      </c>
      <c r="O1645" s="4">
        <v>0.25025370700808502</v>
      </c>
      <c r="P1645" s="3">
        <v>29658.240000000002</v>
      </c>
      <c r="Q1645" t="s">
        <v>1594</v>
      </c>
    </row>
    <row r="1646" spans="1:17" ht="15" customHeight="1" x14ac:dyDescent="0.3">
      <c r="A1646">
        <v>2025</v>
      </c>
      <c r="B1646" s="2">
        <v>45825</v>
      </c>
      <c r="C1646" t="s">
        <v>218</v>
      </c>
      <c r="D1646" t="s">
        <v>1569</v>
      </c>
      <c r="F1646" t="s">
        <v>20</v>
      </c>
      <c r="G1646" t="s">
        <v>21</v>
      </c>
      <c r="H1646" t="s">
        <v>22</v>
      </c>
      <c r="I1646" t="s">
        <v>306</v>
      </c>
      <c r="J1646" t="s">
        <v>123</v>
      </c>
      <c r="K1646" s="3">
        <v>4822</v>
      </c>
      <c r="L1646" t="s">
        <v>825</v>
      </c>
      <c r="M1646" t="s">
        <v>1595</v>
      </c>
      <c r="O1646" s="4">
        <v>0.15</v>
      </c>
      <c r="P1646" s="3">
        <v>723.3</v>
      </c>
      <c r="Q1646" t="s">
        <v>1596</v>
      </c>
    </row>
    <row r="1647" spans="1:17" ht="15" customHeight="1" x14ac:dyDescent="0.3">
      <c r="A1647">
        <v>2025</v>
      </c>
      <c r="B1647" s="2">
        <v>45826</v>
      </c>
      <c r="C1647" t="s">
        <v>218</v>
      </c>
      <c r="D1647" t="s">
        <v>1318</v>
      </c>
      <c r="F1647" t="s">
        <v>20</v>
      </c>
      <c r="G1647" t="s">
        <v>38</v>
      </c>
      <c r="H1647" t="s">
        <v>39</v>
      </c>
      <c r="I1647" t="s">
        <v>1410</v>
      </c>
      <c r="J1647" t="s">
        <v>50</v>
      </c>
      <c r="K1647" s="3">
        <v>3045</v>
      </c>
      <c r="L1647" t="s">
        <v>825</v>
      </c>
      <c r="M1647" t="s">
        <v>1597</v>
      </c>
      <c r="O1647" s="4">
        <v>0.15</v>
      </c>
      <c r="P1647" s="3">
        <v>456.75</v>
      </c>
      <c r="Q1647" t="s">
        <v>1412</v>
      </c>
    </row>
    <row r="1648" spans="1:17" ht="15" customHeight="1" x14ac:dyDescent="0.3">
      <c r="A1648">
        <v>2025</v>
      </c>
      <c r="B1648" s="2">
        <v>45827</v>
      </c>
      <c r="C1648" t="s">
        <v>218</v>
      </c>
      <c r="D1648" t="s">
        <v>1598</v>
      </c>
      <c r="F1648" t="s">
        <v>20</v>
      </c>
      <c r="G1648" t="s">
        <v>38</v>
      </c>
      <c r="H1648" t="s">
        <v>147</v>
      </c>
      <c r="I1648" t="s">
        <v>334</v>
      </c>
      <c r="J1648" t="s">
        <v>123</v>
      </c>
      <c r="K1648" s="3">
        <v>390000</v>
      </c>
      <c r="L1648" t="s">
        <v>793</v>
      </c>
      <c r="M1648" t="s">
        <v>1599</v>
      </c>
      <c r="O1648" s="4">
        <v>0.174659358974359</v>
      </c>
      <c r="P1648" s="3">
        <v>68117.149999999994</v>
      </c>
      <c r="Q1648" t="s">
        <v>1600</v>
      </c>
    </row>
    <row r="1649" spans="1:17" ht="15" customHeight="1" x14ac:dyDescent="0.3">
      <c r="A1649">
        <v>2025</v>
      </c>
      <c r="B1649" s="2">
        <v>45827</v>
      </c>
      <c r="C1649" t="s">
        <v>218</v>
      </c>
      <c r="D1649" t="s">
        <v>1007</v>
      </c>
      <c r="F1649" t="s">
        <v>20</v>
      </c>
      <c r="G1649" t="s">
        <v>38</v>
      </c>
      <c r="H1649" t="s">
        <v>39</v>
      </c>
      <c r="I1649" t="s">
        <v>23</v>
      </c>
      <c r="J1649" t="s">
        <v>110</v>
      </c>
      <c r="K1649" s="3">
        <v>5000</v>
      </c>
      <c r="L1649" t="s">
        <v>813</v>
      </c>
      <c r="M1649" t="s">
        <v>1601</v>
      </c>
      <c r="O1649" s="49">
        <v>0.3</v>
      </c>
      <c r="P1649" s="3">
        <f>Tabla1[[#This Row],[Margen Comercial]]*Tabla1[[#This Row],[Importe total]]</f>
        <v>1500</v>
      </c>
      <c r="Q1649" t="s">
        <v>1602</v>
      </c>
    </row>
    <row r="1650" spans="1:17" ht="15" customHeight="1" x14ac:dyDescent="0.3">
      <c r="A1650">
        <v>2025</v>
      </c>
      <c r="B1650" s="2">
        <v>45828</v>
      </c>
      <c r="C1650" t="s">
        <v>218</v>
      </c>
      <c r="D1650" t="s">
        <v>1318</v>
      </c>
      <c r="F1650" t="s">
        <v>20</v>
      </c>
      <c r="G1650" t="s">
        <v>38</v>
      </c>
      <c r="H1650" t="s">
        <v>39</v>
      </c>
      <c r="I1650" t="s">
        <v>1410</v>
      </c>
      <c r="J1650" t="s">
        <v>50</v>
      </c>
      <c r="K1650" s="3">
        <v>10229.61</v>
      </c>
      <c r="L1650" t="s">
        <v>825</v>
      </c>
      <c r="M1650" t="s">
        <v>1603</v>
      </c>
      <c r="O1650" s="4">
        <v>0.15</v>
      </c>
      <c r="P1650" s="3">
        <v>1534.4414999999999</v>
      </c>
      <c r="Q1650" t="s">
        <v>1412</v>
      </c>
    </row>
    <row r="1651" spans="1:17" ht="15" customHeight="1" x14ac:dyDescent="0.3">
      <c r="A1651">
        <v>2025</v>
      </c>
      <c r="B1651" s="2">
        <v>45831</v>
      </c>
      <c r="C1651" t="s">
        <v>218</v>
      </c>
      <c r="D1651" t="s">
        <v>1007</v>
      </c>
      <c r="F1651" t="s">
        <v>20</v>
      </c>
      <c r="G1651" t="s">
        <v>38</v>
      </c>
      <c r="H1651" t="s">
        <v>39</v>
      </c>
      <c r="I1651" t="s">
        <v>306</v>
      </c>
      <c r="J1651" t="s">
        <v>50</v>
      </c>
      <c r="K1651" s="3">
        <v>119414.18</v>
      </c>
      <c r="L1651" t="s">
        <v>825</v>
      </c>
      <c r="M1651" t="s">
        <v>1604</v>
      </c>
      <c r="O1651" s="4">
        <v>0.15</v>
      </c>
      <c r="P1651" s="3">
        <v>17912.127</v>
      </c>
      <c r="Q1651" t="s">
        <v>1576</v>
      </c>
    </row>
    <row r="1652" spans="1:17" ht="15" customHeight="1" x14ac:dyDescent="0.3">
      <c r="A1652">
        <v>2025</v>
      </c>
      <c r="B1652" s="2">
        <v>45834</v>
      </c>
      <c r="C1652" t="s">
        <v>218</v>
      </c>
      <c r="D1652" t="s">
        <v>40</v>
      </c>
      <c r="F1652" t="s">
        <v>20</v>
      </c>
      <c r="G1652" t="s">
        <v>21</v>
      </c>
      <c r="H1652" t="s">
        <v>22</v>
      </c>
      <c r="I1652" t="s">
        <v>141</v>
      </c>
      <c r="J1652" t="s">
        <v>50</v>
      </c>
      <c r="K1652" s="3">
        <v>2130000</v>
      </c>
      <c r="L1652" t="s">
        <v>793</v>
      </c>
      <c r="M1652" t="s">
        <v>1605</v>
      </c>
      <c r="O1652" s="4">
        <v>0.105873089201878</v>
      </c>
      <c r="P1652" s="3">
        <v>225509.68</v>
      </c>
      <c r="Q1652" t="s">
        <v>1606</v>
      </c>
    </row>
    <row r="1653" spans="1:17" ht="15" customHeight="1" x14ac:dyDescent="0.3">
      <c r="A1653">
        <v>2025</v>
      </c>
      <c r="B1653" s="2">
        <v>45838</v>
      </c>
      <c r="C1653" t="s">
        <v>218</v>
      </c>
      <c r="D1653" t="s">
        <v>1118</v>
      </c>
      <c r="F1653" t="s">
        <v>20</v>
      </c>
      <c r="G1653" t="s">
        <v>38</v>
      </c>
      <c r="H1653" t="s">
        <v>147</v>
      </c>
      <c r="I1653" t="s">
        <v>306</v>
      </c>
      <c r="J1653" t="s">
        <v>24</v>
      </c>
      <c r="K1653" s="3">
        <v>1490360.7241227899</v>
      </c>
      <c r="L1653" t="s">
        <v>793</v>
      </c>
      <c r="M1653" t="s">
        <v>1607</v>
      </c>
      <c r="O1653" s="4">
        <v>0.17062135755735899</v>
      </c>
      <c r="P1653" s="3">
        <v>254287.36999999901</v>
      </c>
      <c r="Q1653" t="s">
        <v>1608</v>
      </c>
    </row>
    <row r="1654" spans="1:17" ht="15" customHeight="1" x14ac:dyDescent="0.3">
      <c r="A1654">
        <v>2025</v>
      </c>
      <c r="B1654" s="2">
        <v>45840</v>
      </c>
      <c r="C1654" t="s">
        <v>262</v>
      </c>
      <c r="D1654" t="s">
        <v>769</v>
      </c>
      <c r="F1654" t="s">
        <v>20</v>
      </c>
      <c r="G1654" t="s">
        <v>21</v>
      </c>
      <c r="H1654" t="s">
        <v>22</v>
      </c>
      <c r="I1654" t="s">
        <v>141</v>
      </c>
      <c r="J1654" t="s">
        <v>123</v>
      </c>
      <c r="K1654" s="3">
        <v>294525.39</v>
      </c>
      <c r="L1654" t="s">
        <v>793</v>
      </c>
      <c r="M1654" t="s">
        <v>1609</v>
      </c>
      <c r="O1654" s="4">
        <v>0.15637215521554901</v>
      </c>
      <c r="P1654" s="3">
        <v>46055.570000000102</v>
      </c>
      <c r="Q1654" t="s">
        <v>1610</v>
      </c>
    </row>
    <row r="1655" spans="1:17" ht="15" customHeight="1" x14ac:dyDescent="0.3">
      <c r="A1655">
        <v>2025</v>
      </c>
      <c r="B1655" s="2">
        <v>45842</v>
      </c>
      <c r="C1655" t="s">
        <v>262</v>
      </c>
      <c r="D1655" t="s">
        <v>1580</v>
      </c>
      <c r="F1655" t="s">
        <v>20</v>
      </c>
      <c r="G1655" t="s">
        <v>38</v>
      </c>
      <c r="H1655" t="s">
        <v>39</v>
      </c>
      <c r="I1655" t="s">
        <v>306</v>
      </c>
      <c r="J1655" t="s">
        <v>123</v>
      </c>
      <c r="K1655" s="3">
        <v>29939.360000000001</v>
      </c>
      <c r="L1655" t="s">
        <v>825</v>
      </c>
      <c r="M1655" t="s">
        <v>1611</v>
      </c>
      <c r="O1655" s="4">
        <v>0.15</v>
      </c>
      <c r="P1655" s="3">
        <v>4490.9040000000005</v>
      </c>
      <c r="Q1655" t="s">
        <v>1178</v>
      </c>
    </row>
    <row r="1656" spans="1:17" ht="15" customHeight="1" x14ac:dyDescent="0.3">
      <c r="A1656">
        <v>2025</v>
      </c>
      <c r="B1656" s="2">
        <v>45845</v>
      </c>
      <c r="C1656" t="s">
        <v>262</v>
      </c>
      <c r="D1656" t="s">
        <v>906</v>
      </c>
      <c r="F1656" t="s">
        <v>20</v>
      </c>
      <c r="G1656" t="s">
        <v>107</v>
      </c>
      <c r="H1656" t="s">
        <v>108</v>
      </c>
      <c r="I1656" t="s">
        <v>23</v>
      </c>
      <c r="J1656" t="s">
        <v>110</v>
      </c>
      <c r="K1656" s="3">
        <v>10000</v>
      </c>
      <c r="L1656" t="s">
        <v>813</v>
      </c>
      <c r="M1656" t="s">
        <v>1612</v>
      </c>
      <c r="O1656" s="49">
        <v>0.3</v>
      </c>
      <c r="P1656" s="3">
        <f>Tabla1[[#This Row],[Margen Comercial]]*Tabla1[[#This Row],[Importe total]]</f>
        <v>3000</v>
      </c>
      <c r="Q1656" t="s">
        <v>1613</v>
      </c>
    </row>
    <row r="1657" spans="1:17" ht="15" customHeight="1" x14ac:dyDescent="0.3">
      <c r="A1657">
        <v>2025</v>
      </c>
      <c r="B1657" s="2">
        <v>45853</v>
      </c>
      <c r="C1657" t="s">
        <v>262</v>
      </c>
      <c r="D1657" t="s">
        <v>1522</v>
      </c>
      <c r="F1657" t="s">
        <v>20</v>
      </c>
      <c r="G1657" t="s">
        <v>107</v>
      </c>
      <c r="H1657" t="s">
        <v>108</v>
      </c>
      <c r="I1657" t="s">
        <v>136</v>
      </c>
      <c r="J1657" t="s">
        <v>123</v>
      </c>
      <c r="K1657" s="3">
        <v>149825.42000000001</v>
      </c>
      <c r="L1657" t="s">
        <v>793</v>
      </c>
      <c r="M1657" t="s">
        <v>1614</v>
      </c>
      <c r="O1657" s="4">
        <v>7.8906970526096396E-2</v>
      </c>
      <c r="P1657" s="3">
        <v>11822.27</v>
      </c>
      <c r="Q1657" t="s">
        <v>1615</v>
      </c>
    </row>
    <row r="1658" spans="1:17" ht="15" customHeight="1" x14ac:dyDescent="0.3">
      <c r="A1658">
        <v>2025</v>
      </c>
      <c r="B1658" s="2">
        <v>45854</v>
      </c>
      <c r="C1658" t="s">
        <v>262</v>
      </c>
      <c r="D1658" t="s">
        <v>1384</v>
      </c>
      <c r="F1658" t="s">
        <v>20</v>
      </c>
      <c r="G1658" t="s">
        <v>21</v>
      </c>
      <c r="H1658" t="s">
        <v>22</v>
      </c>
      <c r="I1658" t="s">
        <v>141</v>
      </c>
      <c r="J1658" t="s">
        <v>50</v>
      </c>
      <c r="K1658" s="3">
        <v>13012.5</v>
      </c>
      <c r="L1658" t="s">
        <v>793</v>
      </c>
      <c r="M1658" t="s">
        <v>1616</v>
      </c>
      <c r="O1658" s="4">
        <v>0.187857829010567</v>
      </c>
      <c r="P1658" s="3">
        <v>2444.5</v>
      </c>
      <c r="Q1658" t="s">
        <v>1617</v>
      </c>
    </row>
    <row r="1659" spans="1:17" ht="15" customHeight="1" x14ac:dyDescent="0.3">
      <c r="A1659">
        <v>2025</v>
      </c>
      <c r="B1659" s="2">
        <v>45854</v>
      </c>
      <c r="C1659" t="s">
        <v>262</v>
      </c>
      <c r="D1659" t="s">
        <v>1618</v>
      </c>
      <c r="F1659" t="s">
        <v>20</v>
      </c>
      <c r="G1659" t="s">
        <v>38</v>
      </c>
      <c r="H1659" t="s">
        <v>39</v>
      </c>
      <c r="I1659" t="s">
        <v>23</v>
      </c>
      <c r="J1659" t="s">
        <v>110</v>
      </c>
      <c r="K1659" s="3">
        <v>6070.6</v>
      </c>
      <c r="L1659" t="s">
        <v>813</v>
      </c>
      <c r="M1659" t="s">
        <v>1619</v>
      </c>
      <c r="O1659" s="49">
        <v>0.3</v>
      </c>
      <c r="P1659" s="3">
        <f>Tabla1[[#This Row],[Margen Comercial]]*Tabla1[[#This Row],[Importe total]]</f>
        <v>1821.18</v>
      </c>
      <c r="Q1659" t="s">
        <v>1620</v>
      </c>
    </row>
    <row r="1660" spans="1:17" ht="15" customHeight="1" x14ac:dyDescent="0.3">
      <c r="A1660">
        <v>2025</v>
      </c>
      <c r="B1660" s="2">
        <v>45736</v>
      </c>
      <c r="C1660" t="s">
        <v>137</v>
      </c>
      <c r="D1660" t="s">
        <v>1621</v>
      </c>
      <c r="F1660" t="s">
        <v>20</v>
      </c>
      <c r="G1660" t="s">
        <v>38</v>
      </c>
      <c r="H1660" t="s">
        <v>39</v>
      </c>
      <c r="K1660" s="3">
        <v>25500</v>
      </c>
      <c r="L1660" t="s">
        <v>813</v>
      </c>
      <c r="O1660" s="49">
        <v>0.3</v>
      </c>
      <c r="P1660" s="3">
        <f>Tabla1[[#This Row],[Margen Comercial]]*Tabla1[[#This Row],[Importe total]]</f>
        <v>7650</v>
      </c>
    </row>
    <row r="1661" spans="1:17" ht="15" customHeight="1" x14ac:dyDescent="0.3">
      <c r="A1661">
        <v>2025</v>
      </c>
      <c r="B1661" s="2">
        <v>45854</v>
      </c>
      <c r="C1661" t="s">
        <v>262</v>
      </c>
      <c r="D1661" t="s">
        <v>1622</v>
      </c>
      <c r="F1661" t="s">
        <v>20</v>
      </c>
      <c r="G1661" t="s">
        <v>38</v>
      </c>
      <c r="H1661" t="s">
        <v>39</v>
      </c>
      <c r="I1661" t="s">
        <v>23</v>
      </c>
      <c r="J1661" t="s">
        <v>110</v>
      </c>
      <c r="K1661" s="3">
        <v>16705.689999999999</v>
      </c>
      <c r="L1661" t="s">
        <v>813</v>
      </c>
      <c r="M1661" t="s">
        <v>1623</v>
      </c>
      <c r="O1661" s="49">
        <v>0.3</v>
      </c>
      <c r="P1661" s="3">
        <f>Tabla1[[#This Row],[Margen Comercial]]*Tabla1[[#This Row],[Importe total]]</f>
        <v>5011.7069999999994</v>
      </c>
      <c r="Q1661" t="s">
        <v>1624</v>
      </c>
    </row>
    <row r="1662" spans="1:17" ht="15" customHeight="1" x14ac:dyDescent="0.3">
      <c r="A1662">
        <v>2025</v>
      </c>
      <c r="B1662" s="2">
        <v>45855</v>
      </c>
      <c r="C1662" t="s">
        <v>262</v>
      </c>
      <c r="D1662" t="s">
        <v>749</v>
      </c>
      <c r="F1662" t="s">
        <v>20</v>
      </c>
      <c r="G1662" t="s">
        <v>38</v>
      </c>
      <c r="H1662" t="s">
        <v>39</v>
      </c>
      <c r="I1662" t="s">
        <v>306</v>
      </c>
      <c r="J1662" t="s">
        <v>50</v>
      </c>
      <c r="K1662" s="3">
        <v>62787.199999999997</v>
      </c>
      <c r="L1662" t="s">
        <v>825</v>
      </c>
      <c r="M1662" t="s">
        <v>1625</v>
      </c>
      <c r="O1662" s="4">
        <v>0.15</v>
      </c>
      <c r="P1662" s="3">
        <v>9418.08</v>
      </c>
      <c r="Q1662" t="s">
        <v>1578</v>
      </c>
    </row>
    <row r="1663" spans="1:17" ht="15" customHeight="1" x14ac:dyDescent="0.3">
      <c r="A1663">
        <v>2025</v>
      </c>
      <c r="B1663" s="2">
        <v>45856</v>
      </c>
      <c r="C1663" t="s">
        <v>262</v>
      </c>
      <c r="D1663" t="s">
        <v>1007</v>
      </c>
      <c r="F1663" t="s">
        <v>20</v>
      </c>
      <c r="G1663" t="s">
        <v>38</v>
      </c>
      <c r="H1663" t="s">
        <v>39</v>
      </c>
      <c r="I1663" t="s">
        <v>306</v>
      </c>
      <c r="J1663" t="s">
        <v>50</v>
      </c>
      <c r="K1663" s="3">
        <v>4790</v>
      </c>
      <c r="L1663" t="s">
        <v>825</v>
      </c>
      <c r="M1663" t="s">
        <v>1626</v>
      </c>
      <c r="O1663" s="4">
        <v>0.15</v>
      </c>
      <c r="P1663" s="3">
        <v>718.5</v>
      </c>
      <c r="Q1663" t="s">
        <v>1576</v>
      </c>
    </row>
    <row r="1664" spans="1:17" ht="15" customHeight="1" x14ac:dyDescent="0.3">
      <c r="A1664">
        <v>2025</v>
      </c>
      <c r="B1664" s="2">
        <v>45859</v>
      </c>
      <c r="C1664" t="s">
        <v>262</v>
      </c>
      <c r="D1664" t="s">
        <v>1627</v>
      </c>
      <c r="F1664" t="s">
        <v>20</v>
      </c>
      <c r="G1664" t="s">
        <v>38</v>
      </c>
      <c r="H1664" t="s">
        <v>147</v>
      </c>
      <c r="I1664" t="s">
        <v>23</v>
      </c>
      <c r="J1664" t="s">
        <v>110</v>
      </c>
      <c r="K1664" s="3">
        <v>222254</v>
      </c>
      <c r="L1664" t="s">
        <v>793</v>
      </c>
      <c r="M1664" t="s">
        <v>1628</v>
      </c>
      <c r="O1664" s="4">
        <v>0.12469998290244499</v>
      </c>
      <c r="P1664" s="3">
        <v>27715.07</v>
      </c>
      <c r="Q1664" t="s">
        <v>1629</v>
      </c>
    </row>
    <row r="1665" spans="1:17" ht="15" customHeight="1" x14ac:dyDescent="0.3">
      <c r="A1665">
        <v>2025</v>
      </c>
      <c r="B1665" s="2">
        <v>45860</v>
      </c>
      <c r="C1665" t="s">
        <v>262</v>
      </c>
      <c r="D1665" t="s">
        <v>1580</v>
      </c>
      <c r="F1665" t="s">
        <v>20</v>
      </c>
      <c r="G1665" t="s">
        <v>38</v>
      </c>
      <c r="H1665" t="s">
        <v>39</v>
      </c>
      <c r="I1665" t="s">
        <v>306</v>
      </c>
      <c r="J1665" t="s">
        <v>123</v>
      </c>
      <c r="K1665" s="3">
        <v>9480</v>
      </c>
      <c r="L1665" t="s">
        <v>825</v>
      </c>
      <c r="M1665" t="s">
        <v>1630</v>
      </c>
      <c r="O1665" s="4">
        <v>0.15</v>
      </c>
      <c r="P1665" s="3">
        <v>1422</v>
      </c>
      <c r="Q1665" t="s">
        <v>1178</v>
      </c>
    </row>
    <row r="1666" spans="1:17" ht="15" customHeight="1" x14ac:dyDescent="0.3">
      <c r="A1666">
        <v>2025</v>
      </c>
      <c r="B1666" s="2">
        <v>45860</v>
      </c>
      <c r="C1666" t="s">
        <v>262</v>
      </c>
      <c r="D1666" t="s">
        <v>1384</v>
      </c>
      <c r="F1666" t="s">
        <v>20</v>
      </c>
      <c r="G1666" t="s">
        <v>21</v>
      </c>
      <c r="H1666" t="s">
        <v>22</v>
      </c>
      <c r="I1666" t="s">
        <v>141</v>
      </c>
      <c r="J1666" t="s">
        <v>50</v>
      </c>
      <c r="K1666" s="3">
        <v>8247.36</v>
      </c>
      <c r="L1666" t="s">
        <v>793</v>
      </c>
      <c r="M1666" t="s">
        <v>1631</v>
      </c>
      <c r="O1666" s="4">
        <v>0.15555886974741001</v>
      </c>
      <c r="P1666" s="3">
        <v>1282.95</v>
      </c>
      <c r="Q1666" t="s">
        <v>1632</v>
      </c>
    </row>
    <row r="1667" spans="1:17" ht="15" customHeight="1" x14ac:dyDescent="0.3">
      <c r="A1667">
        <v>2025</v>
      </c>
      <c r="B1667" s="2">
        <v>45860</v>
      </c>
      <c r="C1667" t="s">
        <v>262</v>
      </c>
      <c r="D1667" t="s">
        <v>675</v>
      </c>
      <c r="F1667" t="s">
        <v>20</v>
      </c>
      <c r="G1667" t="s">
        <v>38</v>
      </c>
      <c r="H1667" t="s">
        <v>147</v>
      </c>
      <c r="I1667" t="s">
        <v>23</v>
      </c>
      <c r="J1667" t="s">
        <v>110</v>
      </c>
      <c r="K1667" s="3">
        <v>1910.86</v>
      </c>
      <c r="L1667" t="s">
        <v>793</v>
      </c>
      <c r="M1667" t="s">
        <v>1633</v>
      </c>
      <c r="O1667" s="4">
        <v>0.17000722187915401</v>
      </c>
      <c r="P1667" s="3">
        <v>324.86</v>
      </c>
      <c r="Q1667" t="s">
        <v>1634</v>
      </c>
    </row>
    <row r="1668" spans="1:17" ht="15" customHeight="1" x14ac:dyDescent="0.3">
      <c r="A1668">
        <v>2025</v>
      </c>
      <c r="B1668" s="2">
        <v>45861</v>
      </c>
      <c r="C1668" t="s">
        <v>262</v>
      </c>
      <c r="D1668" t="s">
        <v>1296</v>
      </c>
      <c r="F1668" t="s">
        <v>20</v>
      </c>
      <c r="G1668" t="s">
        <v>38</v>
      </c>
      <c r="H1668" t="s">
        <v>39</v>
      </c>
      <c r="I1668" t="s">
        <v>306</v>
      </c>
      <c r="J1668" t="s">
        <v>123</v>
      </c>
      <c r="K1668" s="3">
        <v>4162.63</v>
      </c>
      <c r="L1668" t="s">
        <v>825</v>
      </c>
      <c r="M1668" t="s">
        <v>1635</v>
      </c>
      <c r="O1668" s="4">
        <v>0.15</v>
      </c>
      <c r="P1668" s="3">
        <v>624.39449999999999</v>
      </c>
      <c r="Q1668" t="s">
        <v>1178</v>
      </c>
    </row>
    <row r="1669" spans="1:17" ht="15" customHeight="1" x14ac:dyDescent="0.3">
      <c r="A1669">
        <v>2025</v>
      </c>
      <c r="B1669" s="2">
        <v>45869</v>
      </c>
      <c r="C1669" t="s">
        <v>262</v>
      </c>
      <c r="D1669" t="s">
        <v>767</v>
      </c>
      <c r="F1669" t="s">
        <v>20</v>
      </c>
      <c r="G1669" t="s">
        <v>38</v>
      </c>
      <c r="H1669" t="s">
        <v>619</v>
      </c>
      <c r="I1669" t="s">
        <v>23</v>
      </c>
      <c r="J1669" t="s">
        <v>110</v>
      </c>
      <c r="K1669" s="3">
        <v>34403.050000000003</v>
      </c>
      <c r="L1669" t="s">
        <v>793</v>
      </c>
      <c r="M1669" t="s">
        <v>1636</v>
      </c>
      <c r="O1669" s="4">
        <v>0.153886065334324</v>
      </c>
      <c r="P1669" s="3">
        <v>5294.1500000000196</v>
      </c>
      <c r="Q1669" t="s">
        <v>1637</v>
      </c>
    </row>
    <row r="1670" spans="1:17" ht="15" customHeight="1" x14ac:dyDescent="0.3">
      <c r="A1670">
        <v>2025</v>
      </c>
      <c r="B1670" s="2">
        <v>45869</v>
      </c>
      <c r="C1670" t="s">
        <v>262</v>
      </c>
      <c r="D1670" t="s">
        <v>47</v>
      </c>
      <c r="F1670" t="s">
        <v>20</v>
      </c>
      <c r="G1670" t="s">
        <v>38</v>
      </c>
      <c r="H1670" t="s">
        <v>39</v>
      </c>
      <c r="I1670" t="s">
        <v>23</v>
      </c>
      <c r="J1670" t="s">
        <v>110</v>
      </c>
      <c r="K1670" s="3">
        <v>20145</v>
      </c>
      <c r="L1670" t="s">
        <v>813</v>
      </c>
      <c r="M1670" t="s">
        <v>1638</v>
      </c>
      <c r="O1670" s="49">
        <v>0.3</v>
      </c>
      <c r="P1670" s="3">
        <f>Tabla1[[#This Row],[Margen Comercial]]*Tabla1[[#This Row],[Importe total]]</f>
        <v>6043.5</v>
      </c>
      <c r="Q1670" t="s">
        <v>1639</v>
      </c>
    </row>
    <row r="1671" spans="1:17" ht="15" customHeight="1" x14ac:dyDescent="0.3">
      <c r="A1671">
        <v>2025</v>
      </c>
      <c r="B1671" s="2">
        <v>45870</v>
      </c>
      <c r="C1671" t="s">
        <v>291</v>
      </c>
      <c r="D1671" t="s">
        <v>786</v>
      </c>
      <c r="F1671" t="s">
        <v>20</v>
      </c>
      <c r="G1671" t="s">
        <v>38</v>
      </c>
      <c r="H1671" t="s">
        <v>89</v>
      </c>
      <c r="I1671" t="s">
        <v>306</v>
      </c>
      <c r="J1671" t="s">
        <v>123</v>
      </c>
      <c r="K1671" s="3">
        <v>39558.35</v>
      </c>
      <c r="L1671" t="s">
        <v>825</v>
      </c>
      <c r="M1671" t="s">
        <v>1640</v>
      </c>
      <c r="O1671" s="4">
        <v>0.150000056878004</v>
      </c>
      <c r="P1671" s="3">
        <v>5933.7547499999901</v>
      </c>
      <c r="Q1671" t="s">
        <v>1586</v>
      </c>
    </row>
    <row r="1672" spans="1:17" ht="15" customHeight="1" x14ac:dyDescent="0.3">
      <c r="A1672">
        <v>2025</v>
      </c>
      <c r="B1672" s="2">
        <v>45870</v>
      </c>
      <c r="C1672" t="s">
        <v>291</v>
      </c>
      <c r="D1672" t="s">
        <v>786</v>
      </c>
      <c r="F1672" t="s">
        <v>20</v>
      </c>
      <c r="G1672" t="s">
        <v>38</v>
      </c>
      <c r="H1672" t="s">
        <v>89</v>
      </c>
      <c r="I1672" t="s">
        <v>306</v>
      </c>
      <c r="J1672" t="s">
        <v>123</v>
      </c>
      <c r="K1672" s="3">
        <v>5197.37</v>
      </c>
      <c r="L1672" t="s">
        <v>825</v>
      </c>
      <c r="M1672" t="s">
        <v>1641</v>
      </c>
      <c r="O1672" s="4">
        <v>0.15</v>
      </c>
      <c r="P1672" s="3">
        <v>779.60550000000001</v>
      </c>
      <c r="Q1672" t="s">
        <v>1586</v>
      </c>
    </row>
    <row r="1673" spans="1:17" ht="15" customHeight="1" x14ac:dyDescent="0.3">
      <c r="A1673">
        <v>2025</v>
      </c>
      <c r="B1673" s="2">
        <v>45870</v>
      </c>
      <c r="C1673" t="s">
        <v>291</v>
      </c>
      <c r="D1673" t="s">
        <v>1642</v>
      </c>
      <c r="F1673" t="s">
        <v>20</v>
      </c>
      <c r="G1673" t="s">
        <v>38</v>
      </c>
      <c r="H1673" t="s">
        <v>619</v>
      </c>
      <c r="I1673" t="s">
        <v>49</v>
      </c>
      <c r="J1673" t="s">
        <v>50</v>
      </c>
      <c r="K1673" s="3">
        <v>780000</v>
      </c>
      <c r="L1673" t="s">
        <v>793</v>
      </c>
      <c r="M1673" t="s">
        <v>1643</v>
      </c>
      <c r="O1673" s="4">
        <v>0.16858593589743601</v>
      </c>
      <c r="P1673" s="3">
        <v>131497.03</v>
      </c>
      <c r="Q1673" t="s">
        <v>1644</v>
      </c>
    </row>
    <row r="1674" spans="1:17" ht="15" customHeight="1" x14ac:dyDescent="0.3">
      <c r="A1674">
        <v>2025</v>
      </c>
      <c r="B1674" s="2">
        <v>45874</v>
      </c>
      <c r="C1674" t="s">
        <v>291</v>
      </c>
      <c r="D1674" t="s">
        <v>1580</v>
      </c>
      <c r="F1674" t="s">
        <v>20</v>
      </c>
      <c r="G1674" t="s">
        <v>38</v>
      </c>
      <c r="H1674" t="s">
        <v>39</v>
      </c>
      <c r="I1674" t="s">
        <v>306</v>
      </c>
      <c r="J1674" t="s">
        <v>123</v>
      </c>
      <c r="K1674" s="3">
        <v>562.21</v>
      </c>
      <c r="L1674" t="s">
        <v>825</v>
      </c>
      <c r="M1674" t="s">
        <v>1645</v>
      </c>
      <c r="O1674" s="4">
        <v>0.15</v>
      </c>
      <c r="P1674" s="3">
        <v>84.331500000000005</v>
      </c>
      <c r="Q1674" t="s">
        <v>1178</v>
      </c>
    </row>
    <row r="1675" spans="1:17" ht="15" customHeight="1" x14ac:dyDescent="0.3">
      <c r="A1675">
        <v>2025</v>
      </c>
      <c r="B1675" s="2">
        <v>45876</v>
      </c>
      <c r="C1675" t="s">
        <v>291</v>
      </c>
      <c r="D1675" t="s">
        <v>1007</v>
      </c>
      <c r="F1675" t="s">
        <v>20</v>
      </c>
      <c r="G1675" t="s">
        <v>38</v>
      </c>
      <c r="H1675" t="s">
        <v>39</v>
      </c>
      <c r="I1675" t="s">
        <v>306</v>
      </c>
      <c r="J1675" t="s">
        <v>50</v>
      </c>
      <c r="K1675" s="3">
        <v>25021.313559321999</v>
      </c>
      <c r="L1675" t="s">
        <v>825</v>
      </c>
      <c r="M1675" t="s">
        <v>1646</v>
      </c>
      <c r="O1675" s="4">
        <v>0.149999978662259</v>
      </c>
      <c r="P1675" s="3">
        <v>3753.19649999999</v>
      </c>
      <c r="Q1675" t="s">
        <v>1576</v>
      </c>
    </row>
    <row r="1676" spans="1:17" ht="15" customHeight="1" x14ac:dyDescent="0.3">
      <c r="A1676">
        <v>2025</v>
      </c>
      <c r="B1676" s="2">
        <v>45876</v>
      </c>
      <c r="C1676" t="s">
        <v>291</v>
      </c>
      <c r="D1676" t="s">
        <v>1647</v>
      </c>
      <c r="F1676" t="s">
        <v>20</v>
      </c>
      <c r="G1676" t="s">
        <v>38</v>
      </c>
      <c r="H1676" t="s">
        <v>39</v>
      </c>
      <c r="I1676" t="s">
        <v>306</v>
      </c>
      <c r="J1676" t="s">
        <v>123</v>
      </c>
      <c r="K1676" s="3">
        <v>226880.03</v>
      </c>
      <c r="L1676" t="s">
        <v>793</v>
      </c>
      <c r="M1676" t="s">
        <v>1648</v>
      </c>
      <c r="O1676" s="4">
        <v>0.19791984336391399</v>
      </c>
      <c r="P1676" s="3">
        <v>44904.0600000001</v>
      </c>
      <c r="Q1676" t="s">
        <v>1649</v>
      </c>
    </row>
    <row r="1677" spans="1:17" ht="15" customHeight="1" x14ac:dyDescent="0.3">
      <c r="A1677">
        <v>2025</v>
      </c>
      <c r="B1677" s="2">
        <v>45876</v>
      </c>
      <c r="C1677" t="s">
        <v>291</v>
      </c>
      <c r="D1677" t="s">
        <v>769</v>
      </c>
      <c r="F1677" t="s">
        <v>20</v>
      </c>
      <c r="G1677" t="s">
        <v>21</v>
      </c>
      <c r="H1677" t="s">
        <v>22</v>
      </c>
      <c r="I1677" t="s">
        <v>141</v>
      </c>
      <c r="J1677" t="s">
        <v>123</v>
      </c>
      <c r="K1677" s="3">
        <v>69908.03</v>
      </c>
      <c r="L1677" t="s">
        <v>793</v>
      </c>
      <c r="M1677" t="s">
        <v>1650</v>
      </c>
      <c r="O1677" s="4">
        <v>0.185066579618965</v>
      </c>
      <c r="P1677" s="3">
        <v>12937.64</v>
      </c>
      <c r="Q1677" t="s">
        <v>1610</v>
      </c>
    </row>
    <row r="1678" spans="1:17" ht="15" customHeight="1" x14ac:dyDescent="0.3">
      <c r="A1678">
        <v>2025</v>
      </c>
      <c r="B1678" s="2">
        <v>45876</v>
      </c>
      <c r="C1678" t="s">
        <v>291</v>
      </c>
      <c r="D1678" t="s">
        <v>1651</v>
      </c>
      <c r="F1678" t="s">
        <v>20</v>
      </c>
      <c r="G1678" t="s">
        <v>107</v>
      </c>
      <c r="H1678" t="s">
        <v>108</v>
      </c>
      <c r="I1678" t="s">
        <v>23</v>
      </c>
      <c r="J1678" t="s">
        <v>110</v>
      </c>
      <c r="K1678" s="3">
        <v>99000</v>
      </c>
      <c r="L1678" t="s">
        <v>813</v>
      </c>
      <c r="M1678" t="s">
        <v>1652</v>
      </c>
      <c r="O1678" s="49">
        <v>0.3</v>
      </c>
      <c r="P1678" s="3">
        <f>Tabla1[[#This Row],[Margen Comercial]]*Tabla1[[#This Row],[Importe total]]</f>
        <v>29700</v>
      </c>
      <c r="Q1678" t="s">
        <v>1653</v>
      </c>
    </row>
    <row r="1679" spans="1:17" ht="15" customHeight="1" x14ac:dyDescent="0.3">
      <c r="A1679">
        <v>2025</v>
      </c>
      <c r="B1679" s="2">
        <v>45880</v>
      </c>
      <c r="C1679" t="s">
        <v>291</v>
      </c>
      <c r="D1679" t="s">
        <v>61</v>
      </c>
      <c r="F1679" t="s">
        <v>20</v>
      </c>
      <c r="G1679" t="s">
        <v>21</v>
      </c>
      <c r="H1679" t="s">
        <v>22</v>
      </c>
      <c r="I1679" t="s">
        <v>141</v>
      </c>
      <c r="J1679" t="s">
        <v>50</v>
      </c>
      <c r="K1679" s="3">
        <v>2602.7600000000002</v>
      </c>
      <c r="L1679" t="s">
        <v>825</v>
      </c>
      <c r="M1679" t="s">
        <v>1654</v>
      </c>
      <c r="O1679" s="4">
        <v>0.15</v>
      </c>
      <c r="P1679" s="3">
        <v>390.41399999999999</v>
      </c>
      <c r="Q1679" t="s">
        <v>1542</v>
      </c>
    </row>
    <row r="1680" spans="1:17" ht="15" customHeight="1" x14ac:dyDescent="0.3">
      <c r="A1680">
        <v>2025</v>
      </c>
      <c r="B1680" s="2">
        <v>45881</v>
      </c>
      <c r="C1680" t="s">
        <v>291</v>
      </c>
      <c r="D1680" t="s">
        <v>1655</v>
      </c>
      <c r="F1680" t="s">
        <v>20</v>
      </c>
      <c r="G1680" t="s">
        <v>21</v>
      </c>
      <c r="H1680" t="s">
        <v>22</v>
      </c>
      <c r="I1680" t="s">
        <v>306</v>
      </c>
      <c r="J1680" t="s">
        <v>24</v>
      </c>
      <c r="K1680" s="3">
        <v>584350.001694915</v>
      </c>
      <c r="L1680" t="s">
        <v>793</v>
      </c>
      <c r="M1680" t="s">
        <v>1656</v>
      </c>
      <c r="O1680" s="4">
        <v>0.17370832498601699</v>
      </c>
      <c r="P1680" s="3">
        <v>101506.46</v>
      </c>
      <c r="Q1680" t="s">
        <v>1657</v>
      </c>
    </row>
    <row r="1681" spans="1:17" ht="15" customHeight="1" x14ac:dyDescent="0.3">
      <c r="A1681">
        <v>2025</v>
      </c>
      <c r="B1681" s="2">
        <v>45881</v>
      </c>
      <c r="C1681" t="s">
        <v>291</v>
      </c>
      <c r="D1681" t="s">
        <v>1658</v>
      </c>
      <c r="F1681" t="s">
        <v>20</v>
      </c>
      <c r="G1681" t="s">
        <v>21</v>
      </c>
      <c r="H1681" t="s">
        <v>22</v>
      </c>
      <c r="I1681" t="s">
        <v>23</v>
      </c>
      <c r="J1681" t="s">
        <v>110</v>
      </c>
      <c r="K1681" s="3">
        <v>1662834</v>
      </c>
      <c r="L1681" t="s">
        <v>793</v>
      </c>
      <c r="M1681" t="s">
        <v>1659</v>
      </c>
      <c r="O1681" s="4">
        <v>0.16556661699243599</v>
      </c>
      <c r="P1681" s="3">
        <v>275309.8</v>
      </c>
      <c r="Q1681" t="s">
        <v>1660</v>
      </c>
    </row>
    <row r="1682" spans="1:17" ht="15" customHeight="1" x14ac:dyDescent="0.3">
      <c r="A1682">
        <v>2025</v>
      </c>
      <c r="B1682" s="2">
        <v>45887</v>
      </c>
      <c r="C1682" t="s">
        <v>291</v>
      </c>
      <c r="D1682" t="s">
        <v>1569</v>
      </c>
      <c r="F1682" t="s">
        <v>20</v>
      </c>
      <c r="G1682" t="s">
        <v>21</v>
      </c>
      <c r="H1682" t="s">
        <v>22</v>
      </c>
      <c r="I1682" t="s">
        <v>306</v>
      </c>
      <c r="J1682" t="s">
        <v>123</v>
      </c>
      <c r="K1682" s="3">
        <v>550</v>
      </c>
      <c r="L1682" t="s">
        <v>825</v>
      </c>
      <c r="M1682" t="s">
        <v>1661</v>
      </c>
      <c r="O1682" s="4">
        <v>0.15</v>
      </c>
      <c r="P1682" s="3">
        <v>82.5</v>
      </c>
      <c r="Q1682" t="s">
        <v>1596</v>
      </c>
    </row>
    <row r="1683" spans="1:17" ht="15" customHeight="1" x14ac:dyDescent="0.3">
      <c r="A1683">
        <v>2025</v>
      </c>
      <c r="B1683" s="2">
        <v>45888</v>
      </c>
      <c r="C1683" t="s">
        <v>291</v>
      </c>
      <c r="D1683" t="s">
        <v>749</v>
      </c>
      <c r="F1683" t="s">
        <v>20</v>
      </c>
      <c r="G1683" t="s">
        <v>38</v>
      </c>
      <c r="H1683" t="s">
        <v>39</v>
      </c>
      <c r="I1683" t="s">
        <v>23</v>
      </c>
      <c r="J1683" t="s">
        <v>110</v>
      </c>
      <c r="K1683" s="3">
        <v>604.03</v>
      </c>
      <c r="L1683" t="s">
        <v>793</v>
      </c>
      <c r="M1683" t="s">
        <v>1662</v>
      </c>
      <c r="O1683" s="4">
        <v>0.17222654503915399</v>
      </c>
      <c r="P1683" s="3">
        <v>104.03</v>
      </c>
      <c r="Q1683" t="s">
        <v>1663</v>
      </c>
    </row>
    <row r="1684" spans="1:17" ht="15" customHeight="1" x14ac:dyDescent="0.3">
      <c r="A1684">
        <v>2025</v>
      </c>
      <c r="B1684" s="2">
        <v>45890</v>
      </c>
      <c r="C1684" t="s">
        <v>291</v>
      </c>
      <c r="D1684" t="s">
        <v>1642</v>
      </c>
      <c r="F1684" t="s">
        <v>20</v>
      </c>
      <c r="G1684" t="s">
        <v>38</v>
      </c>
      <c r="H1684" t="s">
        <v>619</v>
      </c>
      <c r="I1684" t="s">
        <v>49</v>
      </c>
      <c r="J1684" t="s">
        <v>50</v>
      </c>
      <c r="K1684" s="3">
        <v>18041.37</v>
      </c>
      <c r="L1684" t="s">
        <v>825</v>
      </c>
      <c r="M1684" t="s">
        <v>1664</v>
      </c>
      <c r="O1684" s="4">
        <v>0.15</v>
      </c>
      <c r="P1684" s="3">
        <v>2706.2055</v>
      </c>
      <c r="Q1684" t="s">
        <v>1644</v>
      </c>
    </row>
    <row r="1685" spans="1:17" ht="15" customHeight="1" x14ac:dyDescent="0.3">
      <c r="A1685">
        <v>2025</v>
      </c>
      <c r="B1685" s="2">
        <v>45891</v>
      </c>
      <c r="C1685" t="s">
        <v>291</v>
      </c>
      <c r="D1685" t="s">
        <v>1580</v>
      </c>
      <c r="F1685" t="s">
        <v>20</v>
      </c>
      <c r="G1685" t="s">
        <v>38</v>
      </c>
      <c r="H1685" t="s">
        <v>39</v>
      </c>
      <c r="I1685" t="s">
        <v>306</v>
      </c>
      <c r="J1685" t="s">
        <v>123</v>
      </c>
      <c r="K1685" s="3">
        <v>2015.06</v>
      </c>
      <c r="L1685" t="s">
        <v>825</v>
      </c>
      <c r="M1685" t="s">
        <v>1665</v>
      </c>
      <c r="O1685" s="4">
        <v>0.15</v>
      </c>
      <c r="P1685" s="3">
        <v>302.25900000000001</v>
      </c>
      <c r="Q1685" t="s">
        <v>1178</v>
      </c>
    </row>
    <row r="1686" spans="1:17" ht="15" customHeight="1" x14ac:dyDescent="0.3">
      <c r="A1686">
        <v>2025</v>
      </c>
      <c r="B1686" s="2">
        <v>45895</v>
      </c>
      <c r="C1686" t="s">
        <v>291</v>
      </c>
      <c r="D1686" t="s">
        <v>786</v>
      </c>
      <c r="F1686" t="s">
        <v>20</v>
      </c>
      <c r="G1686" t="s">
        <v>21</v>
      </c>
      <c r="H1686" t="s">
        <v>22</v>
      </c>
      <c r="I1686" t="s">
        <v>23</v>
      </c>
      <c r="J1686" t="s">
        <v>123</v>
      </c>
      <c r="K1686" s="3">
        <v>60620.23</v>
      </c>
      <c r="L1686" t="s">
        <v>825</v>
      </c>
      <c r="M1686" t="s">
        <v>1666</v>
      </c>
      <c r="O1686" s="4">
        <v>0.15</v>
      </c>
      <c r="P1686" s="3">
        <v>9093.0344999999998</v>
      </c>
      <c r="Q1686" t="s">
        <v>1667</v>
      </c>
    </row>
    <row r="1687" spans="1:17" ht="15" customHeight="1" x14ac:dyDescent="0.3">
      <c r="A1687">
        <v>2025</v>
      </c>
      <c r="B1687" s="2">
        <v>45897</v>
      </c>
      <c r="C1687" t="s">
        <v>291</v>
      </c>
      <c r="D1687" t="s">
        <v>45</v>
      </c>
      <c r="F1687" t="s">
        <v>20</v>
      </c>
      <c r="G1687" t="s">
        <v>38</v>
      </c>
      <c r="H1687" t="s">
        <v>39</v>
      </c>
      <c r="I1687" t="s">
        <v>306</v>
      </c>
      <c r="J1687" t="s">
        <v>50</v>
      </c>
      <c r="K1687" s="3">
        <v>38794.269999999997</v>
      </c>
      <c r="L1687" t="s">
        <v>825</v>
      </c>
      <c r="M1687" t="s">
        <v>1668</v>
      </c>
      <c r="O1687" s="4">
        <v>0.15</v>
      </c>
      <c r="P1687" s="3">
        <v>5819.1405000000004</v>
      </c>
      <c r="Q1687" t="s">
        <v>1560</v>
      </c>
    </row>
    <row r="1688" spans="1:17" ht="15" customHeight="1" x14ac:dyDescent="0.3">
      <c r="A1688">
        <v>2025</v>
      </c>
      <c r="B1688" s="2">
        <v>45898</v>
      </c>
      <c r="C1688" t="s">
        <v>291</v>
      </c>
      <c r="D1688" t="s">
        <v>769</v>
      </c>
      <c r="F1688" t="s">
        <v>20</v>
      </c>
      <c r="G1688" t="s">
        <v>21</v>
      </c>
      <c r="H1688" t="s">
        <v>22</v>
      </c>
      <c r="I1688" t="s">
        <v>141</v>
      </c>
      <c r="J1688" t="s">
        <v>123</v>
      </c>
      <c r="K1688" s="3">
        <v>24943.03</v>
      </c>
      <c r="L1688" t="s">
        <v>825</v>
      </c>
      <c r="M1688" t="s">
        <v>1669</v>
      </c>
      <c r="O1688" s="4">
        <v>0.15</v>
      </c>
      <c r="P1688" s="3">
        <v>3741.4544999999998</v>
      </c>
      <c r="Q1688" t="s">
        <v>1610</v>
      </c>
    </row>
    <row r="1689" spans="1:17" ht="15" customHeight="1" x14ac:dyDescent="0.3">
      <c r="A1689">
        <v>2025</v>
      </c>
      <c r="B1689" s="2">
        <v>45904</v>
      </c>
      <c r="C1689" t="s">
        <v>325</v>
      </c>
      <c r="D1689" t="s">
        <v>103</v>
      </c>
      <c r="F1689" t="s">
        <v>20</v>
      </c>
      <c r="G1689" t="s">
        <v>38</v>
      </c>
      <c r="H1689" t="s">
        <v>147</v>
      </c>
      <c r="I1689" t="s">
        <v>306</v>
      </c>
      <c r="J1689" t="s">
        <v>50</v>
      </c>
      <c r="K1689" s="3">
        <v>3839343.4406779702</v>
      </c>
      <c r="L1689" t="s">
        <v>793</v>
      </c>
      <c r="M1689" t="s">
        <v>1670</v>
      </c>
      <c r="O1689" s="4">
        <v>0.16059937057652701</v>
      </c>
      <c r="P1689" s="3">
        <v>616596.14</v>
      </c>
      <c r="Q1689" t="s">
        <v>1671</v>
      </c>
    </row>
    <row r="1690" spans="1:17" ht="15" customHeight="1" x14ac:dyDescent="0.3">
      <c r="A1690">
        <v>2025</v>
      </c>
      <c r="B1690" s="2">
        <v>45904</v>
      </c>
      <c r="C1690" t="s">
        <v>325</v>
      </c>
      <c r="D1690" t="s">
        <v>1598</v>
      </c>
      <c r="F1690" t="s">
        <v>20</v>
      </c>
      <c r="G1690" t="s">
        <v>38</v>
      </c>
      <c r="H1690" t="s">
        <v>147</v>
      </c>
      <c r="I1690" t="s">
        <v>334</v>
      </c>
      <c r="J1690" t="s">
        <v>123</v>
      </c>
      <c r="K1690" s="3">
        <v>117312.36</v>
      </c>
      <c r="L1690" t="s">
        <v>825</v>
      </c>
      <c r="M1690" t="s">
        <v>1672</v>
      </c>
      <c r="O1690" s="4">
        <v>0.15000076718258901</v>
      </c>
      <c r="P1690" s="3">
        <v>17596.944000000101</v>
      </c>
      <c r="Q1690" t="s">
        <v>1600</v>
      </c>
    </row>
    <row r="1691" spans="1:17" ht="15" customHeight="1" x14ac:dyDescent="0.3">
      <c r="A1691">
        <v>2025</v>
      </c>
      <c r="B1691" s="2">
        <v>45909</v>
      </c>
      <c r="C1691" t="s">
        <v>325</v>
      </c>
      <c r="D1691" t="s">
        <v>1621</v>
      </c>
      <c r="F1691" t="s">
        <v>20</v>
      </c>
      <c r="G1691" t="s">
        <v>38</v>
      </c>
      <c r="H1691" t="s">
        <v>39</v>
      </c>
      <c r="I1691" t="s">
        <v>23</v>
      </c>
      <c r="J1691" t="s">
        <v>110</v>
      </c>
      <c r="K1691" s="3">
        <v>71347.02</v>
      </c>
      <c r="L1691" t="s">
        <v>813</v>
      </c>
      <c r="M1691" t="s">
        <v>1673</v>
      </c>
      <c r="O1691" s="49">
        <v>0.3</v>
      </c>
      <c r="P1691" s="3">
        <f>Tabla1[[#This Row],[Margen Comercial]]*Tabla1[[#This Row],[Importe total]]</f>
        <v>21404.106</v>
      </c>
      <c r="Q1691" t="s">
        <v>1674</v>
      </c>
    </row>
    <row r="1692" spans="1:17" ht="15" customHeight="1" x14ac:dyDescent="0.3">
      <c r="A1692">
        <v>2025</v>
      </c>
      <c r="B1692" s="2">
        <v>45915</v>
      </c>
      <c r="C1692" t="s">
        <v>291</v>
      </c>
      <c r="D1692" t="s">
        <v>1658</v>
      </c>
      <c r="F1692" t="s">
        <v>20</v>
      </c>
      <c r="G1692" t="s">
        <v>21</v>
      </c>
      <c r="H1692" t="s">
        <v>22</v>
      </c>
      <c r="I1692" t="s">
        <v>306</v>
      </c>
      <c r="J1692" t="s">
        <v>50</v>
      </c>
      <c r="K1692" s="3">
        <v>1711648.4895882099</v>
      </c>
      <c r="L1692" t="s">
        <v>793</v>
      </c>
      <c r="M1692" t="s">
        <v>1675</v>
      </c>
      <c r="O1692" s="4">
        <v>0.182572106306232</v>
      </c>
      <c r="P1692" s="3">
        <v>312499.27</v>
      </c>
      <c r="Q1692" t="s">
        <v>1676</v>
      </c>
    </row>
    <row r="1693" spans="1:17" ht="15" customHeight="1" x14ac:dyDescent="0.3">
      <c r="A1693">
        <v>2025</v>
      </c>
      <c r="B1693" s="2">
        <v>45922</v>
      </c>
      <c r="C1693" t="s">
        <v>325</v>
      </c>
      <c r="D1693" t="s">
        <v>749</v>
      </c>
      <c r="F1693" t="s">
        <v>20</v>
      </c>
      <c r="G1693" t="s">
        <v>38</v>
      </c>
      <c r="H1693" t="s">
        <v>39</v>
      </c>
      <c r="I1693" t="s">
        <v>306</v>
      </c>
      <c r="J1693" t="s">
        <v>50</v>
      </c>
      <c r="K1693" s="3">
        <v>3127.45</v>
      </c>
      <c r="L1693" t="s">
        <v>825</v>
      </c>
      <c r="M1693" t="s">
        <v>1677</v>
      </c>
      <c r="O1693" s="4">
        <v>0.15</v>
      </c>
      <c r="P1693" s="3">
        <v>469.11750000000001</v>
      </c>
      <c r="Q1693" t="s">
        <v>1578</v>
      </c>
    </row>
    <row r="1694" spans="1:17" ht="15" customHeight="1" x14ac:dyDescent="0.3">
      <c r="A1694">
        <v>2025</v>
      </c>
      <c r="B1694" s="2">
        <v>45924</v>
      </c>
      <c r="C1694" t="s">
        <v>325</v>
      </c>
      <c r="D1694" t="s">
        <v>1569</v>
      </c>
      <c r="F1694" t="s">
        <v>20</v>
      </c>
      <c r="G1694" t="s">
        <v>21</v>
      </c>
      <c r="H1694" t="s">
        <v>22</v>
      </c>
      <c r="I1694" t="s">
        <v>306</v>
      </c>
      <c r="J1694" t="s">
        <v>123</v>
      </c>
      <c r="K1694" s="3">
        <v>21201.56</v>
      </c>
      <c r="L1694" t="s">
        <v>825</v>
      </c>
      <c r="M1694" t="s">
        <v>1678</v>
      </c>
      <c r="O1694" s="4">
        <v>0.15</v>
      </c>
      <c r="P1694" s="3">
        <v>3180.2339999999999</v>
      </c>
      <c r="Q1694" t="s">
        <v>1596</v>
      </c>
    </row>
    <row r="1695" spans="1:17" ht="15" customHeight="1" x14ac:dyDescent="0.3">
      <c r="A1695">
        <v>2025</v>
      </c>
      <c r="B1695" s="2">
        <v>45929</v>
      </c>
      <c r="C1695" t="s">
        <v>325</v>
      </c>
      <c r="D1695" t="s">
        <v>1642</v>
      </c>
      <c r="F1695" t="s">
        <v>20</v>
      </c>
      <c r="G1695" t="s">
        <v>38</v>
      </c>
      <c r="H1695" t="s">
        <v>619</v>
      </c>
      <c r="I1695" t="s">
        <v>49</v>
      </c>
      <c r="J1695" t="s">
        <v>50</v>
      </c>
      <c r="K1695" s="3">
        <v>5000</v>
      </c>
      <c r="L1695" t="s">
        <v>825</v>
      </c>
      <c r="M1695" t="s">
        <v>1679</v>
      </c>
      <c r="O1695" s="4">
        <v>0.15</v>
      </c>
      <c r="P1695" s="3">
        <v>750</v>
      </c>
      <c r="Q1695" t="s">
        <v>1644</v>
      </c>
    </row>
    <row r="1696" spans="1:17" ht="15" customHeight="1" x14ac:dyDescent="0.3">
      <c r="A1696">
        <v>2025</v>
      </c>
      <c r="B1696" s="2">
        <v>45930</v>
      </c>
      <c r="C1696" t="s">
        <v>325</v>
      </c>
      <c r="D1696" t="s">
        <v>1622</v>
      </c>
      <c r="F1696" t="s">
        <v>20</v>
      </c>
      <c r="G1696" t="s">
        <v>38</v>
      </c>
      <c r="H1696" t="s">
        <v>39</v>
      </c>
      <c r="I1696" t="s">
        <v>23</v>
      </c>
      <c r="J1696" t="s">
        <v>110</v>
      </c>
      <c r="K1696" s="3">
        <v>14507.98</v>
      </c>
      <c r="L1696" t="s">
        <v>813</v>
      </c>
      <c r="M1696" t="s">
        <v>1680</v>
      </c>
      <c r="O1696" s="49">
        <v>0.3</v>
      </c>
      <c r="P1696" s="3">
        <f>Tabla1[[#This Row],[Margen Comercial]]*Tabla1[[#This Row],[Importe total]]</f>
        <v>4352.3939999999993</v>
      </c>
      <c r="Q1696" t="s">
        <v>1681</v>
      </c>
    </row>
    <row r="1697" spans="1:17" ht="15" customHeight="1" x14ac:dyDescent="0.3">
      <c r="A1697">
        <v>2025</v>
      </c>
      <c r="B1697" s="2">
        <v>45931</v>
      </c>
      <c r="C1697" t="s">
        <v>357</v>
      </c>
      <c r="D1697" t="s">
        <v>769</v>
      </c>
      <c r="F1697" t="s">
        <v>20</v>
      </c>
      <c r="G1697" t="s">
        <v>21</v>
      </c>
      <c r="H1697" t="s">
        <v>22</v>
      </c>
      <c r="I1697" t="s">
        <v>141</v>
      </c>
      <c r="J1697" t="s">
        <v>123</v>
      </c>
      <c r="K1697" s="3">
        <v>1574.1</v>
      </c>
      <c r="L1697" t="s">
        <v>825</v>
      </c>
      <c r="M1697" t="s">
        <v>1682</v>
      </c>
      <c r="O1697" s="4">
        <v>0.15</v>
      </c>
      <c r="P1697" s="3">
        <v>236.11500000000001</v>
      </c>
      <c r="Q1697" t="s">
        <v>1610</v>
      </c>
    </row>
    <row r="1698" spans="1:17" ht="15" customHeight="1" x14ac:dyDescent="0.3">
      <c r="A1698">
        <v>2025</v>
      </c>
      <c r="B1698" s="2">
        <v>45938</v>
      </c>
      <c r="C1698" t="s">
        <v>357</v>
      </c>
      <c r="D1698" t="s">
        <v>1622</v>
      </c>
      <c r="F1698" t="s">
        <v>20</v>
      </c>
      <c r="G1698" t="s">
        <v>38</v>
      </c>
      <c r="H1698" t="s">
        <v>39</v>
      </c>
      <c r="I1698" t="s">
        <v>306</v>
      </c>
      <c r="J1698" t="s">
        <v>50</v>
      </c>
      <c r="K1698" s="3">
        <v>1094264.8</v>
      </c>
      <c r="L1698" t="s">
        <v>793</v>
      </c>
      <c r="M1698" t="s">
        <v>1683</v>
      </c>
      <c r="O1698" s="4">
        <v>0.186089217162062</v>
      </c>
      <c r="P1698" s="3">
        <v>203630.88</v>
      </c>
      <c r="Q1698" t="s">
        <v>1684</v>
      </c>
    </row>
    <row r="1699" spans="1:17" ht="15" customHeight="1" x14ac:dyDescent="0.3">
      <c r="A1699">
        <v>2025</v>
      </c>
      <c r="B1699" s="2">
        <v>45940</v>
      </c>
      <c r="C1699" t="s">
        <v>357</v>
      </c>
      <c r="D1699" t="s">
        <v>1007</v>
      </c>
      <c r="F1699" t="s">
        <v>20</v>
      </c>
      <c r="G1699" t="s">
        <v>38</v>
      </c>
      <c r="H1699" t="s">
        <v>39</v>
      </c>
      <c r="I1699" t="s">
        <v>306</v>
      </c>
      <c r="J1699" t="s">
        <v>50</v>
      </c>
      <c r="K1699" s="3">
        <v>3150</v>
      </c>
      <c r="L1699" t="s">
        <v>825</v>
      </c>
      <c r="M1699" t="s">
        <v>1685</v>
      </c>
      <c r="O1699" s="4">
        <v>0.15</v>
      </c>
      <c r="P1699" s="3">
        <v>472.5</v>
      </c>
      <c r="Q1699" t="s">
        <v>1576</v>
      </c>
    </row>
    <row r="1700" spans="1:17" ht="15" customHeight="1" x14ac:dyDescent="0.3">
      <c r="A1700">
        <v>2025</v>
      </c>
      <c r="B1700" s="2">
        <v>45945</v>
      </c>
      <c r="C1700" t="s">
        <v>357</v>
      </c>
      <c r="D1700" t="s">
        <v>1007</v>
      </c>
      <c r="F1700" t="s">
        <v>20</v>
      </c>
      <c r="G1700" t="s">
        <v>38</v>
      </c>
      <c r="H1700" t="s">
        <v>39</v>
      </c>
      <c r="I1700" t="s">
        <v>306</v>
      </c>
      <c r="J1700" t="s">
        <v>50</v>
      </c>
      <c r="K1700" s="3">
        <v>7400.55</v>
      </c>
      <c r="L1700" t="s">
        <v>825</v>
      </c>
      <c r="M1700" t="s">
        <v>1686</v>
      </c>
      <c r="O1700" s="4">
        <v>0.15</v>
      </c>
      <c r="P1700" s="3">
        <v>1110.0825</v>
      </c>
      <c r="Q1700" t="s">
        <v>1576</v>
      </c>
    </row>
    <row r="1701" spans="1:17" ht="15" customHeight="1" x14ac:dyDescent="0.3">
      <c r="A1701">
        <v>2025</v>
      </c>
      <c r="B1701" s="2">
        <v>45947</v>
      </c>
      <c r="C1701" t="s">
        <v>357</v>
      </c>
      <c r="D1701" t="s">
        <v>184</v>
      </c>
      <c r="F1701" t="s">
        <v>20</v>
      </c>
      <c r="G1701" t="s">
        <v>107</v>
      </c>
      <c r="H1701" t="s">
        <v>108</v>
      </c>
      <c r="I1701" t="s">
        <v>754</v>
      </c>
      <c r="J1701" t="s">
        <v>123</v>
      </c>
      <c r="K1701" s="3">
        <v>490966.62</v>
      </c>
      <c r="L1701" t="s">
        <v>793</v>
      </c>
      <c r="M1701" t="s">
        <v>1687</v>
      </c>
      <c r="O1701" s="4">
        <v>0.17181685386269199</v>
      </c>
      <c r="P1701" s="3">
        <v>84356.339999999793</v>
      </c>
      <c r="Q1701" t="s">
        <v>1688</v>
      </c>
    </row>
    <row r="1702" spans="1:17" ht="15" customHeight="1" x14ac:dyDescent="0.3">
      <c r="A1702">
        <v>2025</v>
      </c>
      <c r="B1702" s="2">
        <v>45950</v>
      </c>
      <c r="C1702" t="s">
        <v>357</v>
      </c>
      <c r="D1702" t="s">
        <v>1689</v>
      </c>
      <c r="F1702" t="s">
        <v>20</v>
      </c>
      <c r="G1702" t="s">
        <v>21</v>
      </c>
      <c r="H1702" t="s">
        <v>22</v>
      </c>
      <c r="I1702" t="s">
        <v>23</v>
      </c>
      <c r="J1702" t="s">
        <v>110</v>
      </c>
      <c r="K1702" s="3">
        <v>29900.01</v>
      </c>
      <c r="L1702" t="s">
        <v>793</v>
      </c>
      <c r="M1702" t="s">
        <v>1690</v>
      </c>
      <c r="O1702" s="4">
        <v>0.15803105082573499</v>
      </c>
      <c r="P1702" s="3">
        <v>4725.1299999999801</v>
      </c>
      <c r="Q1702" t="s">
        <v>1691</v>
      </c>
    </row>
    <row r="1703" spans="1:17" ht="15" customHeight="1" x14ac:dyDescent="0.3">
      <c r="A1703">
        <v>2025</v>
      </c>
      <c r="B1703" s="2">
        <v>45950</v>
      </c>
      <c r="C1703" t="s">
        <v>357</v>
      </c>
      <c r="D1703" t="s">
        <v>1692</v>
      </c>
      <c r="F1703" t="s">
        <v>20</v>
      </c>
      <c r="G1703" t="s">
        <v>107</v>
      </c>
      <c r="H1703" t="s">
        <v>108</v>
      </c>
      <c r="I1703" t="s">
        <v>23</v>
      </c>
      <c r="J1703" t="s">
        <v>110</v>
      </c>
      <c r="K1703" s="3">
        <v>24000</v>
      </c>
      <c r="L1703" t="s">
        <v>903</v>
      </c>
      <c r="M1703" t="s">
        <v>1564</v>
      </c>
      <c r="O1703" s="4"/>
      <c r="P1703" s="3"/>
      <c r="Q1703" t="s">
        <v>1693</v>
      </c>
    </row>
    <row r="1704" spans="1:17" ht="15" customHeight="1" x14ac:dyDescent="0.3">
      <c r="A1704">
        <v>2025</v>
      </c>
      <c r="B1704" s="2">
        <v>45951</v>
      </c>
      <c r="C1704" t="s">
        <v>357</v>
      </c>
      <c r="D1704" t="s">
        <v>1694</v>
      </c>
      <c r="E1704" t="s">
        <v>1695</v>
      </c>
      <c r="F1704" t="s">
        <v>20</v>
      </c>
      <c r="G1704" t="s">
        <v>38</v>
      </c>
      <c r="H1704" t="s">
        <v>89</v>
      </c>
      <c r="I1704" t="s">
        <v>1696</v>
      </c>
      <c r="J1704" t="s">
        <v>123</v>
      </c>
      <c r="K1704" s="3">
        <v>317796.61</v>
      </c>
      <c r="L1704" t="s">
        <v>793</v>
      </c>
      <c r="M1704" t="s">
        <v>1697</v>
      </c>
      <c r="O1704" s="4">
        <v>0.17076041182440499</v>
      </c>
      <c r="P1704" s="3">
        <v>54267.079999999798</v>
      </c>
      <c r="Q1704" t="s">
        <v>1698</v>
      </c>
    </row>
    <row r="1705" spans="1:17" ht="15" customHeight="1" x14ac:dyDescent="0.3">
      <c r="A1705">
        <v>2025</v>
      </c>
      <c r="B1705" s="2">
        <v>45958</v>
      </c>
      <c r="C1705" t="s">
        <v>357</v>
      </c>
      <c r="D1705" t="s">
        <v>1318</v>
      </c>
      <c r="F1705" t="s">
        <v>20</v>
      </c>
      <c r="G1705" t="s">
        <v>38</v>
      </c>
      <c r="H1705" t="s">
        <v>39</v>
      </c>
      <c r="I1705" t="s">
        <v>23</v>
      </c>
      <c r="J1705" t="s">
        <v>110</v>
      </c>
      <c r="K1705" s="3">
        <v>23406.54</v>
      </c>
      <c r="L1705" t="s">
        <v>825</v>
      </c>
      <c r="M1705" t="s">
        <v>1564</v>
      </c>
      <c r="O1705" s="4"/>
      <c r="P1705" s="3"/>
      <c r="Q1705" t="s">
        <v>1699</v>
      </c>
    </row>
    <row r="1706" spans="1:17" ht="15" customHeight="1" x14ac:dyDescent="0.3">
      <c r="A1706">
        <v>2025</v>
      </c>
      <c r="B1706" s="2">
        <v>45968</v>
      </c>
      <c r="C1706" t="s">
        <v>389</v>
      </c>
      <c r="D1706" t="s">
        <v>1384</v>
      </c>
      <c r="F1706" t="s">
        <v>20</v>
      </c>
      <c r="G1706" t="s">
        <v>21</v>
      </c>
      <c r="H1706" t="s">
        <v>22</v>
      </c>
      <c r="I1706" t="s">
        <v>23</v>
      </c>
      <c r="J1706" t="s">
        <v>24</v>
      </c>
      <c r="K1706" s="3">
        <v>256829.11</v>
      </c>
      <c r="L1706" t="s">
        <v>793</v>
      </c>
      <c r="M1706" t="s">
        <v>1700</v>
      </c>
      <c r="O1706" s="4">
        <v>0.15754078655647699</v>
      </c>
      <c r="P1706" s="3">
        <v>40461.06</v>
      </c>
      <c r="Q1706" t="s">
        <v>1701</v>
      </c>
    </row>
    <row r="1707" spans="1:17" ht="15" customHeight="1" x14ac:dyDescent="0.3">
      <c r="A1707">
        <v>2025</v>
      </c>
      <c r="B1707" s="2">
        <v>45974</v>
      </c>
      <c r="C1707" t="s">
        <v>389</v>
      </c>
      <c r="D1707" t="s">
        <v>1622</v>
      </c>
      <c r="F1707" t="s">
        <v>20</v>
      </c>
      <c r="G1707" t="s">
        <v>38</v>
      </c>
      <c r="H1707" t="s">
        <v>39</v>
      </c>
      <c r="I1707" t="s">
        <v>306</v>
      </c>
      <c r="J1707" t="s">
        <v>24</v>
      </c>
      <c r="K1707" s="3">
        <v>1700000</v>
      </c>
      <c r="L1707" t="s">
        <v>793</v>
      </c>
      <c r="M1707" t="s">
        <v>1702</v>
      </c>
      <c r="O1707" s="4">
        <v>0.17572770588235301</v>
      </c>
      <c r="P1707" s="3">
        <v>298737.09999999998</v>
      </c>
      <c r="Q1707" t="s">
        <v>1660</v>
      </c>
    </row>
    <row r="1708" spans="1:17" ht="15" customHeight="1" x14ac:dyDescent="0.3">
      <c r="A1708">
        <v>2025</v>
      </c>
      <c r="B1708" s="2">
        <v>45978</v>
      </c>
      <c r="C1708" t="s">
        <v>389</v>
      </c>
      <c r="D1708" t="s">
        <v>155</v>
      </c>
      <c r="F1708" t="s">
        <v>20</v>
      </c>
      <c r="G1708" t="s">
        <v>38</v>
      </c>
      <c r="H1708" t="s">
        <v>39</v>
      </c>
      <c r="I1708" t="s">
        <v>306</v>
      </c>
      <c r="J1708" t="s">
        <v>123</v>
      </c>
      <c r="K1708" s="3">
        <v>220000</v>
      </c>
      <c r="L1708" t="s">
        <v>793</v>
      </c>
      <c r="M1708" t="s">
        <v>1703</v>
      </c>
      <c r="O1708" s="4">
        <v>0.14487459090909099</v>
      </c>
      <c r="P1708" s="3">
        <v>31872.41</v>
      </c>
      <c r="Q1708" t="s">
        <v>1704</v>
      </c>
    </row>
    <row r="1709" spans="1:17" ht="15" customHeight="1" x14ac:dyDescent="0.3">
      <c r="A1709">
        <v>2025</v>
      </c>
      <c r="B1709" s="2">
        <v>45981</v>
      </c>
      <c r="C1709" t="s">
        <v>389</v>
      </c>
      <c r="D1709" t="s">
        <v>1618</v>
      </c>
      <c r="F1709" t="s">
        <v>20</v>
      </c>
      <c r="G1709" t="s">
        <v>38</v>
      </c>
      <c r="H1709" t="s">
        <v>39</v>
      </c>
      <c r="I1709" t="s">
        <v>23</v>
      </c>
      <c r="J1709" t="s">
        <v>110</v>
      </c>
      <c r="K1709" s="3">
        <v>242000</v>
      </c>
      <c r="L1709" t="s">
        <v>825</v>
      </c>
      <c r="M1709" t="s">
        <v>1705</v>
      </c>
      <c r="O1709" s="4">
        <v>0.18700702479338899</v>
      </c>
      <c r="P1709" s="3">
        <v>45255.700000000099</v>
      </c>
      <c r="Q1709" t="s">
        <v>1706</v>
      </c>
    </row>
    <row r="1710" spans="1:17" ht="15" customHeight="1" x14ac:dyDescent="0.3">
      <c r="A1710">
        <v>2025</v>
      </c>
      <c r="B1710" s="2">
        <v>45982</v>
      </c>
      <c r="C1710" t="s">
        <v>389</v>
      </c>
      <c r="D1710" t="s">
        <v>61</v>
      </c>
      <c r="F1710" t="s">
        <v>20</v>
      </c>
      <c r="G1710" t="s">
        <v>21</v>
      </c>
      <c r="H1710" t="s">
        <v>22</v>
      </c>
      <c r="I1710" t="s">
        <v>141</v>
      </c>
      <c r="J1710" t="s">
        <v>50</v>
      </c>
      <c r="K1710" s="3">
        <v>10000</v>
      </c>
      <c r="L1710" t="s">
        <v>825</v>
      </c>
      <c r="M1710" t="s">
        <v>1707</v>
      </c>
      <c r="O1710" s="4">
        <v>0.15</v>
      </c>
      <c r="P1710" s="3">
        <v>1500</v>
      </c>
      <c r="Q1710" t="s">
        <v>1708</v>
      </c>
    </row>
    <row r="1711" spans="1:17" ht="15" customHeight="1" x14ac:dyDescent="0.3">
      <c r="A1711">
        <v>2025</v>
      </c>
      <c r="B1711" s="2">
        <v>45988</v>
      </c>
      <c r="C1711" t="s">
        <v>389</v>
      </c>
      <c r="D1711" t="s">
        <v>1384</v>
      </c>
      <c r="F1711" t="s">
        <v>20</v>
      </c>
      <c r="G1711" t="s">
        <v>21</v>
      </c>
      <c r="H1711" t="s">
        <v>22</v>
      </c>
      <c r="I1711" t="s">
        <v>23</v>
      </c>
      <c r="J1711" t="s">
        <v>110</v>
      </c>
      <c r="K1711" s="3">
        <v>3411.88</v>
      </c>
      <c r="L1711" t="s">
        <v>813</v>
      </c>
      <c r="M1711" t="s">
        <v>1709</v>
      </c>
      <c r="O1711" s="49">
        <v>0.3</v>
      </c>
      <c r="P1711" s="3">
        <f>Tabla1[[#This Row],[Margen Comercial]]*Tabla1[[#This Row],[Importe total]]</f>
        <v>1023.564</v>
      </c>
      <c r="Q1711" t="s">
        <v>1710</v>
      </c>
    </row>
    <row r="1712" spans="1:17" ht="15" customHeight="1" x14ac:dyDescent="0.3">
      <c r="A1712">
        <v>2025</v>
      </c>
      <c r="B1712" s="2">
        <v>45992</v>
      </c>
      <c r="C1712" t="s">
        <v>416</v>
      </c>
      <c r="D1712" t="s">
        <v>69</v>
      </c>
      <c r="F1712" t="s">
        <v>20</v>
      </c>
      <c r="G1712" t="s">
        <v>21</v>
      </c>
      <c r="H1712" t="s">
        <v>22</v>
      </c>
      <c r="I1712" t="s">
        <v>23</v>
      </c>
      <c r="J1712" t="s">
        <v>110</v>
      </c>
      <c r="K1712" s="3">
        <v>16500</v>
      </c>
      <c r="L1712" t="s">
        <v>793</v>
      </c>
      <c r="M1712" t="s">
        <v>1711</v>
      </c>
      <c r="O1712" s="4">
        <v>0.15616727272727299</v>
      </c>
      <c r="P1712" s="3">
        <v>2576.7600000000002</v>
      </c>
      <c r="Q1712" t="s">
        <v>1712</v>
      </c>
    </row>
    <row r="1713" spans="1:17" ht="15" customHeight="1" x14ac:dyDescent="0.3">
      <c r="A1713">
        <v>2025</v>
      </c>
      <c r="B1713" s="2">
        <v>45996</v>
      </c>
      <c r="C1713" t="s">
        <v>416</v>
      </c>
      <c r="D1713" t="s">
        <v>1642</v>
      </c>
      <c r="F1713" t="s">
        <v>20</v>
      </c>
      <c r="G1713" t="s">
        <v>38</v>
      </c>
      <c r="H1713" t="s">
        <v>619</v>
      </c>
      <c r="I1713" t="s">
        <v>49</v>
      </c>
      <c r="J1713" t="s">
        <v>50</v>
      </c>
      <c r="K1713" s="3">
        <v>2556.1</v>
      </c>
      <c r="L1713" t="s">
        <v>825</v>
      </c>
      <c r="M1713" t="s">
        <v>1713</v>
      </c>
      <c r="O1713" s="4">
        <v>0.15</v>
      </c>
      <c r="P1713" s="3">
        <v>383.41500000000002</v>
      </c>
      <c r="Q1713" t="s">
        <v>1644</v>
      </c>
    </row>
    <row r="1714" spans="1:17" ht="15" customHeight="1" x14ac:dyDescent="0.3">
      <c r="A1714">
        <v>2025</v>
      </c>
      <c r="B1714" s="2">
        <v>46001</v>
      </c>
      <c r="C1714" t="s">
        <v>416</v>
      </c>
      <c r="D1714" t="s">
        <v>360</v>
      </c>
      <c r="F1714" t="s">
        <v>20</v>
      </c>
      <c r="G1714" t="s">
        <v>21</v>
      </c>
      <c r="H1714" t="s">
        <v>22</v>
      </c>
      <c r="I1714" t="s">
        <v>109</v>
      </c>
      <c r="J1714" t="s">
        <v>123</v>
      </c>
      <c r="K1714" s="3">
        <v>545000</v>
      </c>
      <c r="L1714" t="s">
        <v>793</v>
      </c>
      <c r="M1714" t="s">
        <v>1714</v>
      </c>
      <c r="O1714" s="4">
        <v>0.132939100917431</v>
      </c>
      <c r="P1714" s="3">
        <v>72451.809999999896</v>
      </c>
      <c r="Q1714" t="s">
        <v>1715</v>
      </c>
    </row>
    <row r="1715" spans="1:17" ht="15" customHeight="1" x14ac:dyDescent="0.3">
      <c r="A1715">
        <v>2025</v>
      </c>
      <c r="B1715" s="2">
        <v>46001</v>
      </c>
      <c r="C1715" t="s">
        <v>416</v>
      </c>
      <c r="D1715" t="s">
        <v>1618</v>
      </c>
      <c r="F1715" t="s">
        <v>20</v>
      </c>
      <c r="G1715" t="s">
        <v>38</v>
      </c>
      <c r="H1715" t="s">
        <v>39</v>
      </c>
      <c r="I1715" t="s">
        <v>23</v>
      </c>
      <c r="J1715" t="s">
        <v>110</v>
      </c>
      <c r="K1715" s="3">
        <v>8009.51</v>
      </c>
      <c r="L1715" t="s">
        <v>813</v>
      </c>
      <c r="M1715" t="s">
        <v>1716</v>
      </c>
      <c r="O1715" s="49">
        <v>0.3</v>
      </c>
      <c r="P1715" s="3">
        <f>Tabla1[[#This Row],[Margen Comercial]]*Tabla1[[#This Row],[Importe total]]</f>
        <v>2402.8530000000001</v>
      </c>
      <c r="Q1715" t="s">
        <v>1717</v>
      </c>
    </row>
    <row r="1716" spans="1:17" ht="15" customHeight="1" x14ac:dyDescent="0.3">
      <c r="A1716">
        <v>2025</v>
      </c>
      <c r="B1716" s="2">
        <v>46002</v>
      </c>
      <c r="C1716" t="s">
        <v>416</v>
      </c>
      <c r="D1716" t="s">
        <v>1692</v>
      </c>
      <c r="F1716" t="s">
        <v>20</v>
      </c>
      <c r="G1716" t="s">
        <v>107</v>
      </c>
      <c r="H1716" t="s">
        <v>108</v>
      </c>
      <c r="I1716" t="s">
        <v>1718</v>
      </c>
      <c r="J1716" t="s">
        <v>123</v>
      </c>
      <c r="K1716" s="3">
        <v>360886.11</v>
      </c>
      <c r="L1716" t="s">
        <v>793</v>
      </c>
      <c r="M1716" t="s">
        <v>1719</v>
      </c>
      <c r="O1716" s="4">
        <v>0.144178893446467</v>
      </c>
      <c r="P1716" s="3">
        <v>52032.160000000003</v>
      </c>
      <c r="Q1716" t="s">
        <v>1720</v>
      </c>
    </row>
    <row r="1717" spans="1:17" ht="15" customHeight="1" x14ac:dyDescent="0.3">
      <c r="A1717">
        <v>2025</v>
      </c>
      <c r="B1717" s="2">
        <v>46013</v>
      </c>
      <c r="C1717" t="s">
        <v>416</v>
      </c>
      <c r="D1717" t="s">
        <v>1689</v>
      </c>
      <c r="F1717" t="s">
        <v>20</v>
      </c>
      <c r="G1717" t="s">
        <v>21</v>
      </c>
      <c r="H1717" t="s">
        <v>22</v>
      </c>
      <c r="I1717" t="s">
        <v>23</v>
      </c>
      <c r="J1717" t="s">
        <v>110</v>
      </c>
      <c r="K1717" s="3">
        <v>2900</v>
      </c>
      <c r="L1717" t="s">
        <v>825</v>
      </c>
      <c r="M1717" t="s">
        <v>1721</v>
      </c>
      <c r="O1717" s="4">
        <v>0.15</v>
      </c>
      <c r="P1717" s="3">
        <v>435</v>
      </c>
      <c r="Q1717" t="s">
        <v>1691</v>
      </c>
    </row>
    <row r="1718" spans="1:17" ht="15" customHeight="1" x14ac:dyDescent="0.3">
      <c r="A1718">
        <v>2025</v>
      </c>
      <c r="B1718" s="2">
        <v>46017</v>
      </c>
      <c r="C1718" t="s">
        <v>416</v>
      </c>
      <c r="D1718" t="s">
        <v>1569</v>
      </c>
      <c r="F1718" t="s">
        <v>20</v>
      </c>
      <c r="G1718" t="s">
        <v>21</v>
      </c>
      <c r="H1718" t="s">
        <v>22</v>
      </c>
      <c r="I1718" t="s">
        <v>306</v>
      </c>
      <c r="J1718" t="s">
        <v>123</v>
      </c>
      <c r="K1718" s="3">
        <v>67909.11</v>
      </c>
      <c r="L1718" t="s">
        <v>793</v>
      </c>
      <c r="M1718" t="s">
        <v>1722</v>
      </c>
      <c r="O1718" s="4">
        <v>0.17973229217700001</v>
      </c>
      <c r="P1718" s="3">
        <v>12205.46</v>
      </c>
      <c r="Q1718" t="s">
        <v>1723</v>
      </c>
    </row>
    <row r="1719" spans="1:17" ht="15" customHeight="1" x14ac:dyDescent="0.3">
      <c r="A1719">
        <v>2026</v>
      </c>
      <c r="B1719" s="2">
        <v>46169</v>
      </c>
      <c r="C1719" t="s">
        <v>190</v>
      </c>
      <c r="D1719" t="s">
        <v>1737</v>
      </c>
      <c r="F1719" t="s">
        <v>20</v>
      </c>
      <c r="G1719" t="s">
        <v>38</v>
      </c>
      <c r="H1719" t="s">
        <v>39</v>
      </c>
      <c r="I1719" t="s">
        <v>306</v>
      </c>
      <c r="J1719" t="s">
        <v>50</v>
      </c>
      <c r="K1719" s="3">
        <v>9500000</v>
      </c>
      <c r="L1719" t="s">
        <v>793</v>
      </c>
      <c r="M1719" t="s">
        <v>1855</v>
      </c>
      <c r="O1719" s="49">
        <v>0.13783493368421099</v>
      </c>
      <c r="P1719" s="3">
        <v>1309431.8700000001</v>
      </c>
      <c r="Q1719" t="s">
        <v>1856</v>
      </c>
    </row>
    <row r="1720" spans="1:17" ht="15" customHeight="1" x14ac:dyDescent="0.3">
      <c r="A1720">
        <v>2026</v>
      </c>
      <c r="B1720" s="2">
        <v>46127</v>
      </c>
      <c r="C1720" t="s">
        <v>169</v>
      </c>
      <c r="D1720" t="s">
        <v>40</v>
      </c>
      <c r="F1720" t="s">
        <v>20</v>
      </c>
      <c r="G1720" t="s">
        <v>21</v>
      </c>
      <c r="H1720" t="s">
        <v>22</v>
      </c>
      <c r="I1720" t="s">
        <v>141</v>
      </c>
      <c r="J1720" t="s">
        <v>50</v>
      </c>
      <c r="K1720" s="3">
        <v>2320000</v>
      </c>
      <c r="L1720" t="s">
        <v>793</v>
      </c>
      <c r="M1720" t="s">
        <v>1803</v>
      </c>
      <c r="O1720" s="49">
        <v>0.18869918103448299</v>
      </c>
      <c r="P1720" s="3">
        <v>437782.10000000102</v>
      </c>
      <c r="Q1720" t="s">
        <v>1804</v>
      </c>
    </row>
    <row r="1721" spans="1:17" ht="15" customHeight="1" x14ac:dyDescent="0.3">
      <c r="A1721">
        <v>2026</v>
      </c>
      <c r="B1721" s="2">
        <v>46174</v>
      </c>
      <c r="C1721" t="s">
        <v>218</v>
      </c>
      <c r="D1721" t="s">
        <v>1868</v>
      </c>
      <c r="F1721" t="s">
        <v>20</v>
      </c>
      <c r="G1721" t="s">
        <v>21</v>
      </c>
      <c r="H1721" t="s">
        <v>22</v>
      </c>
      <c r="I1721" t="s">
        <v>141</v>
      </c>
      <c r="J1721" t="s">
        <v>50</v>
      </c>
      <c r="K1721" s="3">
        <v>2034100.57</v>
      </c>
      <c r="L1721" t="s">
        <v>793</v>
      </c>
      <c r="M1721" t="s">
        <v>1869</v>
      </c>
      <c r="O1721" s="49">
        <v>0.14012855814695499</v>
      </c>
      <c r="P1721" s="3">
        <v>285035.57999999903</v>
      </c>
      <c r="Q1721" t="s">
        <v>1870</v>
      </c>
    </row>
    <row r="1722" spans="1:17" ht="15" customHeight="1" x14ac:dyDescent="0.3">
      <c r="A1722">
        <v>2026</v>
      </c>
      <c r="B1722" s="2">
        <v>46034</v>
      </c>
      <c r="C1722" t="s">
        <v>17</v>
      </c>
      <c r="D1722" t="s">
        <v>47</v>
      </c>
      <c r="F1722" t="s">
        <v>20</v>
      </c>
      <c r="G1722" t="s">
        <v>38</v>
      </c>
      <c r="H1722" t="s">
        <v>39</v>
      </c>
      <c r="I1722" t="s">
        <v>49</v>
      </c>
      <c r="J1722" t="s">
        <v>50</v>
      </c>
      <c r="K1722" s="3">
        <v>1700000</v>
      </c>
      <c r="L1722" t="s">
        <v>793</v>
      </c>
      <c r="M1722" t="s">
        <v>1724</v>
      </c>
      <c r="O1722" s="49">
        <v>0.13090080000000001</v>
      </c>
      <c r="P1722" s="3">
        <v>222531.36</v>
      </c>
      <c r="Q1722" t="s">
        <v>1725</v>
      </c>
    </row>
    <row r="1723" spans="1:17" ht="15" customHeight="1" x14ac:dyDescent="0.3">
      <c r="A1723">
        <v>2026</v>
      </c>
      <c r="B1723" s="2">
        <v>46170</v>
      </c>
      <c r="C1723" t="s">
        <v>190</v>
      </c>
      <c r="D1723" t="s">
        <v>1003</v>
      </c>
      <c r="F1723" t="s">
        <v>20</v>
      </c>
      <c r="G1723" t="s">
        <v>38</v>
      </c>
      <c r="H1723" t="s">
        <v>147</v>
      </c>
      <c r="I1723" t="s">
        <v>306</v>
      </c>
      <c r="J1723" t="s">
        <v>50</v>
      </c>
      <c r="K1723" s="3">
        <v>1560000</v>
      </c>
      <c r="L1723" t="s">
        <v>793</v>
      </c>
      <c r="M1723" t="s">
        <v>1859</v>
      </c>
      <c r="O1723" s="49">
        <v>0.138107423076923</v>
      </c>
      <c r="P1723" s="3">
        <v>215447.58</v>
      </c>
      <c r="Q1723" t="s">
        <v>1860</v>
      </c>
    </row>
    <row r="1724" spans="1:17" ht="15" customHeight="1" x14ac:dyDescent="0.3">
      <c r="A1724">
        <v>2026</v>
      </c>
      <c r="B1724" s="2">
        <v>46034</v>
      </c>
      <c r="C1724" t="s">
        <v>17</v>
      </c>
      <c r="D1724" t="s">
        <v>1003</v>
      </c>
      <c r="F1724" t="s">
        <v>20</v>
      </c>
      <c r="G1724" t="s">
        <v>38</v>
      </c>
      <c r="H1724" t="s">
        <v>147</v>
      </c>
      <c r="I1724" t="s">
        <v>306</v>
      </c>
      <c r="J1724" t="s">
        <v>50</v>
      </c>
      <c r="K1724" s="3">
        <v>1500000</v>
      </c>
      <c r="L1724" t="s">
        <v>793</v>
      </c>
      <c r="M1724" t="s">
        <v>1726</v>
      </c>
      <c r="O1724" s="49">
        <v>0.15482209999999999</v>
      </c>
      <c r="P1724" s="3">
        <v>232233.15</v>
      </c>
      <c r="Q1724" t="s">
        <v>1727</v>
      </c>
    </row>
    <row r="1725" spans="1:17" ht="15" customHeight="1" x14ac:dyDescent="0.3">
      <c r="A1725">
        <v>2026</v>
      </c>
      <c r="B1725" s="2">
        <v>46057</v>
      </c>
      <c r="C1725" t="s">
        <v>71</v>
      </c>
      <c r="D1725" t="s">
        <v>1747</v>
      </c>
      <c r="F1725" t="s">
        <v>20</v>
      </c>
      <c r="G1725" t="s">
        <v>21</v>
      </c>
      <c r="H1725" t="s">
        <v>1730</v>
      </c>
      <c r="I1725" t="s">
        <v>306</v>
      </c>
      <c r="J1725" t="s">
        <v>123</v>
      </c>
      <c r="K1725" s="3">
        <v>1460000</v>
      </c>
      <c r="L1725" t="s">
        <v>793</v>
      </c>
      <c r="M1725" t="s">
        <v>1748</v>
      </c>
      <c r="O1725" s="49">
        <v>0.16347689726027401</v>
      </c>
      <c r="P1725" s="3">
        <v>238676.27</v>
      </c>
      <c r="Q1725" t="s">
        <v>1749</v>
      </c>
    </row>
    <row r="1726" spans="1:17" ht="15" customHeight="1" x14ac:dyDescent="0.3">
      <c r="A1726">
        <v>2026</v>
      </c>
      <c r="B1726" s="2">
        <v>46044</v>
      </c>
      <c r="C1726" t="s">
        <v>17</v>
      </c>
      <c r="D1726" t="s">
        <v>816</v>
      </c>
      <c r="F1726" t="s">
        <v>20</v>
      </c>
      <c r="G1726" t="s">
        <v>107</v>
      </c>
      <c r="H1726" t="s">
        <v>1733</v>
      </c>
      <c r="I1726" t="s">
        <v>109</v>
      </c>
      <c r="J1726" t="s">
        <v>50</v>
      </c>
      <c r="K1726" s="3">
        <v>718498.3</v>
      </c>
      <c r="L1726" t="s">
        <v>793</v>
      </c>
      <c r="M1726" t="s">
        <v>1734</v>
      </c>
      <c r="O1726" s="49">
        <v>0.19456890851377101</v>
      </c>
      <c r="P1726" s="3">
        <v>139797.43</v>
      </c>
      <c r="Q1726" t="s">
        <v>1735</v>
      </c>
    </row>
    <row r="1727" spans="1:17" ht="15" customHeight="1" x14ac:dyDescent="0.3">
      <c r="A1727">
        <v>2026</v>
      </c>
      <c r="B1727" s="2">
        <v>46149</v>
      </c>
      <c r="C1727" t="s">
        <v>190</v>
      </c>
      <c r="D1727" t="s">
        <v>462</v>
      </c>
      <c r="F1727" t="s">
        <v>20</v>
      </c>
      <c r="G1727" t="s">
        <v>21</v>
      </c>
      <c r="H1727" t="s">
        <v>22</v>
      </c>
      <c r="I1727" t="s">
        <v>23</v>
      </c>
      <c r="J1727" t="s">
        <v>123</v>
      </c>
      <c r="K1727" s="3">
        <v>715885.05</v>
      </c>
      <c r="L1727" t="s">
        <v>793</v>
      </c>
      <c r="M1727" t="s">
        <v>1827</v>
      </c>
      <c r="O1727" s="49">
        <v>0.132662764783257</v>
      </c>
      <c r="P1727" s="3">
        <v>94971.290000000197</v>
      </c>
      <c r="Q1727" t="s">
        <v>1828</v>
      </c>
    </row>
    <row r="1728" spans="1:17" ht="15" customHeight="1" x14ac:dyDescent="0.3">
      <c r="A1728">
        <v>2026</v>
      </c>
      <c r="B1728" s="2">
        <v>46059</v>
      </c>
      <c r="C1728" t="s">
        <v>71</v>
      </c>
      <c r="D1728" t="s">
        <v>1737</v>
      </c>
      <c r="F1728" t="s">
        <v>20</v>
      </c>
      <c r="G1728" t="s">
        <v>38</v>
      </c>
      <c r="H1728" t="s">
        <v>1752</v>
      </c>
      <c r="I1728" t="s">
        <v>306</v>
      </c>
      <c r="J1728" t="s">
        <v>123</v>
      </c>
      <c r="K1728" s="3">
        <v>552380.14</v>
      </c>
      <c r="L1728" t="s">
        <v>793</v>
      </c>
      <c r="M1728" t="s">
        <v>1753</v>
      </c>
      <c r="O1728" s="49">
        <v>0.15389215477587601</v>
      </c>
      <c r="P1728" s="3">
        <v>85006.970000000103</v>
      </c>
      <c r="Q1728" t="s">
        <v>1754</v>
      </c>
    </row>
    <row r="1729" spans="1:17" ht="15" customHeight="1" x14ac:dyDescent="0.3">
      <c r="A1729">
        <v>2026</v>
      </c>
      <c r="B1729" s="2">
        <v>46069</v>
      </c>
      <c r="C1729" t="s">
        <v>71</v>
      </c>
      <c r="D1729" t="s">
        <v>36</v>
      </c>
      <c r="F1729" t="s">
        <v>20</v>
      </c>
      <c r="G1729" t="s">
        <v>38</v>
      </c>
      <c r="H1729" t="s">
        <v>1738</v>
      </c>
      <c r="I1729" t="s">
        <v>23</v>
      </c>
      <c r="J1729" t="s">
        <v>50</v>
      </c>
      <c r="K1729" s="3">
        <v>497385.27</v>
      </c>
      <c r="L1729" t="s">
        <v>793</v>
      </c>
      <c r="M1729" t="s">
        <v>1761</v>
      </c>
      <c r="O1729" s="49">
        <v>0.15096729744328799</v>
      </c>
      <c r="P1729" s="3">
        <v>75088.910000000105</v>
      </c>
      <c r="Q1729" t="s">
        <v>1762</v>
      </c>
    </row>
    <row r="1730" spans="1:17" ht="15" customHeight="1" x14ac:dyDescent="0.3">
      <c r="A1730">
        <v>2026</v>
      </c>
      <c r="B1730" s="2">
        <v>46120</v>
      </c>
      <c r="C1730" t="s">
        <v>169</v>
      </c>
      <c r="D1730" t="s">
        <v>1794</v>
      </c>
      <c r="F1730" t="s">
        <v>20</v>
      </c>
      <c r="G1730" t="s">
        <v>21</v>
      </c>
      <c r="H1730" t="s">
        <v>108</v>
      </c>
      <c r="I1730" t="s">
        <v>23</v>
      </c>
      <c r="J1730" t="s">
        <v>123</v>
      </c>
      <c r="K1730" s="3">
        <v>455000</v>
      </c>
      <c r="L1730" t="s">
        <v>793</v>
      </c>
      <c r="M1730" t="s">
        <v>1795</v>
      </c>
      <c r="O1730" s="49">
        <v>0.14243421978022</v>
      </c>
      <c r="P1730" s="3">
        <v>64807.570000000102</v>
      </c>
      <c r="Q1730" t="s">
        <v>1796</v>
      </c>
    </row>
    <row r="1731" spans="1:17" ht="15" customHeight="1" x14ac:dyDescent="0.3">
      <c r="A1731">
        <v>2026</v>
      </c>
      <c r="B1731" s="2">
        <v>46120</v>
      </c>
      <c r="C1731" t="s">
        <v>169</v>
      </c>
      <c r="D1731" t="s">
        <v>69</v>
      </c>
      <c r="F1731" t="s">
        <v>20</v>
      </c>
      <c r="G1731" t="s">
        <v>21</v>
      </c>
      <c r="H1731" t="s">
        <v>22</v>
      </c>
      <c r="I1731" t="s">
        <v>23</v>
      </c>
      <c r="J1731" t="s">
        <v>123</v>
      </c>
      <c r="K1731" s="3">
        <v>394694.81</v>
      </c>
      <c r="L1731" t="s">
        <v>793</v>
      </c>
      <c r="M1731" t="s">
        <v>1799</v>
      </c>
      <c r="O1731" s="49">
        <v>0.15161293861452099</v>
      </c>
      <c r="P1731" s="3">
        <v>59840.84</v>
      </c>
      <c r="Q1731" t="s">
        <v>1800</v>
      </c>
    </row>
    <row r="1732" spans="1:17" ht="15" customHeight="1" x14ac:dyDescent="0.3">
      <c r="A1732">
        <v>2026</v>
      </c>
      <c r="B1732" s="2">
        <v>46134</v>
      </c>
      <c r="C1732" t="s">
        <v>169</v>
      </c>
      <c r="D1732" t="s">
        <v>364</v>
      </c>
      <c r="F1732" t="s">
        <v>20</v>
      </c>
      <c r="G1732" t="s">
        <v>21</v>
      </c>
      <c r="H1732" t="s">
        <v>101</v>
      </c>
      <c r="I1732" t="s">
        <v>141</v>
      </c>
      <c r="J1732" t="s">
        <v>50</v>
      </c>
      <c r="K1732" s="3">
        <v>392255.23</v>
      </c>
      <c r="L1732" t="s">
        <v>793</v>
      </c>
      <c r="M1732" t="s">
        <v>1805</v>
      </c>
      <c r="O1732" s="49">
        <v>0.139358779231573</v>
      </c>
      <c r="P1732" s="3">
        <v>54664.209999999897</v>
      </c>
      <c r="Q1732" t="s">
        <v>1806</v>
      </c>
    </row>
    <row r="1733" spans="1:17" ht="15" customHeight="1" x14ac:dyDescent="0.3">
      <c r="A1733">
        <v>2026</v>
      </c>
      <c r="B1733" s="2">
        <v>46169</v>
      </c>
      <c r="C1733" t="s">
        <v>190</v>
      </c>
      <c r="D1733" t="s">
        <v>844</v>
      </c>
      <c r="F1733" t="s">
        <v>20</v>
      </c>
      <c r="G1733" t="s">
        <v>107</v>
      </c>
      <c r="H1733" t="s">
        <v>108</v>
      </c>
      <c r="I1733" t="s">
        <v>23</v>
      </c>
      <c r="J1733" t="s">
        <v>50</v>
      </c>
      <c r="K1733" s="3">
        <v>379901.83</v>
      </c>
      <c r="L1733" t="s">
        <v>793</v>
      </c>
      <c r="M1733" t="s">
        <v>1857</v>
      </c>
      <c r="O1733" s="49">
        <v>0.153824423535944</v>
      </c>
      <c r="P1733" s="3">
        <v>58438.180000000197</v>
      </c>
      <c r="Q1733" t="s">
        <v>1858</v>
      </c>
    </row>
    <row r="1734" spans="1:17" ht="15" customHeight="1" x14ac:dyDescent="0.3">
      <c r="A1734">
        <v>2026</v>
      </c>
      <c r="B1734" s="2">
        <v>46056</v>
      </c>
      <c r="C1734" t="s">
        <v>71</v>
      </c>
      <c r="D1734" t="s">
        <v>47</v>
      </c>
      <c r="F1734" t="s">
        <v>20</v>
      </c>
      <c r="G1734" t="s">
        <v>38</v>
      </c>
      <c r="H1734" t="s">
        <v>1738</v>
      </c>
      <c r="I1734" t="s">
        <v>306</v>
      </c>
      <c r="J1734" t="s">
        <v>123</v>
      </c>
      <c r="K1734" s="3">
        <v>352587.8</v>
      </c>
      <c r="L1734" t="s">
        <v>793</v>
      </c>
      <c r="M1734" t="s">
        <v>1741</v>
      </c>
      <c r="O1734" s="49">
        <v>0.167884453177336</v>
      </c>
      <c r="P1734" s="3">
        <v>59194.0099999999</v>
      </c>
      <c r="Q1734" t="s">
        <v>1742</v>
      </c>
    </row>
    <row r="1735" spans="1:17" ht="15" customHeight="1" x14ac:dyDescent="0.3">
      <c r="A1735">
        <v>2026</v>
      </c>
      <c r="B1735" s="2">
        <v>46035</v>
      </c>
      <c r="C1735" t="s">
        <v>17</v>
      </c>
      <c r="D1735" t="s">
        <v>679</v>
      </c>
      <c r="F1735" t="s">
        <v>20</v>
      </c>
      <c r="G1735" t="s">
        <v>107</v>
      </c>
      <c r="H1735" t="s">
        <v>522</v>
      </c>
      <c r="I1735" t="s">
        <v>109</v>
      </c>
      <c r="J1735" t="s">
        <v>123</v>
      </c>
      <c r="K1735" s="3">
        <v>227719.49</v>
      </c>
      <c r="L1735" t="s">
        <v>793</v>
      </c>
      <c r="M1735" t="s">
        <v>1728</v>
      </c>
      <c r="O1735" s="49">
        <v>0.138921705823248</v>
      </c>
      <c r="P1735" s="3">
        <v>31635.180000000099</v>
      </c>
      <c r="Q1735" t="s">
        <v>1729</v>
      </c>
    </row>
    <row r="1736" spans="1:17" ht="15" customHeight="1" x14ac:dyDescent="0.3">
      <c r="A1736">
        <v>2026</v>
      </c>
      <c r="B1736" s="2">
        <v>46162</v>
      </c>
      <c r="C1736" t="s">
        <v>190</v>
      </c>
      <c r="D1736" t="s">
        <v>364</v>
      </c>
      <c r="F1736" t="s">
        <v>20</v>
      </c>
      <c r="G1736" t="s">
        <v>21</v>
      </c>
      <c r="H1736" t="s">
        <v>101</v>
      </c>
      <c r="I1736" t="s">
        <v>23</v>
      </c>
      <c r="J1736" t="s">
        <v>110</v>
      </c>
      <c r="K1736" s="3">
        <v>221756.97</v>
      </c>
      <c r="L1736" t="s">
        <v>793</v>
      </c>
      <c r="M1736" t="s">
        <v>1849</v>
      </c>
      <c r="O1736" s="49">
        <v>0.11897181856335801</v>
      </c>
      <c r="P1736" s="3">
        <v>26382.83</v>
      </c>
      <c r="Q1736" t="s">
        <v>1850</v>
      </c>
    </row>
    <row r="1737" spans="1:17" ht="15" customHeight="1" x14ac:dyDescent="0.3">
      <c r="A1737">
        <v>2026</v>
      </c>
      <c r="B1737" s="2">
        <v>46105</v>
      </c>
      <c r="C1737" t="s">
        <v>137</v>
      </c>
      <c r="D1737" t="s">
        <v>566</v>
      </c>
      <c r="F1737" t="s">
        <v>20</v>
      </c>
      <c r="G1737" t="s">
        <v>38</v>
      </c>
      <c r="H1737" t="s">
        <v>89</v>
      </c>
      <c r="I1737" t="s">
        <v>23</v>
      </c>
      <c r="J1737" t="s">
        <v>123</v>
      </c>
      <c r="K1737" s="3">
        <v>216754.9</v>
      </c>
      <c r="L1737" t="s">
        <v>793</v>
      </c>
      <c r="M1737" t="s">
        <v>1778</v>
      </c>
      <c r="O1737" s="49">
        <v>0.19515784879603601</v>
      </c>
      <c r="P1737" s="3">
        <v>42301.419999999896</v>
      </c>
      <c r="Q1737" t="s">
        <v>1779</v>
      </c>
    </row>
    <row r="1738" spans="1:17" ht="15" customHeight="1" x14ac:dyDescent="0.3">
      <c r="A1738">
        <v>2026</v>
      </c>
      <c r="B1738" s="2">
        <v>46041</v>
      </c>
      <c r="C1738" t="s">
        <v>17</v>
      </c>
      <c r="D1738" t="s">
        <v>1655</v>
      </c>
      <c r="F1738" t="s">
        <v>20</v>
      </c>
      <c r="G1738" t="s">
        <v>21</v>
      </c>
      <c r="H1738" t="s">
        <v>1730</v>
      </c>
      <c r="I1738" t="s">
        <v>306</v>
      </c>
      <c r="J1738" t="s">
        <v>24</v>
      </c>
      <c r="K1738" s="3">
        <v>215000</v>
      </c>
      <c r="L1738" t="s">
        <v>825</v>
      </c>
      <c r="M1738" t="s">
        <v>1731</v>
      </c>
      <c r="O1738" s="49">
        <v>0.15</v>
      </c>
      <c r="P1738" s="3">
        <v>32250</v>
      </c>
      <c r="Q1738" t="s">
        <v>1657</v>
      </c>
    </row>
    <row r="1739" spans="1:17" ht="15" customHeight="1" x14ac:dyDescent="0.3">
      <c r="A1739">
        <v>2026</v>
      </c>
      <c r="B1739" s="2">
        <v>46182</v>
      </c>
      <c r="C1739" t="s">
        <v>218</v>
      </c>
      <c r="D1739" t="s">
        <v>30</v>
      </c>
      <c r="F1739" t="s">
        <v>20</v>
      </c>
      <c r="G1739" t="s">
        <v>21</v>
      </c>
      <c r="H1739" t="s">
        <v>1730</v>
      </c>
      <c r="I1739" t="s">
        <v>141</v>
      </c>
      <c r="J1739" t="s">
        <v>50</v>
      </c>
      <c r="K1739" s="3">
        <v>211139.96</v>
      </c>
      <c r="L1739" t="s">
        <v>793</v>
      </c>
      <c r="M1739" t="s">
        <v>1890</v>
      </c>
      <c r="O1739" s="49">
        <v>0.22691071836899099</v>
      </c>
      <c r="P1739" s="3">
        <v>47909.919999999998</v>
      </c>
      <c r="Q1739" t="s">
        <v>1891</v>
      </c>
    </row>
    <row r="1740" spans="1:17" ht="15" customHeight="1" x14ac:dyDescent="0.3">
      <c r="A1740">
        <v>2026</v>
      </c>
      <c r="B1740" s="2">
        <v>46120</v>
      </c>
      <c r="C1740" t="s">
        <v>169</v>
      </c>
      <c r="D1740" t="s">
        <v>1797</v>
      </c>
      <c r="F1740" t="s">
        <v>20</v>
      </c>
      <c r="G1740" t="s">
        <v>21</v>
      </c>
      <c r="H1740" t="s">
        <v>108</v>
      </c>
      <c r="I1740" t="s">
        <v>141</v>
      </c>
      <c r="J1740" t="s">
        <v>123</v>
      </c>
      <c r="K1740" s="3">
        <v>206089.67</v>
      </c>
      <c r="L1740" t="s">
        <v>793</v>
      </c>
      <c r="M1740" t="s">
        <v>1798</v>
      </c>
      <c r="O1740" s="49">
        <v>0.371982108564684</v>
      </c>
      <c r="P1740" s="3">
        <v>76661.669999999896</v>
      </c>
      <c r="Q1740" t="s">
        <v>293</v>
      </c>
    </row>
    <row r="1741" spans="1:17" ht="15" customHeight="1" x14ac:dyDescent="0.3">
      <c r="A1741">
        <v>2026</v>
      </c>
      <c r="B1741" s="2">
        <v>46056</v>
      </c>
      <c r="C1741" t="s">
        <v>71</v>
      </c>
      <c r="D1741" t="s">
        <v>1743</v>
      </c>
      <c r="F1741" t="s">
        <v>20</v>
      </c>
      <c r="G1741" t="s">
        <v>38</v>
      </c>
      <c r="H1741" t="s">
        <v>1738</v>
      </c>
      <c r="I1741" t="s">
        <v>23</v>
      </c>
      <c r="J1741" t="s">
        <v>50</v>
      </c>
      <c r="K1741" s="3">
        <v>203678.39</v>
      </c>
      <c r="L1741" t="s">
        <v>793</v>
      </c>
      <c r="M1741" t="s">
        <v>1744</v>
      </c>
      <c r="O1741" s="49">
        <v>0.21300256742995699</v>
      </c>
      <c r="P1741" s="3">
        <v>43384.020000000099</v>
      </c>
      <c r="Q1741" t="s">
        <v>1745</v>
      </c>
    </row>
    <row r="1742" spans="1:17" ht="15" customHeight="1" x14ac:dyDescent="0.3">
      <c r="A1742">
        <v>2026</v>
      </c>
      <c r="B1742" s="2">
        <v>46182</v>
      </c>
      <c r="C1742" t="s">
        <v>218</v>
      </c>
      <c r="D1742" t="s">
        <v>30</v>
      </c>
      <c r="F1742" t="s">
        <v>20</v>
      </c>
      <c r="G1742" t="s">
        <v>21</v>
      </c>
      <c r="H1742" t="s">
        <v>1730</v>
      </c>
      <c r="I1742" t="s">
        <v>141</v>
      </c>
      <c r="J1742" t="s">
        <v>50</v>
      </c>
      <c r="K1742" s="3">
        <v>184026.23999999999</v>
      </c>
      <c r="L1742" t="s">
        <v>793</v>
      </c>
      <c r="M1742" t="s">
        <v>1892</v>
      </c>
      <c r="O1742" s="49">
        <v>0.211689322131453</v>
      </c>
      <c r="P1742" s="3">
        <v>38956.390000000101</v>
      </c>
      <c r="Q1742" t="s">
        <v>1893</v>
      </c>
    </row>
    <row r="1743" spans="1:17" ht="15" customHeight="1" x14ac:dyDescent="0.3">
      <c r="A1743">
        <v>2026</v>
      </c>
      <c r="B1743" s="2">
        <v>46119</v>
      </c>
      <c r="C1743" t="s">
        <v>169</v>
      </c>
      <c r="D1743" t="s">
        <v>103</v>
      </c>
      <c r="F1743" t="s">
        <v>20</v>
      </c>
      <c r="G1743" t="s">
        <v>38</v>
      </c>
      <c r="H1743" t="s">
        <v>147</v>
      </c>
      <c r="I1743" t="s">
        <v>306</v>
      </c>
      <c r="J1743" t="s">
        <v>50</v>
      </c>
      <c r="K1743" s="3">
        <v>169653.6</v>
      </c>
      <c r="L1743" t="s">
        <v>825</v>
      </c>
      <c r="M1743" t="s">
        <v>1792</v>
      </c>
      <c r="O1743" s="49">
        <v>0.16287588356509999</v>
      </c>
      <c r="P1743" s="3">
        <v>27632.480000000101</v>
      </c>
      <c r="Q1743" t="s">
        <v>1793</v>
      </c>
    </row>
    <row r="1744" spans="1:17" ht="15" customHeight="1" x14ac:dyDescent="0.3">
      <c r="A1744">
        <v>2026</v>
      </c>
      <c r="B1744" s="2">
        <v>46078</v>
      </c>
      <c r="C1744" t="s">
        <v>71</v>
      </c>
      <c r="D1744" t="s">
        <v>1658</v>
      </c>
      <c r="E1744" t="s">
        <v>1695</v>
      </c>
      <c r="F1744" t="s">
        <v>20</v>
      </c>
      <c r="G1744" t="s">
        <v>21</v>
      </c>
      <c r="H1744" t="s">
        <v>1730</v>
      </c>
      <c r="I1744" t="s">
        <v>306</v>
      </c>
      <c r="J1744" t="s">
        <v>50</v>
      </c>
      <c r="K1744" s="3">
        <v>118131.56</v>
      </c>
      <c r="L1744" t="s">
        <v>825</v>
      </c>
      <c r="M1744" t="s">
        <v>1774</v>
      </c>
      <c r="O1744" s="49">
        <v>0.15</v>
      </c>
      <c r="P1744" s="3">
        <v>17719.734</v>
      </c>
      <c r="Q1744" t="s">
        <v>1775</v>
      </c>
    </row>
    <row r="1745" spans="1:17" ht="15" customHeight="1" x14ac:dyDescent="0.3">
      <c r="A1745">
        <v>2026</v>
      </c>
      <c r="B1745" s="2">
        <v>46120</v>
      </c>
      <c r="C1745" t="s">
        <v>169</v>
      </c>
      <c r="D1745" t="s">
        <v>1801</v>
      </c>
      <c r="F1745" t="s">
        <v>20</v>
      </c>
      <c r="G1745" t="s">
        <v>21</v>
      </c>
      <c r="H1745" t="s">
        <v>22</v>
      </c>
      <c r="I1745" t="s">
        <v>23</v>
      </c>
      <c r="J1745" t="s">
        <v>110</v>
      </c>
      <c r="K1745" s="3">
        <v>110710</v>
      </c>
      <c r="L1745" t="s">
        <v>793</v>
      </c>
      <c r="M1745" t="s">
        <v>1802</v>
      </c>
      <c r="O1745" s="49">
        <v>0.14169352362026899</v>
      </c>
      <c r="P1745" s="3">
        <v>15686.89</v>
      </c>
      <c r="Q1745" t="s">
        <v>1214</v>
      </c>
    </row>
    <row r="1746" spans="1:17" ht="15" customHeight="1" x14ac:dyDescent="0.3">
      <c r="A1746">
        <v>2026</v>
      </c>
      <c r="B1746" s="2">
        <v>46112</v>
      </c>
      <c r="C1746" t="s">
        <v>137</v>
      </c>
      <c r="D1746" t="s">
        <v>61</v>
      </c>
      <c r="F1746" t="s">
        <v>20</v>
      </c>
      <c r="G1746" t="s">
        <v>21</v>
      </c>
      <c r="H1746" t="s">
        <v>22</v>
      </c>
      <c r="I1746" t="s">
        <v>23</v>
      </c>
      <c r="J1746" t="s">
        <v>50</v>
      </c>
      <c r="K1746" s="3">
        <v>105000</v>
      </c>
      <c r="L1746" t="s">
        <v>793</v>
      </c>
      <c r="M1746" t="s">
        <v>1790</v>
      </c>
      <c r="O1746" s="49">
        <v>0.17915180952380999</v>
      </c>
      <c r="P1746" s="3">
        <v>18810.940000000101</v>
      </c>
      <c r="Q1746" t="s">
        <v>1791</v>
      </c>
    </row>
    <row r="1747" spans="1:17" ht="15" customHeight="1" x14ac:dyDescent="0.3">
      <c r="A1747">
        <v>2026</v>
      </c>
      <c r="B1747" s="2">
        <v>46157</v>
      </c>
      <c r="C1747" t="s">
        <v>190</v>
      </c>
      <c r="D1747" t="s">
        <v>61</v>
      </c>
      <c r="F1747" t="s">
        <v>20</v>
      </c>
      <c r="G1747" t="s">
        <v>21</v>
      </c>
      <c r="H1747" t="s">
        <v>22</v>
      </c>
      <c r="I1747" t="s">
        <v>23</v>
      </c>
      <c r="J1747" t="s">
        <v>24</v>
      </c>
      <c r="K1747" s="3">
        <v>103585.21</v>
      </c>
      <c r="L1747" t="s">
        <v>793</v>
      </c>
      <c r="M1747" t="s">
        <v>1841</v>
      </c>
      <c r="O1747" s="49">
        <v>0.17000004151171799</v>
      </c>
      <c r="P1747" s="3">
        <v>17609.490000000002</v>
      </c>
      <c r="Q1747" t="s">
        <v>1791</v>
      </c>
    </row>
    <row r="1748" spans="1:17" ht="15" customHeight="1" x14ac:dyDescent="0.3">
      <c r="A1748">
        <v>2026</v>
      </c>
      <c r="B1748" s="2">
        <v>46139</v>
      </c>
      <c r="C1748" t="s">
        <v>169</v>
      </c>
      <c r="D1748" t="s">
        <v>1809</v>
      </c>
      <c r="F1748" t="s">
        <v>20</v>
      </c>
      <c r="G1748" t="s">
        <v>107</v>
      </c>
      <c r="H1748" t="s">
        <v>108</v>
      </c>
      <c r="I1748" t="s">
        <v>23</v>
      </c>
      <c r="J1748" t="s">
        <v>110</v>
      </c>
      <c r="K1748" s="3">
        <v>101933.16</v>
      </c>
      <c r="L1748" t="s">
        <v>793</v>
      </c>
      <c r="M1748" t="s">
        <v>1810</v>
      </c>
      <c r="O1748" s="49">
        <v>0.20033363039073801</v>
      </c>
      <c r="P1748" s="3">
        <v>20420.64</v>
      </c>
      <c r="Q1748" t="s">
        <v>1811</v>
      </c>
    </row>
    <row r="1749" spans="1:17" ht="15" customHeight="1" x14ac:dyDescent="0.3">
      <c r="A1749">
        <v>2026</v>
      </c>
      <c r="B1749" s="2">
        <v>46157</v>
      </c>
      <c r="C1749" t="s">
        <v>190</v>
      </c>
      <c r="D1749" t="s">
        <v>1642</v>
      </c>
      <c r="F1749" t="s">
        <v>20</v>
      </c>
      <c r="G1749" t="s">
        <v>38</v>
      </c>
      <c r="H1749" t="s">
        <v>619</v>
      </c>
      <c r="I1749" t="s">
        <v>23</v>
      </c>
      <c r="J1749" t="s">
        <v>123</v>
      </c>
      <c r="K1749" s="3">
        <v>100000</v>
      </c>
      <c r="L1749" t="s">
        <v>793</v>
      </c>
      <c r="M1749" t="s">
        <v>1839</v>
      </c>
      <c r="O1749" s="49">
        <v>0.2</v>
      </c>
      <c r="P1749" s="3">
        <v>20000</v>
      </c>
      <c r="Q1749" t="s">
        <v>1840</v>
      </c>
    </row>
    <row r="1750" spans="1:17" ht="15" customHeight="1" x14ac:dyDescent="0.3">
      <c r="A1750">
        <v>2026</v>
      </c>
      <c r="B1750" s="2">
        <v>46078</v>
      </c>
      <c r="C1750" t="s">
        <v>71</v>
      </c>
      <c r="D1750" t="s">
        <v>1618</v>
      </c>
      <c r="F1750" t="s">
        <v>20</v>
      </c>
      <c r="G1750" t="s">
        <v>38</v>
      </c>
      <c r="H1750" t="s">
        <v>1752</v>
      </c>
      <c r="I1750" t="s">
        <v>23</v>
      </c>
      <c r="J1750" t="s">
        <v>110</v>
      </c>
      <c r="K1750" s="3">
        <v>97846.74</v>
      </c>
      <c r="L1750" t="s">
        <v>825</v>
      </c>
      <c r="M1750" t="s">
        <v>1770</v>
      </c>
      <c r="O1750" s="49">
        <v>0.15</v>
      </c>
      <c r="P1750" s="3">
        <v>14677.011</v>
      </c>
      <c r="Q1750" t="s">
        <v>1771</v>
      </c>
    </row>
    <row r="1751" spans="1:17" ht="15" customHeight="1" x14ac:dyDescent="0.3">
      <c r="A1751">
        <v>2026</v>
      </c>
      <c r="B1751" s="2">
        <v>46155</v>
      </c>
      <c r="C1751" t="s">
        <v>190</v>
      </c>
      <c r="D1751" t="s">
        <v>1003</v>
      </c>
      <c r="F1751" t="s">
        <v>20</v>
      </c>
      <c r="G1751" t="s">
        <v>38</v>
      </c>
      <c r="H1751" t="s">
        <v>147</v>
      </c>
      <c r="I1751" t="s">
        <v>306</v>
      </c>
      <c r="J1751" t="s">
        <v>24</v>
      </c>
      <c r="K1751" s="3">
        <v>97000</v>
      </c>
      <c r="L1751" t="s">
        <v>825</v>
      </c>
      <c r="M1751" t="s">
        <v>1833</v>
      </c>
      <c r="O1751" s="49">
        <v>0.19</v>
      </c>
      <c r="P1751" s="3">
        <v>18430</v>
      </c>
      <c r="Q1751" t="s">
        <v>1834</v>
      </c>
    </row>
    <row r="1752" spans="1:17" ht="15" customHeight="1" x14ac:dyDescent="0.3">
      <c r="A1752">
        <v>2026</v>
      </c>
      <c r="B1752" s="2">
        <v>46155</v>
      </c>
      <c r="C1752" t="s">
        <v>190</v>
      </c>
      <c r="D1752" t="s">
        <v>1622</v>
      </c>
      <c r="F1752" t="s">
        <v>20</v>
      </c>
      <c r="G1752" t="s">
        <v>38</v>
      </c>
      <c r="H1752" t="s">
        <v>39</v>
      </c>
      <c r="I1752" t="s">
        <v>306</v>
      </c>
      <c r="J1752" t="s">
        <v>24</v>
      </c>
      <c r="K1752" s="3">
        <v>80000.05</v>
      </c>
      <c r="L1752" t="s">
        <v>825</v>
      </c>
      <c r="M1752" t="s">
        <v>1835</v>
      </c>
      <c r="O1752" s="49">
        <v>0.17151714280178601</v>
      </c>
      <c r="P1752" s="3">
        <v>13721.38</v>
      </c>
      <c r="Q1752" t="s">
        <v>1836</v>
      </c>
    </row>
    <row r="1753" spans="1:17" ht="15" customHeight="1" x14ac:dyDescent="0.3">
      <c r="A1753">
        <v>2026</v>
      </c>
      <c r="B1753" s="2">
        <v>46170</v>
      </c>
      <c r="C1753" t="s">
        <v>190</v>
      </c>
      <c r="D1753" t="s">
        <v>1861</v>
      </c>
      <c r="F1753" t="s">
        <v>20</v>
      </c>
      <c r="G1753" t="s">
        <v>38</v>
      </c>
      <c r="H1753" t="s">
        <v>147</v>
      </c>
      <c r="I1753" t="s">
        <v>23</v>
      </c>
      <c r="J1753" t="s">
        <v>110</v>
      </c>
      <c r="K1753" s="3">
        <v>69630.789999999994</v>
      </c>
      <c r="L1753" t="s">
        <v>793</v>
      </c>
      <c r="M1753" t="s">
        <v>1864</v>
      </c>
      <c r="O1753" s="49">
        <v>0.17076324999328599</v>
      </c>
      <c r="P1753" s="3">
        <v>11890.38</v>
      </c>
      <c r="Q1753" t="s">
        <v>1865</v>
      </c>
    </row>
    <row r="1754" spans="1:17" ht="15" customHeight="1" x14ac:dyDescent="0.3">
      <c r="A1754">
        <v>2026</v>
      </c>
      <c r="B1754" s="2">
        <v>46112</v>
      </c>
      <c r="C1754" t="s">
        <v>137</v>
      </c>
      <c r="D1754" t="s">
        <v>832</v>
      </c>
      <c r="F1754" t="s">
        <v>20</v>
      </c>
      <c r="G1754" t="s">
        <v>38</v>
      </c>
      <c r="H1754" t="s">
        <v>39</v>
      </c>
      <c r="I1754" t="s">
        <v>23</v>
      </c>
      <c r="J1754" t="s">
        <v>123</v>
      </c>
      <c r="K1754" s="3">
        <v>68825.16</v>
      </c>
      <c r="L1754" t="s">
        <v>793</v>
      </c>
      <c r="M1754" t="s">
        <v>1788</v>
      </c>
      <c r="O1754" s="49">
        <v>0.14175949609125499</v>
      </c>
      <c r="P1754" s="3">
        <v>9756.6200000000008</v>
      </c>
      <c r="Q1754" t="s">
        <v>1789</v>
      </c>
    </row>
    <row r="1755" spans="1:17" ht="15" customHeight="1" x14ac:dyDescent="0.3">
      <c r="A1755">
        <v>2026</v>
      </c>
      <c r="B1755" s="2">
        <v>46182</v>
      </c>
      <c r="C1755" t="s">
        <v>218</v>
      </c>
      <c r="D1755" t="s">
        <v>30</v>
      </c>
      <c r="F1755" t="s">
        <v>20</v>
      </c>
      <c r="G1755" t="s">
        <v>21</v>
      </c>
      <c r="H1755" t="s">
        <v>1730</v>
      </c>
      <c r="I1755" t="s">
        <v>141</v>
      </c>
      <c r="J1755" t="s">
        <v>50</v>
      </c>
      <c r="K1755" s="3">
        <v>64950.84</v>
      </c>
      <c r="L1755" t="s">
        <v>793</v>
      </c>
      <c r="M1755" t="s">
        <v>1894</v>
      </c>
      <c r="O1755" s="49">
        <v>8.1682392406318402E-2</v>
      </c>
      <c r="P1755" s="3">
        <v>5305.34</v>
      </c>
      <c r="Q1755" t="s">
        <v>1895</v>
      </c>
    </row>
    <row r="1756" spans="1:17" ht="15" customHeight="1" x14ac:dyDescent="0.3">
      <c r="A1756">
        <v>2026</v>
      </c>
      <c r="B1756" s="2">
        <v>46078</v>
      </c>
      <c r="C1756" t="s">
        <v>71</v>
      </c>
      <c r="D1756" t="s">
        <v>1767</v>
      </c>
      <c r="F1756" t="s">
        <v>20</v>
      </c>
      <c r="G1756" t="s">
        <v>21</v>
      </c>
      <c r="H1756" t="s">
        <v>1730</v>
      </c>
      <c r="I1756" t="s">
        <v>23</v>
      </c>
      <c r="J1756" t="s">
        <v>123</v>
      </c>
      <c r="K1756" s="3">
        <v>61715.57</v>
      </c>
      <c r="L1756" t="s">
        <v>793</v>
      </c>
      <c r="M1756" t="s">
        <v>1768</v>
      </c>
      <c r="O1756" s="49">
        <v>0.16841860165919201</v>
      </c>
      <c r="P1756" s="3">
        <v>10394.049999999999</v>
      </c>
      <c r="Q1756" t="s">
        <v>1769</v>
      </c>
    </row>
    <row r="1757" spans="1:17" ht="15" customHeight="1" x14ac:dyDescent="0.3">
      <c r="A1757">
        <v>2026</v>
      </c>
      <c r="B1757" s="2">
        <v>46140</v>
      </c>
      <c r="C1757" t="s">
        <v>169</v>
      </c>
      <c r="D1757" t="s">
        <v>1658</v>
      </c>
      <c r="F1757" t="s">
        <v>20</v>
      </c>
      <c r="G1757" t="s">
        <v>21</v>
      </c>
      <c r="H1757" t="s">
        <v>22</v>
      </c>
      <c r="I1757" t="s">
        <v>306</v>
      </c>
      <c r="J1757" t="s">
        <v>50</v>
      </c>
      <c r="K1757" s="3">
        <v>56577.26</v>
      </c>
      <c r="L1757" t="s">
        <v>825</v>
      </c>
      <c r="M1757" t="s">
        <v>1812</v>
      </c>
      <c r="O1757" s="49">
        <v>0.18394068571012501</v>
      </c>
      <c r="P1757" s="3">
        <v>10406.86</v>
      </c>
      <c r="Q1757" t="s">
        <v>1813</v>
      </c>
    </row>
    <row r="1758" spans="1:17" ht="15" customHeight="1" x14ac:dyDescent="0.3">
      <c r="A1758">
        <v>2026</v>
      </c>
      <c r="B1758" s="2">
        <v>46107</v>
      </c>
      <c r="C1758" t="s">
        <v>137</v>
      </c>
      <c r="D1758" t="s">
        <v>1655</v>
      </c>
      <c r="F1758" t="s">
        <v>20</v>
      </c>
      <c r="G1758" t="s">
        <v>21</v>
      </c>
      <c r="H1758" t="s">
        <v>22</v>
      </c>
      <c r="I1758" t="s">
        <v>306</v>
      </c>
      <c r="J1758" t="s">
        <v>110</v>
      </c>
      <c r="K1758" s="3">
        <v>54100</v>
      </c>
      <c r="L1758" t="s">
        <v>825</v>
      </c>
      <c r="M1758" t="s">
        <v>1780</v>
      </c>
      <c r="O1758" s="49">
        <v>0.201537153419593</v>
      </c>
      <c r="P1758" s="3">
        <v>10903.16</v>
      </c>
      <c r="Q1758" t="s">
        <v>1781</v>
      </c>
    </row>
    <row r="1759" spans="1:17" ht="15" customHeight="1" x14ac:dyDescent="0.3">
      <c r="A1759">
        <v>2026</v>
      </c>
      <c r="B1759" s="2">
        <v>46078</v>
      </c>
      <c r="C1759" t="s">
        <v>71</v>
      </c>
      <c r="D1759" t="s">
        <v>1658</v>
      </c>
      <c r="E1759" t="s">
        <v>1695</v>
      </c>
      <c r="F1759" t="s">
        <v>20</v>
      </c>
      <c r="G1759" t="s">
        <v>21</v>
      </c>
      <c r="H1759" t="s">
        <v>1730</v>
      </c>
      <c r="I1759" t="s">
        <v>23</v>
      </c>
      <c r="J1759" t="s">
        <v>110</v>
      </c>
      <c r="K1759" s="3">
        <v>53240.92</v>
      </c>
      <c r="L1759" t="s">
        <v>793</v>
      </c>
      <c r="M1759" t="s">
        <v>1772</v>
      </c>
      <c r="O1759" s="49">
        <v>0.19499155912407201</v>
      </c>
      <c r="P1759" s="3">
        <v>10381.530000000001</v>
      </c>
      <c r="Q1759" t="s">
        <v>1773</v>
      </c>
    </row>
    <row r="1760" spans="1:17" ht="15" customHeight="1" x14ac:dyDescent="0.3">
      <c r="A1760">
        <v>2026</v>
      </c>
      <c r="B1760" s="2">
        <v>46059</v>
      </c>
      <c r="C1760" t="s">
        <v>71</v>
      </c>
      <c r="D1760" t="s">
        <v>1737</v>
      </c>
      <c r="F1760" t="s">
        <v>20</v>
      </c>
      <c r="G1760" t="s">
        <v>38</v>
      </c>
      <c r="H1760" t="s">
        <v>1752</v>
      </c>
      <c r="I1760" t="s">
        <v>306</v>
      </c>
      <c r="J1760" t="s">
        <v>123</v>
      </c>
      <c r="K1760" s="3">
        <v>50864.99</v>
      </c>
      <c r="L1760" t="s">
        <v>825</v>
      </c>
      <c r="M1760" t="s">
        <v>1755</v>
      </c>
      <c r="O1760" s="49">
        <v>0.15</v>
      </c>
      <c r="P1760" s="3">
        <v>7629.7484999999997</v>
      </c>
      <c r="Q1760" t="s">
        <v>1754</v>
      </c>
    </row>
    <row r="1761" spans="1:17" ht="15" customHeight="1" x14ac:dyDescent="0.3">
      <c r="A1761">
        <v>2026</v>
      </c>
      <c r="B1761" s="2">
        <v>46056</v>
      </c>
      <c r="C1761" t="s">
        <v>71</v>
      </c>
      <c r="D1761" t="s">
        <v>1737</v>
      </c>
      <c r="F1761" t="s">
        <v>20</v>
      </c>
      <c r="G1761" t="s">
        <v>38</v>
      </c>
      <c r="H1761" t="s">
        <v>1738</v>
      </c>
      <c r="I1761" t="s">
        <v>23</v>
      </c>
      <c r="J1761" t="s">
        <v>110</v>
      </c>
      <c r="K1761" s="3">
        <v>38315</v>
      </c>
      <c r="L1761" t="s">
        <v>813</v>
      </c>
      <c r="M1761" t="s">
        <v>1739</v>
      </c>
      <c r="O1761" s="49">
        <v>0.3</v>
      </c>
      <c r="P1761" s="3">
        <f>Tabla1[[#This Row],[Margen Comercial]]*Tabla1[[#This Row],[Importe total]]</f>
        <v>11494.5</v>
      </c>
      <c r="Q1761" t="s">
        <v>1740</v>
      </c>
    </row>
    <row r="1762" spans="1:17" ht="15" customHeight="1" x14ac:dyDescent="0.3">
      <c r="A1762">
        <v>2026</v>
      </c>
      <c r="B1762" s="2">
        <v>46170</v>
      </c>
      <c r="C1762" t="s">
        <v>190</v>
      </c>
      <c r="D1762" t="s">
        <v>1861</v>
      </c>
      <c r="F1762" t="s">
        <v>20</v>
      </c>
      <c r="G1762" t="s">
        <v>38</v>
      </c>
      <c r="H1762" t="s">
        <v>147</v>
      </c>
      <c r="I1762" t="s">
        <v>23</v>
      </c>
      <c r="J1762" t="s">
        <v>110</v>
      </c>
      <c r="K1762" s="3">
        <v>36416.39</v>
      </c>
      <c r="L1762" t="s">
        <v>793</v>
      </c>
      <c r="M1762" t="s">
        <v>1862</v>
      </c>
      <c r="O1762" s="49">
        <v>0.18583006168376401</v>
      </c>
      <c r="P1762" s="3">
        <v>6767.2600000000102</v>
      </c>
      <c r="Q1762" t="s">
        <v>1863</v>
      </c>
    </row>
    <row r="1763" spans="1:17" ht="15" customHeight="1" x14ac:dyDescent="0.3">
      <c r="A1763">
        <v>2026</v>
      </c>
      <c r="B1763" s="2">
        <v>46170</v>
      </c>
      <c r="C1763" t="s">
        <v>190</v>
      </c>
      <c r="D1763" t="s">
        <v>1269</v>
      </c>
      <c r="F1763" t="s">
        <v>20</v>
      </c>
      <c r="G1763" t="s">
        <v>21</v>
      </c>
      <c r="H1763" t="s">
        <v>22</v>
      </c>
      <c r="I1763" t="s">
        <v>23</v>
      </c>
      <c r="J1763" t="s">
        <v>50</v>
      </c>
      <c r="K1763" s="3">
        <v>36347.870000000003</v>
      </c>
      <c r="L1763" t="s">
        <v>793</v>
      </c>
      <c r="M1763" t="s">
        <v>1866</v>
      </c>
      <c r="O1763" s="49">
        <v>0.176423267718301</v>
      </c>
      <c r="P1763" s="3">
        <v>6412.61</v>
      </c>
      <c r="Q1763" t="s">
        <v>1867</v>
      </c>
    </row>
    <row r="1764" spans="1:17" ht="15" customHeight="1" x14ac:dyDescent="0.3">
      <c r="A1764">
        <v>2026</v>
      </c>
      <c r="B1764" s="2">
        <v>46063</v>
      </c>
      <c r="C1764" t="s">
        <v>71</v>
      </c>
      <c r="D1764" t="s">
        <v>1757</v>
      </c>
      <c r="F1764" t="s">
        <v>20</v>
      </c>
      <c r="G1764" t="s">
        <v>107</v>
      </c>
      <c r="H1764" t="s">
        <v>1733</v>
      </c>
      <c r="I1764" t="s">
        <v>23</v>
      </c>
      <c r="J1764" t="s">
        <v>110</v>
      </c>
      <c r="K1764" s="3">
        <v>35000</v>
      </c>
      <c r="L1764" t="s">
        <v>813</v>
      </c>
      <c r="M1764" t="s">
        <v>1758</v>
      </c>
      <c r="O1764" s="49">
        <v>0.3</v>
      </c>
      <c r="P1764" s="3">
        <f>Tabla1[[#This Row],[Margen Comercial]]*Tabla1[[#This Row],[Importe total]]</f>
        <v>10500</v>
      </c>
      <c r="Q1764" t="s">
        <v>1759</v>
      </c>
    </row>
    <row r="1765" spans="1:17" ht="15" customHeight="1" x14ac:dyDescent="0.3">
      <c r="A1765">
        <v>2026</v>
      </c>
      <c r="B1765" s="2">
        <v>46062</v>
      </c>
      <c r="C1765" t="s">
        <v>71</v>
      </c>
      <c r="D1765" t="s">
        <v>1622</v>
      </c>
      <c r="F1765" t="s">
        <v>20</v>
      </c>
      <c r="G1765" t="s">
        <v>38</v>
      </c>
      <c r="H1765" t="s">
        <v>1738</v>
      </c>
      <c r="I1765" t="s">
        <v>306</v>
      </c>
      <c r="J1765" t="s">
        <v>24</v>
      </c>
      <c r="K1765" s="3">
        <v>30773.49</v>
      </c>
      <c r="L1765" t="s">
        <v>825</v>
      </c>
      <c r="M1765" t="s">
        <v>1756</v>
      </c>
      <c r="O1765" s="49">
        <v>0.15</v>
      </c>
      <c r="P1765" s="3">
        <v>4616.0235000000002</v>
      </c>
      <c r="Q1765" t="s">
        <v>1660</v>
      </c>
    </row>
    <row r="1766" spans="1:17" ht="15" customHeight="1" x14ac:dyDescent="0.3">
      <c r="A1766">
        <v>2026</v>
      </c>
      <c r="B1766" s="2">
        <v>46149</v>
      </c>
      <c r="C1766" t="s">
        <v>190</v>
      </c>
      <c r="D1766" t="s">
        <v>1618</v>
      </c>
      <c r="F1766" t="s">
        <v>20</v>
      </c>
      <c r="G1766" t="s">
        <v>38</v>
      </c>
      <c r="H1766" t="s">
        <v>147</v>
      </c>
      <c r="I1766" t="s">
        <v>23</v>
      </c>
      <c r="J1766" t="s">
        <v>110</v>
      </c>
      <c r="K1766" s="3">
        <v>27857.31</v>
      </c>
      <c r="L1766" t="s">
        <v>825</v>
      </c>
      <c r="M1766" t="s">
        <v>1829</v>
      </c>
      <c r="O1766" s="49">
        <v>0.19151526116484299</v>
      </c>
      <c r="P1766" s="3">
        <v>5335.0999999999904</v>
      </c>
      <c r="Q1766" t="s">
        <v>1830</v>
      </c>
    </row>
    <row r="1767" spans="1:17" ht="15" customHeight="1" x14ac:dyDescent="0.3">
      <c r="A1767">
        <v>2026</v>
      </c>
      <c r="B1767" s="2">
        <v>46142</v>
      </c>
      <c r="C1767" t="s">
        <v>169</v>
      </c>
      <c r="D1767" t="s">
        <v>1692</v>
      </c>
      <c r="F1767" t="s">
        <v>20</v>
      </c>
      <c r="G1767" t="s">
        <v>107</v>
      </c>
      <c r="H1767" t="s">
        <v>108</v>
      </c>
      <c r="I1767" t="s">
        <v>1718</v>
      </c>
      <c r="J1767" t="s">
        <v>110</v>
      </c>
      <c r="K1767" s="3">
        <v>25500</v>
      </c>
      <c r="L1767" t="s">
        <v>825</v>
      </c>
      <c r="M1767" t="s">
        <v>1816</v>
      </c>
      <c r="O1767" s="49">
        <v>0.23</v>
      </c>
      <c r="P1767" s="3">
        <v>5865</v>
      </c>
      <c r="Q1767" t="s">
        <v>1817</v>
      </c>
    </row>
    <row r="1768" spans="1:17" ht="15" customHeight="1" x14ac:dyDescent="0.3">
      <c r="A1768">
        <v>2026</v>
      </c>
      <c r="B1768" s="2">
        <v>46148</v>
      </c>
      <c r="C1768" t="s">
        <v>190</v>
      </c>
      <c r="D1768" t="s">
        <v>1658</v>
      </c>
      <c r="F1768" t="s">
        <v>20</v>
      </c>
      <c r="G1768" t="s">
        <v>21</v>
      </c>
      <c r="H1768" t="s">
        <v>22</v>
      </c>
      <c r="I1768" t="s">
        <v>306</v>
      </c>
      <c r="J1768" t="s">
        <v>50</v>
      </c>
      <c r="K1768" s="3">
        <v>24000</v>
      </c>
      <c r="L1768" t="s">
        <v>825</v>
      </c>
      <c r="M1768" t="s">
        <v>1825</v>
      </c>
      <c r="O1768" s="49">
        <v>0.18</v>
      </c>
      <c r="P1768" s="3">
        <v>4320</v>
      </c>
      <c r="Q1768" t="s">
        <v>1826</v>
      </c>
    </row>
    <row r="1769" spans="1:17" ht="15" customHeight="1" x14ac:dyDescent="0.3">
      <c r="A1769">
        <v>2026</v>
      </c>
      <c r="B1769" s="2">
        <v>46160</v>
      </c>
      <c r="C1769" t="s">
        <v>190</v>
      </c>
      <c r="D1769" t="s">
        <v>1618</v>
      </c>
      <c r="F1769" t="s">
        <v>20</v>
      </c>
      <c r="G1769" t="s">
        <v>38</v>
      </c>
      <c r="H1769" t="s">
        <v>147</v>
      </c>
      <c r="I1769" t="s">
        <v>23</v>
      </c>
      <c r="J1769" t="s">
        <v>110</v>
      </c>
      <c r="K1769" s="3">
        <v>20966.560000000001</v>
      </c>
      <c r="L1769" t="s">
        <v>825</v>
      </c>
      <c r="M1769" t="s">
        <v>1847</v>
      </c>
      <c r="O1769" s="49">
        <v>0.25000143084988702</v>
      </c>
      <c r="P1769" s="3">
        <v>5241.6700000000101</v>
      </c>
      <c r="Q1769" t="s">
        <v>1848</v>
      </c>
    </row>
    <row r="1770" spans="1:17" ht="15" customHeight="1" x14ac:dyDescent="0.3">
      <c r="A1770">
        <v>2026</v>
      </c>
      <c r="B1770" s="2">
        <v>46112</v>
      </c>
      <c r="C1770" t="s">
        <v>137</v>
      </c>
      <c r="D1770" t="s">
        <v>184</v>
      </c>
      <c r="F1770" t="s">
        <v>20</v>
      </c>
      <c r="G1770" t="s">
        <v>21</v>
      </c>
      <c r="H1770" t="s">
        <v>108</v>
      </c>
      <c r="I1770" t="s">
        <v>23</v>
      </c>
      <c r="J1770" t="s">
        <v>110</v>
      </c>
      <c r="K1770" s="3">
        <v>19881.8</v>
      </c>
      <c r="L1770" t="s">
        <v>825</v>
      </c>
      <c r="M1770" t="s">
        <v>1782</v>
      </c>
      <c r="O1770" s="49">
        <v>0.16141999215362801</v>
      </c>
      <c r="P1770" s="3">
        <v>3209.32</v>
      </c>
      <c r="Q1770" t="s">
        <v>1783</v>
      </c>
    </row>
    <row r="1771" spans="1:17" ht="15" customHeight="1" x14ac:dyDescent="0.3">
      <c r="A1771">
        <v>2026</v>
      </c>
      <c r="B1771" s="2">
        <v>46157</v>
      </c>
      <c r="C1771" t="s">
        <v>190</v>
      </c>
      <c r="D1771" t="s">
        <v>1842</v>
      </c>
      <c r="F1771" t="s">
        <v>20</v>
      </c>
      <c r="G1771" t="s">
        <v>38</v>
      </c>
      <c r="H1771" t="s">
        <v>39</v>
      </c>
      <c r="I1771" t="s">
        <v>49</v>
      </c>
      <c r="J1771" t="s">
        <v>50</v>
      </c>
      <c r="K1771" s="3">
        <v>17671.66</v>
      </c>
      <c r="L1771" t="s">
        <v>825</v>
      </c>
      <c r="M1771" t="s">
        <v>1843</v>
      </c>
      <c r="O1771" s="49">
        <v>0.24999971706110199</v>
      </c>
      <c r="P1771" s="3">
        <v>4417.9099999999899</v>
      </c>
      <c r="Q1771" t="s">
        <v>1844</v>
      </c>
    </row>
    <row r="1772" spans="1:17" ht="15" customHeight="1" x14ac:dyDescent="0.3">
      <c r="A1772">
        <v>2026</v>
      </c>
      <c r="B1772" s="2">
        <v>46135</v>
      </c>
      <c r="C1772" t="s">
        <v>169</v>
      </c>
      <c r="D1772" t="s">
        <v>1007</v>
      </c>
      <c r="F1772" t="s">
        <v>20</v>
      </c>
      <c r="G1772" t="s">
        <v>38</v>
      </c>
      <c r="H1772" t="s">
        <v>39</v>
      </c>
      <c r="I1772" t="s">
        <v>23</v>
      </c>
      <c r="J1772" t="s">
        <v>123</v>
      </c>
      <c r="K1772" s="3">
        <v>17565.18</v>
      </c>
      <c r="L1772" t="s">
        <v>793</v>
      </c>
      <c r="M1772" t="s">
        <v>1807</v>
      </c>
      <c r="O1772" s="49">
        <v>0.17337539381890801</v>
      </c>
      <c r="P1772" s="3">
        <v>3045.3700000000099</v>
      </c>
      <c r="Q1772" t="s">
        <v>1808</v>
      </c>
    </row>
    <row r="1773" spans="1:17" ht="15" customHeight="1" x14ac:dyDescent="0.3">
      <c r="A1773">
        <v>2026</v>
      </c>
      <c r="B1773" s="2">
        <v>46140</v>
      </c>
      <c r="C1773" t="s">
        <v>169</v>
      </c>
      <c r="D1773" t="s">
        <v>1692</v>
      </c>
      <c r="F1773" t="s">
        <v>20</v>
      </c>
      <c r="G1773" t="s">
        <v>107</v>
      </c>
      <c r="H1773" t="s">
        <v>108</v>
      </c>
      <c r="I1773" t="s">
        <v>1718</v>
      </c>
      <c r="J1773" t="s">
        <v>110</v>
      </c>
      <c r="K1773" s="3">
        <v>17083.21</v>
      </c>
      <c r="L1773" t="s">
        <v>825</v>
      </c>
      <c r="M1773" t="s">
        <v>1814</v>
      </c>
      <c r="O1773" s="49">
        <v>0.12553729656194601</v>
      </c>
      <c r="P1773" s="3">
        <v>2144.58</v>
      </c>
      <c r="Q1773" t="s">
        <v>1815</v>
      </c>
    </row>
    <row r="1774" spans="1:17" ht="15" customHeight="1" x14ac:dyDescent="0.3">
      <c r="A1774">
        <v>2026</v>
      </c>
      <c r="B1774" s="2">
        <v>46146</v>
      </c>
      <c r="C1774" t="s">
        <v>190</v>
      </c>
      <c r="D1774" t="s">
        <v>364</v>
      </c>
      <c r="F1774" t="s">
        <v>20</v>
      </c>
      <c r="G1774" t="s">
        <v>21</v>
      </c>
      <c r="H1774" t="s">
        <v>1818</v>
      </c>
      <c r="I1774" t="s">
        <v>23</v>
      </c>
      <c r="J1774" t="s">
        <v>110</v>
      </c>
      <c r="K1774" s="3">
        <v>12000</v>
      </c>
      <c r="L1774" t="s">
        <v>813</v>
      </c>
      <c r="M1774" t="s">
        <v>1819</v>
      </c>
      <c r="O1774" s="49">
        <v>0.3</v>
      </c>
      <c r="P1774" s="3">
        <f>Tabla1[[#This Row],[Margen Comercial]]*Tabla1[[#This Row],[Importe total]]</f>
        <v>3600</v>
      </c>
      <c r="Q1774" t="s">
        <v>1820</v>
      </c>
    </row>
    <row r="1775" spans="1:17" ht="15" customHeight="1" x14ac:dyDescent="0.3">
      <c r="A1775">
        <v>2026</v>
      </c>
      <c r="B1775" s="2">
        <v>46160</v>
      </c>
      <c r="C1775" t="s">
        <v>190</v>
      </c>
      <c r="D1775" t="s">
        <v>1622</v>
      </c>
      <c r="F1775" t="s">
        <v>20</v>
      </c>
      <c r="G1775" t="s">
        <v>38</v>
      </c>
      <c r="H1775" t="s">
        <v>39</v>
      </c>
      <c r="I1775" t="s">
        <v>306</v>
      </c>
      <c r="J1775" t="s">
        <v>110</v>
      </c>
      <c r="K1775" s="3">
        <v>10183.620000000001</v>
      </c>
      <c r="L1775" t="s">
        <v>825</v>
      </c>
      <c r="M1775" t="s">
        <v>1845</v>
      </c>
      <c r="O1775" s="49">
        <v>0.17291974759466699</v>
      </c>
      <c r="P1775" s="3">
        <v>1760.9490000000001</v>
      </c>
      <c r="Q1775" t="s">
        <v>1846</v>
      </c>
    </row>
    <row r="1776" spans="1:17" ht="15" customHeight="1" x14ac:dyDescent="0.3">
      <c r="A1776">
        <v>2026</v>
      </c>
      <c r="B1776" s="2">
        <v>46175</v>
      </c>
      <c r="C1776" t="s">
        <v>218</v>
      </c>
      <c r="D1776" t="s">
        <v>1757</v>
      </c>
      <c r="F1776" t="s">
        <v>20</v>
      </c>
      <c r="G1776" t="s">
        <v>107</v>
      </c>
      <c r="H1776" t="s">
        <v>108</v>
      </c>
      <c r="I1776" t="s">
        <v>23</v>
      </c>
      <c r="J1776" t="s">
        <v>110</v>
      </c>
      <c r="K1776" s="3">
        <v>8470</v>
      </c>
      <c r="L1776" t="s">
        <v>903</v>
      </c>
      <c r="M1776" t="s">
        <v>1879</v>
      </c>
      <c r="O1776" s="49">
        <v>0.14989964580873699</v>
      </c>
      <c r="P1776" s="3">
        <v>1269.6500000000001</v>
      </c>
      <c r="Q1776" t="s">
        <v>1880</v>
      </c>
    </row>
    <row r="1777" spans="1:17" ht="15" customHeight="1" x14ac:dyDescent="0.3">
      <c r="A1777">
        <v>2026</v>
      </c>
      <c r="B1777" s="2">
        <v>46148</v>
      </c>
      <c r="C1777" t="s">
        <v>190</v>
      </c>
      <c r="D1777" t="s">
        <v>1449</v>
      </c>
      <c r="F1777" t="s">
        <v>20</v>
      </c>
      <c r="G1777" t="s">
        <v>38</v>
      </c>
      <c r="H1777" t="s">
        <v>147</v>
      </c>
      <c r="I1777" t="s">
        <v>23</v>
      </c>
      <c r="J1777" t="s">
        <v>50</v>
      </c>
      <c r="K1777" s="3">
        <v>8441.32</v>
      </c>
      <c r="L1777" t="s">
        <v>825</v>
      </c>
      <c r="M1777" t="s">
        <v>1821</v>
      </c>
      <c r="O1777" s="49">
        <v>0.122720143295125</v>
      </c>
      <c r="P1777" s="3">
        <v>1035.9200000000101</v>
      </c>
      <c r="Q1777" t="s">
        <v>1822</v>
      </c>
    </row>
    <row r="1778" spans="1:17" ht="15" customHeight="1" x14ac:dyDescent="0.3">
      <c r="A1778">
        <v>2026</v>
      </c>
      <c r="B1778" s="2">
        <v>46182</v>
      </c>
      <c r="C1778" t="s">
        <v>218</v>
      </c>
      <c r="D1778" t="s">
        <v>763</v>
      </c>
      <c r="F1778" t="s">
        <v>20</v>
      </c>
      <c r="G1778" t="s">
        <v>21</v>
      </c>
      <c r="H1778" t="s">
        <v>1887</v>
      </c>
      <c r="I1778" t="s">
        <v>306</v>
      </c>
      <c r="J1778" t="s">
        <v>123</v>
      </c>
      <c r="K1778" s="3">
        <v>8240</v>
      </c>
      <c r="L1778" t="s">
        <v>793</v>
      </c>
      <c r="M1778" t="s">
        <v>1888</v>
      </c>
      <c r="O1778" s="49">
        <v>0.25007402912621401</v>
      </c>
      <c r="P1778" s="3">
        <v>2060.61</v>
      </c>
      <c r="Q1778" t="s">
        <v>1889</v>
      </c>
    </row>
    <row r="1779" spans="1:17" ht="15" customHeight="1" x14ac:dyDescent="0.3">
      <c r="A1779">
        <v>2026</v>
      </c>
      <c r="B1779" s="2">
        <v>46066</v>
      </c>
      <c r="C1779" t="s">
        <v>71</v>
      </c>
      <c r="D1779" t="s">
        <v>1449</v>
      </c>
      <c r="F1779" t="s">
        <v>20</v>
      </c>
      <c r="G1779" t="s">
        <v>38</v>
      </c>
      <c r="H1779" t="s">
        <v>1752</v>
      </c>
      <c r="I1779" t="s">
        <v>306</v>
      </c>
      <c r="J1779" t="s">
        <v>24</v>
      </c>
      <c r="K1779" s="3">
        <v>7500</v>
      </c>
      <c r="L1779" t="s">
        <v>825</v>
      </c>
      <c r="M1779" t="s">
        <v>1760</v>
      </c>
      <c r="O1779" s="49">
        <v>0.15</v>
      </c>
      <c r="P1779" s="3">
        <v>1125</v>
      </c>
      <c r="Q1779" t="s">
        <v>1178</v>
      </c>
    </row>
    <row r="1780" spans="1:17" ht="15" customHeight="1" x14ac:dyDescent="0.3">
      <c r="A1780">
        <v>2026</v>
      </c>
      <c r="B1780" s="2">
        <v>46112</v>
      </c>
      <c r="C1780" t="s">
        <v>137</v>
      </c>
      <c r="D1780" t="s">
        <v>832</v>
      </c>
      <c r="F1780" t="s">
        <v>20</v>
      </c>
      <c r="G1780" t="s">
        <v>38</v>
      </c>
      <c r="H1780" t="s">
        <v>39</v>
      </c>
      <c r="I1780" t="s">
        <v>23</v>
      </c>
      <c r="J1780" t="s">
        <v>123</v>
      </c>
      <c r="K1780" s="3">
        <v>6875</v>
      </c>
      <c r="L1780" t="s">
        <v>793</v>
      </c>
      <c r="M1780" t="s">
        <v>1786</v>
      </c>
      <c r="O1780" s="49">
        <v>0.14244654545454599</v>
      </c>
      <c r="P1780" s="3">
        <v>979.32000000000403</v>
      </c>
      <c r="Q1780" t="s">
        <v>1787</v>
      </c>
    </row>
    <row r="1781" spans="1:17" ht="15" customHeight="1" x14ac:dyDescent="0.3">
      <c r="A1781">
        <v>2026</v>
      </c>
      <c r="B1781" s="2">
        <v>46085</v>
      </c>
      <c r="C1781" t="s">
        <v>137</v>
      </c>
      <c r="D1781" t="s">
        <v>205</v>
      </c>
      <c r="E1781" t="s">
        <v>1695</v>
      </c>
      <c r="F1781" t="s">
        <v>20</v>
      </c>
      <c r="G1781" t="s">
        <v>21</v>
      </c>
      <c r="H1781" t="s">
        <v>1730</v>
      </c>
      <c r="I1781" t="s">
        <v>23</v>
      </c>
      <c r="J1781" t="s">
        <v>110</v>
      </c>
      <c r="K1781" s="3">
        <v>6840.69</v>
      </c>
      <c r="L1781" t="s">
        <v>793</v>
      </c>
      <c r="M1781" t="s">
        <v>1776</v>
      </c>
      <c r="O1781" s="49">
        <v>8.0648297174700206E-2</v>
      </c>
      <c r="P1781" s="3">
        <v>551.69000000000005</v>
      </c>
      <c r="Q1781" t="s">
        <v>1777</v>
      </c>
    </row>
    <row r="1782" spans="1:17" ht="15" customHeight="1" x14ac:dyDescent="0.3">
      <c r="A1782">
        <v>2026</v>
      </c>
      <c r="B1782" s="2">
        <v>46057</v>
      </c>
      <c r="C1782" t="s">
        <v>71</v>
      </c>
      <c r="D1782" t="s">
        <v>184</v>
      </c>
      <c r="F1782" t="s">
        <v>20</v>
      </c>
      <c r="G1782" t="s">
        <v>107</v>
      </c>
      <c r="H1782" t="s">
        <v>1733</v>
      </c>
      <c r="I1782" t="s">
        <v>754</v>
      </c>
      <c r="J1782" t="s">
        <v>123</v>
      </c>
      <c r="K1782" s="3">
        <v>6690</v>
      </c>
      <c r="L1782" t="s">
        <v>825</v>
      </c>
      <c r="M1782" t="s">
        <v>1746</v>
      </c>
      <c r="O1782" s="49">
        <v>0.15</v>
      </c>
      <c r="P1782" s="3">
        <v>1003.5</v>
      </c>
      <c r="Q1782" t="s">
        <v>1735</v>
      </c>
    </row>
    <row r="1783" spans="1:17" ht="15" customHeight="1" x14ac:dyDescent="0.3">
      <c r="A1783">
        <v>2026</v>
      </c>
      <c r="B1783" s="2">
        <v>46055</v>
      </c>
      <c r="C1783" t="s">
        <v>71</v>
      </c>
      <c r="D1783" t="s">
        <v>1658</v>
      </c>
      <c r="F1783" t="s">
        <v>20</v>
      </c>
      <c r="G1783" t="s">
        <v>21</v>
      </c>
      <c r="H1783" t="s">
        <v>1730</v>
      </c>
      <c r="I1783" t="s">
        <v>306</v>
      </c>
      <c r="J1783" t="s">
        <v>50</v>
      </c>
      <c r="K1783" s="3">
        <v>5810</v>
      </c>
      <c r="L1783" t="s">
        <v>825</v>
      </c>
      <c r="M1783" t="s">
        <v>1736</v>
      </c>
      <c r="O1783" s="49">
        <v>0.15</v>
      </c>
      <c r="P1783" s="3">
        <v>871.5</v>
      </c>
      <c r="Q1783" t="s">
        <v>1157</v>
      </c>
    </row>
    <row r="1784" spans="1:17" ht="15" customHeight="1" x14ac:dyDescent="0.3">
      <c r="A1784">
        <v>2026</v>
      </c>
      <c r="B1784" s="2">
        <v>46157</v>
      </c>
      <c r="C1784" t="s">
        <v>190</v>
      </c>
      <c r="D1784" t="s">
        <v>1007</v>
      </c>
      <c r="F1784" t="s">
        <v>20</v>
      </c>
      <c r="G1784" t="s">
        <v>38</v>
      </c>
      <c r="H1784" t="s">
        <v>39</v>
      </c>
      <c r="I1784" t="s">
        <v>23</v>
      </c>
      <c r="J1784" t="s">
        <v>50</v>
      </c>
      <c r="K1784" s="3">
        <v>5725.28</v>
      </c>
      <c r="L1784" t="s">
        <v>825</v>
      </c>
      <c r="M1784" t="s">
        <v>1837</v>
      </c>
      <c r="O1784" s="49">
        <v>0.15502298577536799</v>
      </c>
      <c r="P1784" s="3">
        <v>887.54999999999905</v>
      </c>
      <c r="Q1784" t="s">
        <v>1838</v>
      </c>
    </row>
    <row r="1785" spans="1:17" ht="15" customHeight="1" x14ac:dyDescent="0.3">
      <c r="A1785">
        <v>2026</v>
      </c>
      <c r="B1785" s="2">
        <v>46167</v>
      </c>
      <c r="C1785" t="s">
        <v>190</v>
      </c>
      <c r="D1785" t="s">
        <v>1003</v>
      </c>
      <c r="F1785" t="s">
        <v>20</v>
      </c>
      <c r="G1785" t="s">
        <v>38</v>
      </c>
      <c r="H1785" t="s">
        <v>147</v>
      </c>
      <c r="I1785" t="s">
        <v>23</v>
      </c>
      <c r="J1785" t="s">
        <v>123</v>
      </c>
      <c r="K1785" s="3">
        <v>5368.75</v>
      </c>
      <c r="L1785" t="s">
        <v>793</v>
      </c>
      <c r="M1785" t="s">
        <v>1853</v>
      </c>
      <c r="O1785" s="49">
        <v>0.2</v>
      </c>
      <c r="P1785" s="3">
        <v>1073.75</v>
      </c>
      <c r="Q1785" t="s">
        <v>1854</v>
      </c>
    </row>
    <row r="1786" spans="1:17" ht="15" customHeight="1" x14ac:dyDescent="0.3">
      <c r="A1786">
        <v>2026</v>
      </c>
      <c r="B1786" s="2">
        <v>46148</v>
      </c>
      <c r="C1786" t="s">
        <v>190</v>
      </c>
      <c r="D1786" t="s">
        <v>360</v>
      </c>
      <c r="F1786" t="s">
        <v>20</v>
      </c>
      <c r="G1786" t="s">
        <v>21</v>
      </c>
      <c r="H1786" t="s">
        <v>22</v>
      </c>
      <c r="I1786" t="s">
        <v>109</v>
      </c>
      <c r="J1786" t="s">
        <v>110</v>
      </c>
      <c r="K1786" s="3">
        <v>5187.5200000000004</v>
      </c>
      <c r="L1786" t="s">
        <v>825</v>
      </c>
      <c r="M1786" t="s">
        <v>1823</v>
      </c>
      <c r="O1786" s="49">
        <v>0.15000231324409399</v>
      </c>
      <c r="P1786" s="3">
        <v>778.14000000000306</v>
      </c>
      <c r="Q1786" t="s">
        <v>1824</v>
      </c>
    </row>
    <row r="1787" spans="1:17" ht="15" customHeight="1" x14ac:dyDescent="0.3">
      <c r="A1787">
        <v>2026</v>
      </c>
      <c r="B1787" s="2">
        <v>46077</v>
      </c>
      <c r="C1787" t="s">
        <v>71</v>
      </c>
      <c r="D1787" t="s">
        <v>45</v>
      </c>
      <c r="F1787" t="s">
        <v>20</v>
      </c>
      <c r="G1787" t="s">
        <v>38</v>
      </c>
      <c r="H1787" t="s">
        <v>1738</v>
      </c>
      <c r="I1787" t="s">
        <v>23</v>
      </c>
      <c r="J1787" t="s">
        <v>110</v>
      </c>
      <c r="K1787" s="3">
        <v>5000</v>
      </c>
      <c r="L1787" t="s">
        <v>813</v>
      </c>
      <c r="M1787" t="s">
        <v>1763</v>
      </c>
      <c r="O1787" s="49">
        <v>0.3</v>
      </c>
      <c r="P1787" s="3">
        <f>Tabla1[[#This Row],[Margen Comercial]]*Tabla1[[#This Row],[Importe total]]</f>
        <v>1500</v>
      </c>
      <c r="Q1787" t="s">
        <v>1764</v>
      </c>
    </row>
    <row r="1788" spans="1:17" ht="15" customHeight="1" x14ac:dyDescent="0.3">
      <c r="A1788">
        <v>2026</v>
      </c>
      <c r="B1788" s="2">
        <v>46155</v>
      </c>
      <c r="C1788" t="s">
        <v>190</v>
      </c>
      <c r="D1788" t="s">
        <v>1007</v>
      </c>
      <c r="F1788" t="s">
        <v>20</v>
      </c>
      <c r="G1788" t="s">
        <v>38</v>
      </c>
      <c r="H1788" t="s">
        <v>39</v>
      </c>
      <c r="I1788" t="s">
        <v>23</v>
      </c>
      <c r="J1788" t="s">
        <v>50</v>
      </c>
      <c r="K1788" s="3">
        <v>4306.7</v>
      </c>
      <c r="L1788" t="s">
        <v>825</v>
      </c>
      <c r="M1788" t="s">
        <v>1831</v>
      </c>
      <c r="O1788" s="49">
        <v>0.18197227575638</v>
      </c>
      <c r="P1788" s="3">
        <v>783.70000000000198</v>
      </c>
      <c r="Q1788" t="s">
        <v>1832</v>
      </c>
    </row>
    <row r="1789" spans="1:17" ht="15" customHeight="1" x14ac:dyDescent="0.3">
      <c r="A1789">
        <v>2026</v>
      </c>
      <c r="B1789" s="2">
        <v>46112</v>
      </c>
      <c r="C1789" t="s">
        <v>137</v>
      </c>
      <c r="D1789" t="s">
        <v>184</v>
      </c>
      <c r="F1789" t="s">
        <v>20</v>
      </c>
      <c r="G1789" t="s">
        <v>21</v>
      </c>
      <c r="H1789" t="s">
        <v>108</v>
      </c>
      <c r="I1789" t="s">
        <v>23</v>
      </c>
      <c r="J1789" t="s">
        <v>110</v>
      </c>
      <c r="K1789" s="3">
        <v>3261</v>
      </c>
      <c r="L1789" t="s">
        <v>825</v>
      </c>
      <c r="M1789" t="s">
        <v>1784</v>
      </c>
      <c r="O1789" s="49">
        <v>0.17930082796688099</v>
      </c>
      <c r="P1789" s="3">
        <v>584.69999999999902</v>
      </c>
      <c r="Q1789" t="s">
        <v>1785</v>
      </c>
    </row>
    <row r="1790" spans="1:17" ht="15" customHeight="1" x14ac:dyDescent="0.3">
      <c r="A1790">
        <v>2026</v>
      </c>
      <c r="B1790" s="2">
        <v>46176</v>
      </c>
      <c r="C1790" t="s">
        <v>218</v>
      </c>
      <c r="D1790" t="s">
        <v>364</v>
      </c>
      <c r="F1790" t="s">
        <v>20</v>
      </c>
      <c r="G1790" t="s">
        <v>21</v>
      </c>
      <c r="H1790" t="s">
        <v>101</v>
      </c>
      <c r="I1790" t="s">
        <v>23</v>
      </c>
      <c r="J1790" t="s">
        <v>110</v>
      </c>
      <c r="K1790" s="3">
        <v>2700</v>
      </c>
      <c r="L1790" t="s">
        <v>813</v>
      </c>
      <c r="M1790" t="s">
        <v>1881</v>
      </c>
      <c r="O1790" s="49">
        <v>0.3</v>
      </c>
      <c r="P1790" s="3">
        <f>Tabla1[[#This Row],[Margen Comercial]]*Tabla1[[#This Row],[Importe total]]</f>
        <v>810</v>
      </c>
      <c r="Q1790" t="s">
        <v>1882</v>
      </c>
    </row>
    <row r="1791" spans="1:17" ht="15" customHeight="1" x14ac:dyDescent="0.3">
      <c r="A1791">
        <v>2026</v>
      </c>
      <c r="B1791" s="2">
        <v>46178</v>
      </c>
      <c r="C1791" t="s">
        <v>218</v>
      </c>
      <c r="D1791" t="s">
        <v>1622</v>
      </c>
      <c r="F1791" t="s">
        <v>20</v>
      </c>
      <c r="G1791" t="s">
        <v>38</v>
      </c>
      <c r="H1791" t="s">
        <v>39</v>
      </c>
      <c r="I1791" t="s">
        <v>306</v>
      </c>
      <c r="J1791" t="s">
        <v>110</v>
      </c>
      <c r="K1791" s="3">
        <v>2700</v>
      </c>
      <c r="L1791" t="s">
        <v>825</v>
      </c>
      <c r="M1791" t="s">
        <v>1883</v>
      </c>
      <c r="O1791" s="49">
        <v>-0.82592592592592595</v>
      </c>
      <c r="P1791" s="3">
        <v>-2230</v>
      </c>
      <c r="Q1791" t="s">
        <v>1884</v>
      </c>
    </row>
    <row r="1792" spans="1:17" ht="15" customHeight="1" x14ac:dyDescent="0.3">
      <c r="A1792">
        <v>2026</v>
      </c>
      <c r="B1792" s="2">
        <v>46164</v>
      </c>
      <c r="C1792" t="s">
        <v>190</v>
      </c>
      <c r="D1792" t="s">
        <v>816</v>
      </c>
      <c r="F1792" t="s">
        <v>20</v>
      </c>
      <c r="G1792" t="s">
        <v>107</v>
      </c>
      <c r="H1792" t="s">
        <v>108</v>
      </c>
      <c r="I1792" t="s">
        <v>23</v>
      </c>
      <c r="J1792" t="s">
        <v>50</v>
      </c>
      <c r="K1792" s="3">
        <v>2658.59</v>
      </c>
      <c r="L1792" t="s">
        <v>825</v>
      </c>
      <c r="M1792" t="s">
        <v>1851</v>
      </c>
      <c r="O1792" s="49">
        <v>0.29470132664307003</v>
      </c>
      <c r="P1792" s="3">
        <v>783.49</v>
      </c>
      <c r="Q1792" t="s">
        <v>1852</v>
      </c>
    </row>
    <row r="1793" spans="1:17" ht="15" customHeight="1" x14ac:dyDescent="0.3">
      <c r="A1793">
        <v>2026</v>
      </c>
      <c r="B1793" s="2">
        <v>46175</v>
      </c>
      <c r="C1793" t="s">
        <v>218</v>
      </c>
      <c r="D1793" t="s">
        <v>1877</v>
      </c>
      <c r="F1793" t="s">
        <v>20</v>
      </c>
      <c r="G1793" t="s">
        <v>38</v>
      </c>
      <c r="H1793" t="s">
        <v>619</v>
      </c>
      <c r="I1793" t="s">
        <v>23</v>
      </c>
      <c r="J1793" t="s">
        <v>110</v>
      </c>
      <c r="K1793" s="3">
        <v>2310</v>
      </c>
      <c r="L1793" t="s">
        <v>825</v>
      </c>
      <c r="O1793" s="49">
        <v>0.12941991341991299</v>
      </c>
      <c r="P1793" s="3">
        <v>298.95999999999901</v>
      </c>
      <c r="Q1793" t="s">
        <v>1878</v>
      </c>
    </row>
    <row r="1794" spans="1:17" ht="15" customHeight="1" x14ac:dyDescent="0.3">
      <c r="A1794">
        <v>2026</v>
      </c>
      <c r="B1794" s="2">
        <v>46181</v>
      </c>
      <c r="C1794" t="s">
        <v>218</v>
      </c>
      <c r="D1794" t="s">
        <v>184</v>
      </c>
      <c r="F1794" t="s">
        <v>20</v>
      </c>
      <c r="G1794" t="s">
        <v>107</v>
      </c>
      <c r="H1794" t="s">
        <v>108</v>
      </c>
      <c r="I1794" t="s">
        <v>23</v>
      </c>
      <c r="J1794" t="s">
        <v>110</v>
      </c>
      <c r="K1794" s="3">
        <v>2130</v>
      </c>
      <c r="L1794" t="s">
        <v>825</v>
      </c>
      <c r="M1794" t="s">
        <v>1885</v>
      </c>
      <c r="O1794" s="49">
        <v>0.13305164319248799</v>
      </c>
      <c r="P1794" s="3">
        <v>283.39999999999901</v>
      </c>
      <c r="Q1794" t="s">
        <v>1886</v>
      </c>
    </row>
    <row r="1795" spans="1:17" ht="15" customHeight="1" x14ac:dyDescent="0.3">
      <c r="A1795">
        <v>2026</v>
      </c>
      <c r="B1795" s="2">
        <v>46185</v>
      </c>
      <c r="C1795" t="s">
        <v>218</v>
      </c>
      <c r="D1795" t="s">
        <v>832</v>
      </c>
      <c r="F1795" t="s">
        <v>20</v>
      </c>
      <c r="G1795" t="s">
        <v>38</v>
      </c>
      <c r="H1795" t="s">
        <v>1738</v>
      </c>
      <c r="I1795" t="s">
        <v>306</v>
      </c>
      <c r="J1795" t="s">
        <v>123</v>
      </c>
      <c r="K1795" s="3">
        <v>1996.83</v>
      </c>
      <c r="L1795" t="s">
        <v>793</v>
      </c>
      <c r="M1795" t="s">
        <v>1896</v>
      </c>
      <c r="O1795" s="49">
        <v>0.16999944912686599</v>
      </c>
      <c r="P1795" s="3">
        <v>339.46</v>
      </c>
      <c r="Q1795" t="s">
        <v>1897</v>
      </c>
    </row>
    <row r="1796" spans="1:17" ht="15" customHeight="1" x14ac:dyDescent="0.3">
      <c r="A1796">
        <v>2026</v>
      </c>
      <c r="B1796" s="2">
        <v>46175</v>
      </c>
      <c r="C1796" t="s">
        <v>218</v>
      </c>
      <c r="D1796" t="s">
        <v>1007</v>
      </c>
      <c r="F1796" t="s">
        <v>20</v>
      </c>
      <c r="G1796" t="s">
        <v>38</v>
      </c>
      <c r="H1796" t="s">
        <v>39</v>
      </c>
      <c r="I1796" t="s">
        <v>23</v>
      </c>
      <c r="J1796" t="s">
        <v>123</v>
      </c>
      <c r="K1796" s="3">
        <v>1900</v>
      </c>
      <c r="L1796" t="s">
        <v>825</v>
      </c>
      <c r="M1796" t="s">
        <v>1873</v>
      </c>
      <c r="O1796" s="49">
        <v>0.13578947368421099</v>
      </c>
      <c r="P1796" s="3">
        <v>258.00000000000102</v>
      </c>
      <c r="Q1796" t="s">
        <v>1874</v>
      </c>
    </row>
    <row r="1797" spans="1:17" ht="15" customHeight="1" x14ac:dyDescent="0.3">
      <c r="A1797">
        <v>2026</v>
      </c>
      <c r="B1797" s="2">
        <v>46175</v>
      </c>
      <c r="C1797" t="s">
        <v>218</v>
      </c>
      <c r="D1797" t="s">
        <v>1007</v>
      </c>
      <c r="F1797" t="s">
        <v>20</v>
      </c>
      <c r="G1797" t="s">
        <v>38</v>
      </c>
      <c r="H1797" t="s">
        <v>39</v>
      </c>
      <c r="I1797" t="s">
        <v>23</v>
      </c>
      <c r="J1797" t="s">
        <v>123</v>
      </c>
      <c r="K1797" s="3">
        <v>1414.83</v>
      </c>
      <c r="L1797" t="s">
        <v>825</v>
      </c>
      <c r="M1797" t="s">
        <v>1875</v>
      </c>
      <c r="O1797" s="49">
        <v>0.17077670108776299</v>
      </c>
      <c r="P1797" s="3">
        <v>241.62</v>
      </c>
      <c r="Q1797" t="s">
        <v>1876</v>
      </c>
    </row>
    <row r="1798" spans="1:17" ht="15" customHeight="1" x14ac:dyDescent="0.3">
      <c r="A1798">
        <v>2026</v>
      </c>
      <c r="B1798" s="2">
        <v>46057</v>
      </c>
      <c r="C1798" t="s">
        <v>71</v>
      </c>
      <c r="D1798" t="s">
        <v>1318</v>
      </c>
      <c r="F1798" t="s">
        <v>20</v>
      </c>
      <c r="G1798" t="s">
        <v>38</v>
      </c>
      <c r="H1798" t="s">
        <v>1738</v>
      </c>
      <c r="I1798" t="s">
        <v>1410</v>
      </c>
      <c r="J1798" t="s">
        <v>50</v>
      </c>
      <c r="K1798" s="3">
        <v>890</v>
      </c>
      <c r="L1798" t="s">
        <v>825</v>
      </c>
      <c r="M1798" t="s">
        <v>1750</v>
      </c>
      <c r="O1798" s="49">
        <v>0.15</v>
      </c>
      <c r="P1798" s="3">
        <v>133.5</v>
      </c>
      <c r="Q1798" t="s">
        <v>1751</v>
      </c>
    </row>
    <row r="1799" spans="1:17" ht="15" customHeight="1" x14ac:dyDescent="0.3">
      <c r="A1799">
        <v>2026</v>
      </c>
      <c r="B1799" s="2">
        <v>46041</v>
      </c>
      <c r="C1799" t="s">
        <v>17</v>
      </c>
      <c r="D1799" t="s">
        <v>1689</v>
      </c>
      <c r="F1799" t="s">
        <v>20</v>
      </c>
      <c r="G1799" t="s">
        <v>21</v>
      </c>
      <c r="H1799" t="s">
        <v>1730</v>
      </c>
      <c r="I1799" t="s">
        <v>23</v>
      </c>
      <c r="J1799" t="s">
        <v>110</v>
      </c>
      <c r="K1799" s="3">
        <v>798</v>
      </c>
      <c r="L1799" t="s">
        <v>825</v>
      </c>
      <c r="M1799" t="s">
        <v>1732</v>
      </c>
      <c r="O1799" s="49">
        <v>0.15</v>
      </c>
      <c r="P1799" s="3">
        <v>119.7</v>
      </c>
      <c r="Q1799" t="s">
        <v>1691</v>
      </c>
    </row>
    <row r="1800" spans="1:17" ht="15" customHeight="1" x14ac:dyDescent="0.3">
      <c r="A1800">
        <v>2026</v>
      </c>
      <c r="B1800" s="2">
        <v>46077</v>
      </c>
      <c r="C1800" t="s">
        <v>71</v>
      </c>
      <c r="D1800" t="s">
        <v>1598</v>
      </c>
      <c r="E1800" t="s">
        <v>1695</v>
      </c>
      <c r="F1800" t="s">
        <v>20</v>
      </c>
      <c r="G1800" t="s">
        <v>38</v>
      </c>
      <c r="H1800" t="s">
        <v>1752</v>
      </c>
      <c r="I1800" t="s">
        <v>334</v>
      </c>
      <c r="J1800" t="s">
        <v>123</v>
      </c>
      <c r="K1800" s="3">
        <v>760</v>
      </c>
      <c r="L1800" t="s">
        <v>825</v>
      </c>
      <c r="M1800" t="s">
        <v>1765</v>
      </c>
      <c r="O1800" s="49">
        <v>0.15</v>
      </c>
      <c r="P1800" s="3">
        <v>114</v>
      </c>
      <c r="Q1800" t="s">
        <v>1766</v>
      </c>
    </row>
    <row r="1801" spans="1:17" ht="15" customHeight="1" x14ac:dyDescent="0.3">
      <c r="A1801">
        <v>2026</v>
      </c>
      <c r="B1801" s="2">
        <v>46175</v>
      </c>
      <c r="C1801" t="s">
        <v>218</v>
      </c>
      <c r="D1801" t="s">
        <v>1384</v>
      </c>
      <c r="F1801" t="s">
        <v>20</v>
      </c>
      <c r="G1801" t="s">
        <v>21</v>
      </c>
      <c r="H1801" t="s">
        <v>22</v>
      </c>
      <c r="I1801" t="s">
        <v>141</v>
      </c>
      <c r="J1801" t="s">
        <v>50</v>
      </c>
      <c r="K1801" s="3">
        <v>500</v>
      </c>
      <c r="L1801" t="s">
        <v>825</v>
      </c>
      <c r="M1801" t="s">
        <v>1871</v>
      </c>
      <c r="O1801" s="49">
        <v>0.2</v>
      </c>
      <c r="P1801" s="3">
        <v>100</v>
      </c>
      <c r="Q1801" t="s">
        <v>1872</v>
      </c>
    </row>
    <row r="1803" spans="1:17" x14ac:dyDescent="0.3">
      <c r="K1803" s="58">
        <f>SUBTOTAL(9,Tabla1[Importe total])</f>
        <v>254637760.94099388</v>
      </c>
      <c r="O1803" s="49">
        <f>P1803/K1803</f>
        <v>8.7631585260592879E-2</v>
      </c>
      <c r="P1803" s="58">
        <f>SUBTOTAL(9,Tabla1[MARGEN COMERCIAL2])</f>
        <v>22314310.658467174</v>
      </c>
    </row>
    <row r="1805" spans="1:17" x14ac:dyDescent="0.3">
      <c r="K1805" s="58">
        <f>K1803/83</f>
        <v>3067924.8306143843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3469-0774-4F57-88C1-3BDCD278E037}">
  <dimension ref="A1:M20"/>
  <sheetViews>
    <sheetView workbookViewId="0">
      <selection activeCell="A5" sqref="A5"/>
    </sheetView>
  </sheetViews>
  <sheetFormatPr baseColWidth="10" defaultRowHeight="14.4" x14ac:dyDescent="0.3"/>
  <cols>
    <col min="1" max="1" width="20.6640625" style="64" customWidth="1"/>
    <col min="2" max="2" width="11.5546875" style="65"/>
    <col min="3" max="3" width="31.88671875" style="64" customWidth="1"/>
    <col min="4" max="4" width="13.5546875" style="68" bestFit="1" customWidth="1"/>
    <col min="5" max="5" width="15.21875" style="66" customWidth="1"/>
    <col min="6" max="6" width="14.44140625" style="64" customWidth="1"/>
    <col min="7" max="7" width="14.109375" style="64" customWidth="1"/>
    <col min="8" max="8" width="11.5546875" style="66"/>
    <col min="9" max="9" width="11.5546875" style="64"/>
    <col min="10" max="10" width="14.21875" style="64" customWidth="1"/>
    <col min="11" max="11" width="11.5546875" style="66"/>
    <col min="12" max="12" width="11.5546875" style="64"/>
    <col min="13" max="13" width="16" style="66" customWidth="1"/>
    <col min="14" max="16384" width="11.5546875" style="64"/>
  </cols>
  <sheetData>
    <row r="1" spans="1:13" ht="28.8" x14ac:dyDescent="0.3">
      <c r="A1" s="60" t="s">
        <v>12</v>
      </c>
      <c r="B1" s="61" t="s">
        <v>1</v>
      </c>
      <c r="C1" s="60" t="s">
        <v>3</v>
      </c>
      <c r="D1" s="67" t="s">
        <v>2046</v>
      </c>
      <c r="E1" s="62" t="s">
        <v>2047</v>
      </c>
      <c r="F1" s="60" t="s">
        <v>2048</v>
      </c>
      <c r="G1" s="60" t="s">
        <v>2049</v>
      </c>
      <c r="H1" s="63" t="s">
        <v>2050</v>
      </c>
      <c r="I1" s="60" t="s">
        <v>2051</v>
      </c>
      <c r="J1" s="60" t="s">
        <v>2052</v>
      </c>
      <c r="K1" s="63" t="s">
        <v>2053</v>
      </c>
      <c r="L1" s="60" t="s">
        <v>2054</v>
      </c>
      <c r="M1" s="62" t="s">
        <v>2070</v>
      </c>
    </row>
    <row r="2" spans="1:13" x14ac:dyDescent="0.3">
      <c r="A2" s="60" t="s">
        <v>1855</v>
      </c>
      <c r="B2" s="61">
        <v>46169</v>
      </c>
      <c r="C2" s="60" t="s">
        <v>2055</v>
      </c>
      <c r="D2" s="67">
        <v>9500000</v>
      </c>
      <c r="E2" s="62">
        <v>0.13783493368421099</v>
      </c>
      <c r="F2" s="60">
        <v>1610698.024073621</v>
      </c>
      <c r="G2" s="60">
        <v>1417414.2611847862</v>
      </c>
      <c r="H2" s="63">
        <v>0.12000000000000022</v>
      </c>
      <c r="I2" s="60">
        <v>2164509.814789243</v>
      </c>
      <c r="J2" s="60">
        <v>1928876.6370145339</v>
      </c>
      <c r="K2" s="63">
        <v>0.10886214336600397</v>
      </c>
      <c r="L2" s="60">
        <v>880514.92933646054</v>
      </c>
      <c r="M2" s="62">
        <v>0.15380731816149648</v>
      </c>
    </row>
    <row r="3" spans="1:13" x14ac:dyDescent="0.3">
      <c r="A3" s="60" t="s">
        <v>1734</v>
      </c>
      <c r="B3" s="61">
        <v>46044</v>
      </c>
      <c r="C3" s="60" t="s">
        <v>2056</v>
      </c>
      <c r="D3" s="67">
        <v>718498.3</v>
      </c>
      <c r="E3" s="62">
        <v>0.19456890851377101</v>
      </c>
      <c r="F3" s="60">
        <v>99839.600713012507</v>
      </c>
      <c r="G3" s="60">
        <v>89855.640641711259</v>
      </c>
      <c r="H3" s="63">
        <v>0.1</v>
      </c>
      <c r="I3" s="60">
        <v>16663.67201426025</v>
      </c>
      <c r="J3" s="60">
        <v>14830.668092691623</v>
      </c>
      <c r="K3" s="63">
        <v>0.11</v>
      </c>
      <c r="L3" s="60">
        <v>127980.46600713013</v>
      </c>
      <c r="M3" s="62">
        <v>0.21259389232321677</v>
      </c>
    </row>
    <row r="4" spans="1:13" x14ac:dyDescent="0.3">
      <c r="A4" s="60" t="s">
        <v>1656</v>
      </c>
      <c r="B4" s="61">
        <v>45881</v>
      </c>
      <c r="C4" s="60" t="s">
        <v>2057</v>
      </c>
      <c r="D4" s="67">
        <v>853450</v>
      </c>
      <c r="E4" s="62">
        <v>0.16949981804758596</v>
      </c>
      <c r="F4" s="60">
        <v>0</v>
      </c>
      <c r="G4" s="60">
        <v>0</v>
      </c>
      <c r="H4" s="63">
        <v>0.1</v>
      </c>
      <c r="I4" s="60">
        <v>108374.26</v>
      </c>
      <c r="J4" s="60">
        <v>96453.09139999999</v>
      </c>
      <c r="K4" s="63">
        <v>0.11</v>
      </c>
      <c r="L4" s="60">
        <v>132738.45111271224</v>
      </c>
      <c r="M4" s="62">
        <v>0.17815430564510426</v>
      </c>
    </row>
    <row r="5" spans="1:13" x14ac:dyDescent="0.3">
      <c r="A5" s="60" t="s">
        <v>1607</v>
      </c>
      <c r="B5" s="61">
        <v>45838</v>
      </c>
      <c r="C5" s="60" t="s">
        <v>2058</v>
      </c>
      <c r="D5" s="67">
        <v>1490360.72</v>
      </c>
      <c r="E5" s="62">
        <v>0.17062135755735899</v>
      </c>
      <c r="F5" s="60">
        <v>338909.16</v>
      </c>
      <c r="G5" s="60">
        <v>305018.24400000001</v>
      </c>
      <c r="H5" s="63">
        <v>0.1</v>
      </c>
      <c r="I5" s="60">
        <v>384615.14</v>
      </c>
      <c r="J5" s="60">
        <v>342307.47460000002</v>
      </c>
      <c r="K5" s="63">
        <v>0.11</v>
      </c>
      <c r="L5" s="60">
        <v>178088.78789656301</v>
      </c>
      <c r="M5" s="62">
        <v>0.23223830174440985</v>
      </c>
    </row>
    <row r="6" spans="1:13" x14ac:dyDescent="0.3">
      <c r="A6" s="60" t="s">
        <v>1548</v>
      </c>
      <c r="B6" s="61">
        <v>45747</v>
      </c>
      <c r="C6" s="60" t="s">
        <v>2059</v>
      </c>
      <c r="D6" s="67">
        <v>4440813.95</v>
      </c>
      <c r="E6" s="62">
        <v>0.15065945969926606</v>
      </c>
      <c r="F6" s="60">
        <v>616879.80000000005</v>
      </c>
      <c r="G6" s="60">
        <v>555191.82000000007</v>
      </c>
      <c r="H6" s="63">
        <v>0.1</v>
      </c>
      <c r="I6" s="60">
        <v>1042789.23</v>
      </c>
      <c r="J6" s="60">
        <v>928082.41469999996</v>
      </c>
      <c r="K6" s="63">
        <v>0.11</v>
      </c>
      <c r="L6" s="60">
        <v>492655.83503196354</v>
      </c>
      <c r="M6" s="62">
        <v>0.17714137493847804</v>
      </c>
    </row>
    <row r="7" spans="1:13" x14ac:dyDescent="0.3">
      <c r="A7" s="60" t="s">
        <v>1512</v>
      </c>
      <c r="B7" s="61">
        <v>45705</v>
      </c>
      <c r="C7" s="60" t="s">
        <v>2060</v>
      </c>
      <c r="D7" s="67">
        <v>815120.48</v>
      </c>
      <c r="E7" s="62">
        <v>0.14022487816770299</v>
      </c>
      <c r="F7" s="60">
        <v>109347.88</v>
      </c>
      <c r="G7" s="60">
        <v>98413.092000000004</v>
      </c>
      <c r="H7" s="63">
        <v>0.1</v>
      </c>
      <c r="I7" s="60">
        <v>18900</v>
      </c>
      <c r="J7" s="60">
        <v>16821</v>
      </c>
      <c r="K7" s="63">
        <v>0.11</v>
      </c>
      <c r="L7" s="60">
        <v>101286.38199999958</v>
      </c>
      <c r="M7" s="62">
        <v>0.14746021605753321</v>
      </c>
    </row>
    <row r="8" spans="1:13" x14ac:dyDescent="0.3">
      <c r="A8" s="60" t="s">
        <v>1471</v>
      </c>
      <c r="B8" s="61">
        <v>45594</v>
      </c>
      <c r="C8" s="60" t="s">
        <v>2061</v>
      </c>
      <c r="D8" s="67">
        <v>1185464.33</v>
      </c>
      <c r="E8" s="62">
        <v>0.14071425379189401</v>
      </c>
      <c r="F8" s="60">
        <v>176880</v>
      </c>
      <c r="G8" s="60">
        <v>159192</v>
      </c>
      <c r="H8" s="63">
        <v>0.1</v>
      </c>
      <c r="I8" s="60">
        <v>50528.800000000003</v>
      </c>
      <c r="J8" s="60">
        <v>44970.632000000005</v>
      </c>
      <c r="K8" s="63">
        <v>0.11</v>
      </c>
      <c r="L8" s="60">
        <v>143565.5605928576</v>
      </c>
      <c r="M8" s="62">
        <v>0.14985098055105175</v>
      </c>
    </row>
    <row r="9" spans="1:13" x14ac:dyDescent="0.3">
      <c r="A9" s="60" t="s">
        <v>1367</v>
      </c>
      <c r="B9" s="61">
        <v>45415</v>
      </c>
      <c r="C9" s="60" t="s">
        <v>2062</v>
      </c>
      <c r="D9" s="67">
        <v>670271.44999999995</v>
      </c>
      <c r="E9" s="62">
        <v>0.13870204395181099</v>
      </c>
      <c r="F9" s="60">
        <v>85639.18</v>
      </c>
      <c r="G9" s="60">
        <v>77075.262000000002</v>
      </c>
      <c r="H9" s="63">
        <v>0.1</v>
      </c>
      <c r="I9" s="60">
        <v>122511.31</v>
      </c>
      <c r="J9" s="60">
        <v>109035.0659</v>
      </c>
      <c r="K9" s="63">
        <v>0.11</v>
      </c>
      <c r="L9" s="60">
        <v>70927.858017544087</v>
      </c>
      <c r="M9" s="62">
        <v>0.15348331747935451</v>
      </c>
    </row>
    <row r="10" spans="1:13" x14ac:dyDescent="0.3">
      <c r="A10" s="60" t="s">
        <v>1365</v>
      </c>
      <c r="B10" s="61">
        <v>45411</v>
      </c>
      <c r="C10" s="60" t="s">
        <v>2060</v>
      </c>
      <c r="D10" s="67">
        <v>658743.34</v>
      </c>
      <c r="E10" s="62">
        <v>0.153007447338948</v>
      </c>
      <c r="F10" s="60">
        <v>64219.03</v>
      </c>
      <c r="G10" s="60">
        <v>57797.127</v>
      </c>
      <c r="H10" s="63">
        <v>0.1</v>
      </c>
      <c r="I10" s="60">
        <v>2370</v>
      </c>
      <c r="J10" s="60">
        <v>2109.3000000000002</v>
      </c>
      <c r="K10" s="63">
        <v>0.11</v>
      </c>
      <c r="L10" s="60">
        <v>94110.033904932716</v>
      </c>
      <c r="M10" s="62">
        <v>0.15892822582838706</v>
      </c>
    </row>
    <row r="11" spans="1:13" x14ac:dyDescent="0.3">
      <c r="A11" s="60" t="s">
        <v>1326</v>
      </c>
      <c r="B11" s="61">
        <v>45345</v>
      </c>
      <c r="C11" s="60" t="s">
        <v>2063</v>
      </c>
      <c r="D11" s="67">
        <v>503000</v>
      </c>
      <c r="E11" s="62">
        <v>0.153935129224652</v>
      </c>
      <c r="F11" s="60">
        <v>103831.66</v>
      </c>
      <c r="G11" s="60">
        <v>93448.494000000006</v>
      </c>
      <c r="H11" s="63">
        <v>0.1</v>
      </c>
      <c r="I11" s="60">
        <v>138791.32</v>
      </c>
      <c r="J11" s="60">
        <v>123524.27480000001</v>
      </c>
      <c r="K11" s="63">
        <v>0.11</v>
      </c>
      <c r="L11" s="60">
        <v>51779.158799999976</v>
      </c>
      <c r="M11" s="62">
        <v>0.19886224521657089</v>
      </c>
    </row>
    <row r="12" spans="1:13" ht="28.8" x14ac:dyDescent="0.3">
      <c r="A12" s="60" t="s">
        <v>1300</v>
      </c>
      <c r="B12" s="61">
        <v>45299</v>
      </c>
      <c r="C12" s="60" t="s">
        <v>2064</v>
      </c>
      <c r="D12" s="67">
        <v>1136822.71</v>
      </c>
      <c r="E12" s="62">
        <v>0.18679355298375591</v>
      </c>
      <c r="F12" s="60">
        <v>185668.63</v>
      </c>
      <c r="G12" s="60">
        <v>167101.76700000002</v>
      </c>
      <c r="H12" s="63">
        <v>0.1</v>
      </c>
      <c r="I12" s="60">
        <v>110415.71</v>
      </c>
      <c r="J12" s="60">
        <v>98269.981900000013</v>
      </c>
      <c r="K12" s="63">
        <v>0.11</v>
      </c>
      <c r="L12" s="60">
        <v>181638.56201352202</v>
      </c>
      <c r="M12" s="62">
        <v>0.21604647592511095</v>
      </c>
    </row>
    <row r="13" spans="1:13" x14ac:dyDescent="0.3">
      <c r="A13" s="60" t="s">
        <v>1184</v>
      </c>
      <c r="B13" s="61">
        <v>45027</v>
      </c>
      <c r="C13" s="60" t="s">
        <v>2065</v>
      </c>
      <c r="D13" s="67">
        <v>1283046.08</v>
      </c>
      <c r="E13" s="62">
        <v>0.181167507434739</v>
      </c>
      <c r="F13" s="60">
        <v>146606.24</v>
      </c>
      <c r="G13" s="60">
        <v>131945.61600000001</v>
      </c>
      <c r="H13" s="63">
        <v>0.1</v>
      </c>
      <c r="I13" s="60">
        <v>44784.94</v>
      </c>
      <c r="J13" s="60">
        <v>39858.596600000004</v>
      </c>
      <c r="K13" s="63">
        <v>0.11</v>
      </c>
      <c r="L13" s="60">
        <v>212859.29283751274</v>
      </c>
      <c r="M13" s="62">
        <v>0.19498771345918267</v>
      </c>
    </row>
    <row r="14" spans="1:13" x14ac:dyDescent="0.3">
      <c r="A14" s="60" t="s">
        <v>1163</v>
      </c>
      <c r="B14" s="61">
        <v>44994</v>
      </c>
      <c r="C14" s="60" t="s">
        <v>2062</v>
      </c>
      <c r="D14" s="67">
        <v>2114972.6</v>
      </c>
      <c r="E14" s="62">
        <v>0.12230751626745</v>
      </c>
      <c r="F14" s="60">
        <v>400076.75</v>
      </c>
      <c r="G14" s="60">
        <v>360069.07500000001</v>
      </c>
      <c r="H14" s="63">
        <v>0.1</v>
      </c>
      <c r="I14" s="60">
        <v>461641.26</v>
      </c>
      <c r="J14" s="60">
        <v>410860.72140000004</v>
      </c>
      <c r="K14" s="63">
        <v>0.11</v>
      </c>
      <c r="L14" s="60">
        <v>167888.83207971108</v>
      </c>
      <c r="M14" s="62">
        <v>0.13396227184750312</v>
      </c>
    </row>
    <row r="15" spans="1:13" ht="28.8" x14ac:dyDescent="0.3">
      <c r="A15" s="60" t="s">
        <v>1119</v>
      </c>
      <c r="B15" s="61">
        <v>44916</v>
      </c>
      <c r="C15" s="60" t="s">
        <v>2066</v>
      </c>
      <c r="D15" s="67">
        <v>4202839.47</v>
      </c>
      <c r="E15" s="62">
        <v>0.14176010061510699</v>
      </c>
      <c r="F15" s="60">
        <v>630780.75</v>
      </c>
      <c r="G15" s="60">
        <v>567702.67500000005</v>
      </c>
      <c r="H15" s="63">
        <v>0.1</v>
      </c>
      <c r="I15" s="60">
        <v>827539.6</v>
      </c>
      <c r="J15" s="60">
        <v>736510.24399999995</v>
      </c>
      <c r="K15" s="63">
        <v>0.11</v>
      </c>
      <c r="L15" s="60">
        <v>441687.51513634296</v>
      </c>
      <c r="M15" s="62">
        <v>0.16093439171826321</v>
      </c>
    </row>
    <row r="16" spans="1:13" ht="28.8" x14ac:dyDescent="0.3">
      <c r="A16" s="60" t="s">
        <v>1079</v>
      </c>
      <c r="B16" s="61">
        <v>44832</v>
      </c>
      <c r="C16" s="60" t="s">
        <v>2067</v>
      </c>
      <c r="D16" s="67">
        <v>1115978.83</v>
      </c>
      <c r="E16" s="62">
        <v>0.24549742578898201</v>
      </c>
      <c r="F16" s="60">
        <v>401795.58</v>
      </c>
      <c r="G16" s="60">
        <v>361616.022</v>
      </c>
      <c r="H16" s="63">
        <v>0.1</v>
      </c>
      <c r="I16" s="60">
        <v>382398.49</v>
      </c>
      <c r="J16" s="60">
        <v>340334.65610000002</v>
      </c>
      <c r="K16" s="63">
        <v>0.11</v>
      </c>
      <c r="L16" s="60">
        <v>191726.53810000001</v>
      </c>
      <c r="M16" s="62">
        <v>0.5778642096158968</v>
      </c>
    </row>
    <row r="17" spans="1:13" x14ac:dyDescent="0.3">
      <c r="A17" s="60" t="s">
        <v>1008</v>
      </c>
      <c r="B17" s="61">
        <v>44687</v>
      </c>
      <c r="C17" s="60" t="s">
        <v>2062</v>
      </c>
      <c r="D17" s="67">
        <v>1346642.4200000002</v>
      </c>
      <c r="E17" s="62">
        <v>0.148745550847458</v>
      </c>
      <c r="F17" s="60">
        <v>189533.19</v>
      </c>
      <c r="G17" s="60">
        <v>170579.87100000001</v>
      </c>
      <c r="H17" s="63">
        <v>0.1</v>
      </c>
      <c r="I17" s="60">
        <v>61955.87</v>
      </c>
      <c r="J17" s="60">
        <v>55140.724300000002</v>
      </c>
      <c r="K17" s="63">
        <v>0.11</v>
      </c>
      <c r="L17" s="60">
        <v>174538.60385745394</v>
      </c>
      <c r="M17" s="62">
        <v>0.15937366421215557</v>
      </c>
    </row>
    <row r="18" spans="1:13" x14ac:dyDescent="0.3">
      <c r="A18" s="60" t="s">
        <v>1004</v>
      </c>
      <c r="B18" s="61">
        <v>44678</v>
      </c>
      <c r="C18" s="60" t="s">
        <v>2068</v>
      </c>
      <c r="D18" s="67">
        <v>2443763.36</v>
      </c>
      <c r="E18" s="62">
        <v>0.13711393888809301</v>
      </c>
      <c r="F18" s="60">
        <v>381474.76</v>
      </c>
      <c r="G18" s="60">
        <v>343327.28400000004</v>
      </c>
      <c r="H18" s="63">
        <v>0.1</v>
      </c>
      <c r="I18" s="60">
        <v>221574.48</v>
      </c>
      <c r="J18" s="60">
        <v>197201.28720000002</v>
      </c>
      <c r="K18" s="63">
        <v>0.11</v>
      </c>
      <c r="L18" s="60">
        <v>272553.35120000091</v>
      </c>
      <c r="M18" s="62">
        <v>0.14806935430038476</v>
      </c>
    </row>
    <row r="19" spans="1:13" x14ac:dyDescent="0.3">
      <c r="A19" s="60" t="s">
        <v>818</v>
      </c>
      <c r="B19" s="61">
        <v>44243</v>
      </c>
      <c r="C19" s="60" t="s">
        <v>2056</v>
      </c>
      <c r="D19" s="67">
        <v>869623.74</v>
      </c>
      <c r="E19" s="62">
        <v>0.111019254308766</v>
      </c>
      <c r="F19" s="60">
        <v>35938.03</v>
      </c>
      <c r="G19" s="60">
        <v>32344.226999999999</v>
      </c>
      <c r="H19" s="63">
        <v>0.1</v>
      </c>
      <c r="I19" s="60">
        <v>24601.43</v>
      </c>
      <c r="J19" s="60">
        <v>21895.272700000001</v>
      </c>
      <c r="K19" s="63">
        <v>0.11</v>
      </c>
      <c r="L19" s="60">
        <v>90245.018844000209</v>
      </c>
      <c r="M19" s="62">
        <v>0.11153970120887804</v>
      </c>
    </row>
    <row r="20" spans="1:13" x14ac:dyDescent="0.3">
      <c r="A20" s="60" t="s">
        <v>794</v>
      </c>
      <c r="B20" s="61">
        <v>44208</v>
      </c>
      <c r="C20" s="60" t="s">
        <v>2069</v>
      </c>
      <c r="D20" s="67">
        <v>984777.26</v>
      </c>
      <c r="E20" s="62">
        <v>0.139484191582572</v>
      </c>
      <c r="F20" s="60">
        <v>142011.98000000001</v>
      </c>
      <c r="G20" s="60">
        <v>127810.78200000001</v>
      </c>
      <c r="H20" s="63">
        <v>0.1</v>
      </c>
      <c r="I20" s="60">
        <v>114196.07</v>
      </c>
      <c r="J20" s="60">
        <v>101634.50230000001</v>
      </c>
      <c r="K20" s="63">
        <v>0.11</v>
      </c>
      <c r="L20" s="60">
        <v>110598.0943000003</v>
      </c>
      <c r="M20" s="62">
        <v>0.15180176815322777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topLeftCell="A21" zoomScaleNormal="100" workbookViewId="0">
      <selection activeCell="C48" sqref="C48"/>
    </sheetView>
  </sheetViews>
  <sheetFormatPr baseColWidth="10" defaultColWidth="8.6640625" defaultRowHeight="14.4" x14ac:dyDescent="0.3"/>
  <cols>
    <col min="1" max="1" width="14" customWidth="1"/>
    <col min="2" max="14" width="12" customWidth="1"/>
  </cols>
  <sheetData>
    <row r="1" spans="1:14" ht="15" customHeight="1" x14ac:dyDescent="0.3">
      <c r="A1" s="69" t="s">
        <v>1900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3" spans="1:14" ht="15" customHeight="1" x14ac:dyDescent="0.3">
      <c r="A3" s="7" t="s">
        <v>0</v>
      </c>
      <c r="B3" s="7" t="s">
        <v>1901</v>
      </c>
      <c r="C3" s="7" t="s">
        <v>1902</v>
      </c>
      <c r="D3" s="7" t="s">
        <v>1903</v>
      </c>
      <c r="E3" s="7" t="s">
        <v>1904</v>
      </c>
      <c r="F3" s="7" t="s">
        <v>1905</v>
      </c>
      <c r="G3" s="7" t="s">
        <v>1906</v>
      </c>
      <c r="H3" s="7" t="s">
        <v>1907</v>
      </c>
      <c r="I3" s="7" t="s">
        <v>1908</v>
      </c>
      <c r="J3" s="7" t="s">
        <v>1909</v>
      </c>
      <c r="K3" s="7" t="s">
        <v>1910</v>
      </c>
      <c r="L3" s="7" t="s">
        <v>1911</v>
      </c>
      <c r="M3" s="7" t="s">
        <v>1912</v>
      </c>
      <c r="N3" s="7" t="s">
        <v>1913</v>
      </c>
    </row>
    <row r="4" spans="1:14" ht="15" customHeight="1" x14ac:dyDescent="0.3">
      <c r="A4" s="9">
        <v>2021</v>
      </c>
      <c r="B4" s="10">
        <v>1810392.98</v>
      </c>
      <c r="C4" s="10">
        <v>1089231.7978139699</v>
      </c>
      <c r="D4" s="10">
        <v>1116870.32</v>
      </c>
      <c r="E4" s="10">
        <v>2068493.4295423999</v>
      </c>
      <c r="F4" s="10">
        <v>2505141.3898056201</v>
      </c>
      <c r="G4" s="10">
        <v>3589383.9176787999</v>
      </c>
      <c r="H4" s="10">
        <v>1917227.88</v>
      </c>
      <c r="I4" s="10">
        <v>1140240.97</v>
      </c>
      <c r="J4" s="10">
        <v>1276014.5900000001</v>
      </c>
      <c r="K4" s="10">
        <v>33998.400000000001</v>
      </c>
      <c r="L4" s="10">
        <v>1148205.28</v>
      </c>
      <c r="M4" s="10">
        <v>2615340.25</v>
      </c>
      <c r="N4" s="11">
        <f>SUM(B4:M4)</f>
        <v>20310541.20484079</v>
      </c>
    </row>
    <row r="5" spans="1:14" ht="15" customHeight="1" x14ac:dyDescent="0.3">
      <c r="A5" s="12" t="s">
        <v>1914</v>
      </c>
      <c r="B5" s="13">
        <f>B4</f>
        <v>1810392.98</v>
      </c>
      <c r="C5" s="13">
        <f t="shared" ref="C5:M5" si="0">B5+C4</f>
        <v>2899624.7778139701</v>
      </c>
      <c r="D5" s="13">
        <f t="shared" si="0"/>
        <v>4016495.0978139704</v>
      </c>
      <c r="E5" s="13">
        <f t="shared" si="0"/>
        <v>6084988.5273563704</v>
      </c>
      <c r="F5" s="13">
        <f t="shared" si="0"/>
        <v>8590129.91716199</v>
      </c>
      <c r="G5" s="13">
        <f t="shared" si="0"/>
        <v>12179513.834840789</v>
      </c>
      <c r="H5" s="13">
        <f t="shared" si="0"/>
        <v>14096741.714840788</v>
      </c>
      <c r="I5" s="13">
        <f t="shared" si="0"/>
        <v>15236982.684840789</v>
      </c>
      <c r="J5" s="13">
        <f t="shared" si="0"/>
        <v>16512997.274840789</v>
      </c>
      <c r="K5" s="13">
        <f t="shared" si="0"/>
        <v>16546995.674840789</v>
      </c>
      <c r="L5" s="13">
        <f t="shared" si="0"/>
        <v>17695200.95484079</v>
      </c>
      <c r="M5" s="13">
        <f t="shared" si="0"/>
        <v>20310541.20484079</v>
      </c>
      <c r="N5" s="14">
        <f>M5</f>
        <v>20310541.20484079</v>
      </c>
    </row>
    <row r="7" spans="1:14" ht="15" customHeight="1" x14ac:dyDescent="0.3">
      <c r="A7" s="9">
        <v>2022</v>
      </c>
      <c r="B7" s="10">
        <v>229756.7</v>
      </c>
      <c r="C7" s="10">
        <v>3871835.6</v>
      </c>
      <c r="D7" s="10">
        <v>3602116.08</v>
      </c>
      <c r="E7" s="10">
        <v>6230558.2800000003</v>
      </c>
      <c r="F7" s="10">
        <v>5222934.93</v>
      </c>
      <c r="G7" s="10">
        <v>1427789.89</v>
      </c>
      <c r="H7" s="10">
        <v>3476461.52</v>
      </c>
      <c r="I7" s="10">
        <v>1870213.4</v>
      </c>
      <c r="J7" s="10">
        <v>1212618.77</v>
      </c>
      <c r="K7" s="10">
        <v>142299.66421052601</v>
      </c>
      <c r="L7" s="10">
        <v>1305489.57</v>
      </c>
      <c r="M7" s="10">
        <v>4607690.1977966102</v>
      </c>
      <c r="N7" s="11">
        <f>SUM(B7:M7)</f>
        <v>33199764.602007132</v>
      </c>
    </row>
    <row r="8" spans="1:14" ht="15" customHeight="1" x14ac:dyDescent="0.3">
      <c r="A8" s="12" t="s">
        <v>1914</v>
      </c>
      <c r="B8" s="13">
        <f>B7</f>
        <v>229756.7</v>
      </c>
      <c r="C8" s="13">
        <f t="shared" ref="C8:M8" si="1">B8+C7</f>
        <v>4101592.3000000003</v>
      </c>
      <c r="D8" s="13">
        <f t="shared" si="1"/>
        <v>7703708.3800000008</v>
      </c>
      <c r="E8" s="13">
        <f t="shared" si="1"/>
        <v>13934266.66</v>
      </c>
      <c r="F8" s="13">
        <f t="shared" si="1"/>
        <v>19157201.59</v>
      </c>
      <c r="G8" s="13">
        <f t="shared" si="1"/>
        <v>20584991.48</v>
      </c>
      <c r="H8" s="13">
        <f t="shared" si="1"/>
        <v>24061453</v>
      </c>
      <c r="I8" s="13">
        <f t="shared" si="1"/>
        <v>25931666.399999999</v>
      </c>
      <c r="J8" s="13">
        <f t="shared" si="1"/>
        <v>27144285.169999998</v>
      </c>
      <c r="K8" s="13">
        <f t="shared" si="1"/>
        <v>27286584.834210522</v>
      </c>
      <c r="L8" s="13">
        <f t="shared" si="1"/>
        <v>28592074.404210523</v>
      </c>
      <c r="M8" s="13">
        <f t="shared" si="1"/>
        <v>33199764.602007132</v>
      </c>
      <c r="N8" s="14">
        <f>M8</f>
        <v>33199764.602007132</v>
      </c>
    </row>
    <row r="10" spans="1:14" ht="15" customHeight="1" x14ac:dyDescent="0.3">
      <c r="A10" s="9">
        <v>2023</v>
      </c>
      <c r="B10" s="10">
        <v>673094.91</v>
      </c>
      <c r="C10" s="10">
        <v>516516.52237288101</v>
      </c>
      <c r="D10" s="10">
        <v>2410566.14</v>
      </c>
      <c r="E10" s="10">
        <v>1729388.8277966101</v>
      </c>
      <c r="F10" s="10">
        <v>2771062.7120339</v>
      </c>
      <c r="G10" s="10">
        <v>993087.41084745806</v>
      </c>
      <c r="H10" s="10">
        <v>1503733.15</v>
      </c>
      <c r="I10" s="10">
        <v>1039787.87491525</v>
      </c>
      <c r="J10" s="10">
        <v>27777.770540540499</v>
      </c>
      <c r="K10" s="10">
        <v>594477.09406779695</v>
      </c>
      <c r="L10" s="10">
        <v>1413141.49389831</v>
      </c>
      <c r="M10" s="10">
        <v>1616740.9437288099</v>
      </c>
      <c r="N10" s="11">
        <f>SUM(B10:M10)</f>
        <v>15289374.850201556</v>
      </c>
    </row>
    <row r="11" spans="1:14" ht="15" customHeight="1" x14ac:dyDescent="0.3">
      <c r="A11" s="12" t="s">
        <v>1914</v>
      </c>
      <c r="B11" s="13">
        <f>B10</f>
        <v>673094.91</v>
      </c>
      <c r="C11" s="13">
        <f t="shared" ref="C11:M11" si="2">B11+C10</f>
        <v>1189611.4323728811</v>
      </c>
      <c r="D11" s="13">
        <f t="shared" si="2"/>
        <v>3600177.5723728812</v>
      </c>
      <c r="E11" s="13">
        <f t="shared" si="2"/>
        <v>5329566.4001694918</v>
      </c>
      <c r="F11" s="13">
        <f t="shared" si="2"/>
        <v>8100629.1122033913</v>
      </c>
      <c r="G11" s="13">
        <f t="shared" si="2"/>
        <v>9093716.5230508484</v>
      </c>
      <c r="H11" s="13">
        <f t="shared" si="2"/>
        <v>10597449.673050849</v>
      </c>
      <c r="I11" s="13">
        <f t="shared" si="2"/>
        <v>11637237.547966098</v>
      </c>
      <c r="J11" s="13">
        <f t="shared" si="2"/>
        <v>11665015.318506639</v>
      </c>
      <c r="K11" s="13">
        <f t="shared" si="2"/>
        <v>12259492.412574437</v>
      </c>
      <c r="L11" s="13">
        <f t="shared" si="2"/>
        <v>13672633.906472746</v>
      </c>
      <c r="M11" s="13">
        <f t="shared" si="2"/>
        <v>15289374.850201556</v>
      </c>
      <c r="N11" s="14">
        <f>M11</f>
        <v>15289374.850201556</v>
      </c>
    </row>
    <row r="13" spans="1:14" ht="15" customHeight="1" x14ac:dyDescent="0.3">
      <c r="A13" s="9">
        <v>2024</v>
      </c>
      <c r="B13" s="10">
        <v>77019.72</v>
      </c>
      <c r="C13" s="10">
        <v>1168612.24559322</v>
      </c>
      <c r="D13" s="10">
        <v>3590756.6333898301</v>
      </c>
      <c r="E13" s="10">
        <v>1626868.75915254</v>
      </c>
      <c r="F13" s="10">
        <v>3115787.7355932202</v>
      </c>
      <c r="G13" s="10">
        <v>1156829.48694915</v>
      </c>
      <c r="H13" s="10">
        <v>1562515.88</v>
      </c>
      <c r="I13" s="10">
        <v>578585.72067796602</v>
      </c>
      <c r="J13" s="10">
        <v>334648.88033898303</v>
      </c>
      <c r="K13" s="10">
        <v>1672197.82</v>
      </c>
      <c r="L13" s="10">
        <v>470764.38</v>
      </c>
      <c r="M13" s="10">
        <v>96562.07</v>
      </c>
      <c r="N13" s="11">
        <f>SUM(B13:M13)</f>
        <v>15451149.33169491</v>
      </c>
    </row>
    <row r="14" spans="1:14" ht="15" customHeight="1" x14ac:dyDescent="0.3">
      <c r="A14" s="12" t="s">
        <v>1914</v>
      </c>
      <c r="B14" s="13">
        <f>B13</f>
        <v>77019.72</v>
      </c>
      <c r="C14" s="13">
        <f t="shared" ref="C14:M14" si="3">B14+C13</f>
        <v>1245631.96559322</v>
      </c>
      <c r="D14" s="13">
        <f t="shared" si="3"/>
        <v>4836388.5989830503</v>
      </c>
      <c r="E14" s="13">
        <f t="shared" si="3"/>
        <v>6463257.3581355903</v>
      </c>
      <c r="F14" s="13">
        <f t="shared" si="3"/>
        <v>9579045.0937288105</v>
      </c>
      <c r="G14" s="13">
        <f t="shared" si="3"/>
        <v>10735874.58067796</v>
      </c>
      <c r="H14" s="13">
        <f t="shared" si="3"/>
        <v>12298390.460677959</v>
      </c>
      <c r="I14" s="13">
        <f t="shared" si="3"/>
        <v>12876976.181355925</v>
      </c>
      <c r="J14" s="13">
        <f t="shared" si="3"/>
        <v>13211625.061694909</v>
      </c>
      <c r="K14" s="13">
        <f t="shared" si="3"/>
        <v>14883822.881694909</v>
      </c>
      <c r="L14" s="13">
        <f t="shared" si="3"/>
        <v>15354587.26169491</v>
      </c>
      <c r="M14" s="13">
        <f t="shared" si="3"/>
        <v>15451149.33169491</v>
      </c>
      <c r="N14" s="14">
        <f>M14</f>
        <v>15451149.33169491</v>
      </c>
    </row>
    <row r="16" spans="1:14" ht="15" customHeight="1" x14ac:dyDescent="0.3">
      <c r="A16" s="9">
        <v>2025</v>
      </c>
      <c r="B16" s="10">
        <v>197251.39610169499</v>
      </c>
      <c r="C16" s="10">
        <v>1096220.79135593</v>
      </c>
      <c r="D16" s="10">
        <v>6615418.0866101701</v>
      </c>
      <c r="E16" s="10">
        <v>4607683.3571186401</v>
      </c>
      <c r="F16" s="10">
        <v>2423434.70983051</v>
      </c>
      <c r="G16" s="10">
        <v>4274625.5741227902</v>
      </c>
      <c r="H16" s="10">
        <v>888259.06</v>
      </c>
      <c r="I16" s="10">
        <v>5353130.5448424499</v>
      </c>
      <c r="J16" s="10">
        <v>4071839.8106779698</v>
      </c>
      <c r="K16" s="10">
        <v>1992459.23</v>
      </c>
      <c r="L16" s="10">
        <v>2432240.9900000002</v>
      </c>
      <c r="M16" s="10">
        <v>1003760.83</v>
      </c>
      <c r="N16" s="11">
        <f>SUM(B16:M16)</f>
        <v>34956324.380660146</v>
      </c>
    </row>
    <row r="17" spans="1:14" ht="15" customHeight="1" x14ac:dyDescent="0.3">
      <c r="A17" s="12" t="s">
        <v>1914</v>
      </c>
      <c r="B17" s="13">
        <f>B16</f>
        <v>197251.39610169499</v>
      </c>
      <c r="C17" s="13">
        <f t="shared" ref="C17:M17" si="4">B17+C16</f>
        <v>1293472.1874576251</v>
      </c>
      <c r="D17" s="13">
        <f t="shared" si="4"/>
        <v>7908890.2740677949</v>
      </c>
      <c r="E17" s="13">
        <f t="shared" si="4"/>
        <v>12516573.631186435</v>
      </c>
      <c r="F17" s="13">
        <f t="shared" si="4"/>
        <v>14940008.341016944</v>
      </c>
      <c r="G17" s="13">
        <f t="shared" si="4"/>
        <v>19214633.915139735</v>
      </c>
      <c r="H17" s="13">
        <f t="shared" si="4"/>
        <v>20102892.975139733</v>
      </c>
      <c r="I17" s="13">
        <f t="shared" si="4"/>
        <v>25456023.519982181</v>
      </c>
      <c r="J17" s="13">
        <f t="shared" si="4"/>
        <v>29527863.330660149</v>
      </c>
      <c r="K17" s="13">
        <f t="shared" si="4"/>
        <v>31520322.56066015</v>
      </c>
      <c r="L17" s="13">
        <f t="shared" si="4"/>
        <v>33952563.550660148</v>
      </c>
      <c r="M17" s="13">
        <f t="shared" si="4"/>
        <v>34956324.380660146</v>
      </c>
      <c r="N17" s="14">
        <f>M17</f>
        <v>34956324.380660146</v>
      </c>
    </row>
    <row r="19" spans="1:14" ht="15" customHeight="1" x14ac:dyDescent="0.3">
      <c r="A19" s="9">
        <v>2026</v>
      </c>
      <c r="B19" s="10">
        <v>4362015.79</v>
      </c>
      <c r="C19" s="10">
        <v>3578569.87</v>
      </c>
      <c r="D19" s="10">
        <v>481538.55</v>
      </c>
      <c r="E19" s="10">
        <v>4267062.12</v>
      </c>
      <c r="F19" s="10">
        <v>13044891.470000001</v>
      </c>
      <c r="G19" s="10">
        <v>2526579.27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1">
        <f>SUM(B19:M19)</f>
        <v>28260657.070000004</v>
      </c>
    </row>
    <row r="20" spans="1:14" ht="15" customHeight="1" x14ac:dyDescent="0.3">
      <c r="A20" s="12" t="s">
        <v>1914</v>
      </c>
      <c r="B20" s="13">
        <f>B19</f>
        <v>4362015.79</v>
      </c>
      <c r="C20" s="13">
        <f t="shared" ref="C20:M20" si="5">B20+C19</f>
        <v>7940585.6600000001</v>
      </c>
      <c r="D20" s="13">
        <f t="shared" si="5"/>
        <v>8422124.2100000009</v>
      </c>
      <c r="E20" s="13">
        <f t="shared" si="5"/>
        <v>12689186.330000002</v>
      </c>
      <c r="F20" s="13">
        <f t="shared" si="5"/>
        <v>25734077.800000004</v>
      </c>
      <c r="G20" s="13">
        <f t="shared" si="5"/>
        <v>28260657.070000004</v>
      </c>
      <c r="H20" s="13">
        <f t="shared" si="5"/>
        <v>28260657.070000004</v>
      </c>
      <c r="I20" s="13">
        <f t="shared" si="5"/>
        <v>28260657.070000004</v>
      </c>
      <c r="J20" s="13">
        <f t="shared" si="5"/>
        <v>28260657.070000004</v>
      </c>
      <c r="K20" s="13">
        <f t="shared" si="5"/>
        <v>28260657.070000004</v>
      </c>
      <c r="L20" s="13">
        <f t="shared" si="5"/>
        <v>28260657.070000004</v>
      </c>
      <c r="M20" s="13">
        <f t="shared" si="5"/>
        <v>28260657.070000004</v>
      </c>
      <c r="N20" s="14">
        <f>M20</f>
        <v>28260657.070000004</v>
      </c>
    </row>
    <row r="22" spans="1:14" ht="15" customHeight="1" x14ac:dyDescent="0.3">
      <c r="A22" s="15" t="s">
        <v>1913</v>
      </c>
      <c r="B22" s="16">
        <f t="shared" ref="B22:M22" si="6">B4+B7+B10+B13+B16+B19</f>
        <v>7349531.4961016951</v>
      </c>
      <c r="C22" s="16">
        <f t="shared" si="6"/>
        <v>11320986.827136002</v>
      </c>
      <c r="D22" s="16">
        <f t="shared" si="6"/>
        <v>17817265.810000002</v>
      </c>
      <c r="E22" s="16">
        <f t="shared" si="6"/>
        <v>20530054.77361019</v>
      </c>
      <c r="F22" s="16">
        <f t="shared" si="6"/>
        <v>29083252.947263248</v>
      </c>
      <c r="G22" s="16">
        <f t="shared" si="6"/>
        <v>13968295.549598198</v>
      </c>
      <c r="H22" s="16">
        <f t="shared" si="6"/>
        <v>9348197.4900000002</v>
      </c>
      <c r="I22" s="16">
        <f t="shared" si="6"/>
        <v>9981958.5104356669</v>
      </c>
      <c r="J22" s="16">
        <f t="shared" si="6"/>
        <v>6922899.8215574939</v>
      </c>
      <c r="K22" s="16">
        <f t="shared" si="6"/>
        <v>4435432.2082783226</v>
      </c>
      <c r="L22" s="16">
        <f t="shared" si="6"/>
        <v>6769841.7138983104</v>
      </c>
      <c r="M22" s="16">
        <f t="shared" si="6"/>
        <v>9940094.2915254198</v>
      </c>
      <c r="N22" s="16">
        <f>SUM(B22:M22)</f>
        <v>147467811.43940455</v>
      </c>
    </row>
    <row r="25" spans="1:14" ht="15" customHeight="1" x14ac:dyDescent="0.3">
      <c r="A25" s="69" t="s">
        <v>1915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</row>
    <row r="27" spans="1:14" ht="15" customHeight="1" x14ac:dyDescent="0.3">
      <c r="A27" s="7" t="s">
        <v>0</v>
      </c>
      <c r="B27" s="7" t="s">
        <v>1901</v>
      </c>
      <c r="C27" s="7" t="s">
        <v>1902</v>
      </c>
      <c r="D27" s="7" t="s">
        <v>1903</v>
      </c>
      <c r="E27" s="7" t="s">
        <v>1904</v>
      </c>
      <c r="F27" s="7" t="s">
        <v>1905</v>
      </c>
      <c r="G27" s="7" t="s">
        <v>1906</v>
      </c>
      <c r="H27" s="7" t="s">
        <v>1907</v>
      </c>
      <c r="I27" s="7" t="s">
        <v>1908</v>
      </c>
      <c r="J27" s="7" t="s">
        <v>1909</v>
      </c>
      <c r="K27" s="7" t="s">
        <v>1910</v>
      </c>
      <c r="L27" s="7" t="s">
        <v>1911</v>
      </c>
      <c r="M27" s="7" t="s">
        <v>1912</v>
      </c>
      <c r="N27" s="7" t="s">
        <v>1916</v>
      </c>
    </row>
    <row r="28" spans="1:14" ht="15" customHeight="1" x14ac:dyDescent="0.3">
      <c r="A28" s="9">
        <v>2021</v>
      </c>
      <c r="B28" s="17">
        <f>IFERROR(SUMIFS('Data Cruda'!$P$2:$P$1801,'Data Cruda'!$A$2:$A$1801,2021,'Data Cruda'!$C$2:$C$1801,"Enero")/SUMIFS('Data Cruda'!$K$2:$K$1801,'Data Cruda'!$A$2:$A$1801,2021,'Data Cruda'!$C$2:$C$1801,"Enero"),0)</f>
        <v>0.15808456128679868</v>
      </c>
      <c r="C28" s="17">
        <f>IFERROR(SUMIFS('Data Cruda'!$P$2:$P$1801,'Data Cruda'!$A$2:$A$1801,2021,'Data Cruda'!$C$2:$C$1801,"Febrero")/SUMIFS('Data Cruda'!$K$2:$K$1801,'Data Cruda'!$A$2:$A$1801,2021,'Data Cruda'!$C$2:$C$1801,"Febrero"),0)</f>
        <v>0.11613769270035201</v>
      </c>
      <c r="D28" s="17">
        <f>IFERROR(SUMIFS('Data Cruda'!$P$2:$P$1801,'Data Cruda'!$A$2:$A$1801,2021,'Data Cruda'!$C$2:$C$1801,"Marzo")/SUMIFS('Data Cruda'!$K$2:$K$1801,'Data Cruda'!$A$2:$A$1801,2021,'Data Cruda'!$C$2:$C$1801,"Marzo"),0)</f>
        <v>0.17338258572400769</v>
      </c>
      <c r="E28" s="17">
        <f>IFERROR(SUMIFS('Data Cruda'!$P$2:$P$1801,'Data Cruda'!$A$2:$A$1801,2021,'Data Cruda'!$C$2:$C$1801,"Abril")/SUMIFS('Data Cruda'!$K$2:$K$1801,'Data Cruda'!$A$2:$A$1801,2021,'Data Cruda'!$C$2:$C$1801,"Abril"),0)</f>
        <v>3.8448476008741406E-3</v>
      </c>
      <c r="F28" s="17">
        <f>IFERROR(SUMIFS('Data Cruda'!$P$2:$P$1801,'Data Cruda'!$A$2:$A$1801,2021,'Data Cruda'!$C$2:$C$1801,"Mayo")/SUMIFS('Data Cruda'!$K$2:$K$1801,'Data Cruda'!$A$2:$A$1801,2021,'Data Cruda'!$C$2:$C$1801,"Mayo"),0)</f>
        <v>0.15012543756065569</v>
      </c>
      <c r="G28" s="17">
        <f>IFERROR(SUMIFS('Data Cruda'!$P$2:$P$1801,'Data Cruda'!$A$2:$A$1801,2021,'Data Cruda'!$C$2:$C$1801,"Junio")/SUMIFS('Data Cruda'!$K$2:$K$1801,'Data Cruda'!$A$2:$A$1801,2021,'Data Cruda'!$C$2:$C$1801,"Junio"),0)</f>
        <v>0.1622955873175492</v>
      </c>
      <c r="H28" s="17">
        <f>IFERROR(SUMIFS('Data Cruda'!$P$2:$P$1801,'Data Cruda'!$A$2:$A$1801,2021,'Data Cruda'!$C$2:$C$1801,"Julio")/SUMIFS('Data Cruda'!$K$2:$K$1801,'Data Cruda'!$A$2:$A$1801,2021,'Data Cruda'!$C$2:$C$1801,"Julio"),0)</f>
        <v>0.16966510809346247</v>
      </c>
      <c r="I28" s="17">
        <f>IFERROR(SUMIFS('Data Cruda'!$P$2:$P$1801,'Data Cruda'!$A$2:$A$1801,2021,'Data Cruda'!$C$2:$C$1801,"Agosto")/SUMIFS('Data Cruda'!$K$2:$K$1801,'Data Cruda'!$A$2:$A$1801,2021,'Data Cruda'!$C$2:$C$1801,"Agosto"),0)</f>
        <v>0</v>
      </c>
      <c r="J28" s="17">
        <f>IFERROR(SUMIFS('Data Cruda'!$P$2:$P$1801,'Data Cruda'!$A$2:$A$1801,2021,'Data Cruda'!$C$2:$C$1801,"Setiembre")/SUMIFS('Data Cruda'!$K$2:$K$1801,'Data Cruda'!$A$2:$A$1801,2021,'Data Cruda'!$C$2:$C$1801,"Setiembre"),0)</f>
        <v>0.15984318447330606</v>
      </c>
      <c r="K28" s="17">
        <f>IFERROR(SUMIFS('Data Cruda'!$P$2:$P$1801,'Data Cruda'!$A$2:$A$1801,2021,'Data Cruda'!$C$2:$C$1801,"Octubre")/SUMIFS('Data Cruda'!$K$2:$K$1801,'Data Cruda'!$A$2:$A$1801,2021,'Data Cruda'!$C$2:$C$1801,"Octubre"),0)</f>
        <v>0.15817888488870063</v>
      </c>
      <c r="L28" s="17">
        <f>IFERROR(SUMIFS('Data Cruda'!$P$2:$P$1801,'Data Cruda'!$A$2:$A$1801,2021,'Data Cruda'!$C$2:$C$1801,"Noviembre")/SUMIFS('Data Cruda'!$K$2:$K$1801,'Data Cruda'!$A$2:$A$1801,2021,'Data Cruda'!$C$2:$C$1801,"Noviembre"),0)</f>
        <v>0.18715600445592784</v>
      </c>
      <c r="M28" s="17">
        <f>IFERROR(SUMIFS('Data Cruda'!$P$2:$P$1801,'Data Cruda'!$A$2:$A$1801,2021,'Data Cruda'!$C$2:$C$1801,"Diciembre")/SUMIFS('Data Cruda'!$K$2:$K$1801,'Data Cruda'!$A$2:$A$1801,2021,'Data Cruda'!$C$2:$C$1801,"Diciembre"),0)</f>
        <v>0.15512799610742978</v>
      </c>
      <c r="N28" s="18">
        <f>IFERROR(SUMIFS('Data Cruda'!$P$2:$P$1801,'Data Cruda'!$A$2:$A$1801,2021)/SUMIFS('Data Cruda'!$K$2:$K$1801,'Data Cruda'!$A$2:$A$1801,2021),0)</f>
        <v>0.13432208867526749</v>
      </c>
    </row>
    <row r="29" spans="1:14" ht="15" customHeight="1" x14ac:dyDescent="0.3">
      <c r="A29" s="12" t="s">
        <v>1914</v>
      </c>
      <c r="B29" s="19">
        <f>IFERROR(SUMPRODUCT(('Data Cruda'!$A$2:$A$1801=2021)*ISNUMBER(MATCH('Data Cruda'!$C$2:$C$1801,{"Enero"},0))*'Data Cruda'!$P$2:$P$1801)/SUMPRODUCT(('Data Cruda'!$A$2:$A$1801=2021)*ISNUMBER(MATCH('Data Cruda'!$C$2:$C$1801,{"Enero"},0))*'Data Cruda'!$K$2:$K$1801),0)</f>
        <v>0.15808456128679868</v>
      </c>
      <c r="C29" s="19">
        <f>IFERROR(SUMPRODUCT(('Data Cruda'!$A$2:$A$1801=2021)*ISNUMBER(MATCH('Data Cruda'!$C$2:$C$1801,{"Enero","Febrero"},0))*'Data Cruda'!$P$2:$P$1801)/SUMPRODUCT(('Data Cruda'!$A$2:$A$1801=2021)*ISNUMBER(MATCH('Data Cruda'!$C$2:$C$1801,{"Enero","Febrero"},0))*'Data Cruda'!$K$2:$K$1801),0)</f>
        <v>0.14232739731418034</v>
      </c>
      <c r="D29" s="19">
        <f>IFERROR(SUMPRODUCT(('Data Cruda'!$A$2:$A$1801=2021)*ISNUMBER(MATCH('Data Cruda'!$C$2:$C$1801,{"Enero","Febrero","Marzo"},0))*'Data Cruda'!$P$2:$P$1801)/SUMPRODUCT(('Data Cruda'!$A$2:$A$1801=2021)*ISNUMBER(MATCH('Data Cruda'!$C$2:$C$1801,{"Enero","Febrero","Marzo"},0))*'Data Cruda'!$K$2:$K$1801),0)</f>
        <v>0.1509629408346547</v>
      </c>
      <c r="E29" s="19">
        <f>IFERROR(SUMPRODUCT(('Data Cruda'!$A$2:$A$1801=2021)*ISNUMBER(MATCH('Data Cruda'!$C$2:$C$1801,{"Enero","Febrero","Marzo","Abril"},0))*'Data Cruda'!$P$2:$P$1801)/SUMPRODUCT(('Data Cruda'!$A$2:$A$1801=2021)*ISNUMBER(MATCH('Data Cruda'!$C$2:$C$1801,{"Enero","Febrero","Marzo","Abril"},0))*'Data Cruda'!$K$2:$K$1801),0)</f>
        <v>0.10095252456964823</v>
      </c>
      <c r="F29" s="19">
        <f>IFERROR(SUMPRODUCT(('Data Cruda'!$A$2:$A$1801=2021)*ISNUMBER(MATCH('Data Cruda'!$C$2:$C$1801,{"Enero","Febrero","Marzo","Abril","Mayo"},0))*'Data Cruda'!$P$2:$P$1801)/SUMPRODUCT(('Data Cruda'!$A$2:$A$1801=2021)*ISNUMBER(MATCH('Data Cruda'!$C$2:$C$1801,{"Enero","Febrero","Marzo","Abril","Mayo"},0))*'Data Cruda'!$K$2:$K$1801),0)</f>
        <v>0.11529283150085946</v>
      </c>
      <c r="G29" s="19">
        <f>IFERROR(SUMPRODUCT(('Data Cruda'!$A$2:$A$1801=2021)*ISNUMBER(MATCH('Data Cruda'!$C$2:$C$1801,{"Enero","Febrero","Marzo","Abril","Mayo","Junio"},0))*'Data Cruda'!$P$2:$P$1801)/SUMPRODUCT(('Data Cruda'!$A$2:$A$1801=2021)*ISNUMBER(MATCH('Data Cruda'!$C$2:$C$1801,{"Enero","Febrero","Marzo","Abril","Mayo","Junio"},0))*'Data Cruda'!$K$2:$K$1801),0)</f>
        <v>0.12914485696778691</v>
      </c>
      <c r="H29" s="19">
        <f>IFERROR(SUMPRODUCT(('Data Cruda'!$A$2:$A$1801=2021)*ISNUMBER(MATCH('Data Cruda'!$C$2:$C$1801,{"Enero","Febrero","Marzo","Abril","Mayo","Junio","Julio"},0))*'Data Cruda'!$P$2:$P$1801)/SUMPRODUCT(('Data Cruda'!$A$2:$A$1801=2021)*ISNUMBER(MATCH('Data Cruda'!$C$2:$C$1801,{"Enero","Febrero","Marzo","Abril","Mayo","Junio","Julio"},0))*'Data Cruda'!$K$2:$K$1801),0)</f>
        <v>0.13465581522567707</v>
      </c>
      <c r="I29" s="19">
        <f>IFERROR(SUMPRODUCT(('Data Cruda'!$A$2:$A$1801=2021)*ISNUMBER(MATCH('Data Cruda'!$C$2:$C$1801,{"Enero","Febrero","Marzo","Abril","Mayo","Junio","Julio","Agosto"},0))*'Data Cruda'!$P$2:$P$1801)/SUMPRODUCT(('Data Cruda'!$A$2:$A$1801=2021)*ISNUMBER(MATCH('Data Cruda'!$C$2:$C$1801,{"Enero","Febrero","Marzo","Abril","Mayo","Junio","Julio","Agosto"},0))*'Data Cruda'!$K$2:$K$1801),0)</f>
        <v>0.12457901192774964</v>
      </c>
      <c r="J29" s="19">
        <f>IFERROR(SUMPRODUCT(('Data Cruda'!$A$2:$A$1801=2021)*ISNUMBER(MATCH('Data Cruda'!$C$2:$C$1801,{"Enero","Febrero","Marzo","Abril","Mayo","Junio","Julio","Agosto","Setiembre"},0))*'Data Cruda'!$P$2:$P$1801)/SUMPRODUCT(('Data Cruda'!$A$2:$A$1801=2021)*ISNUMBER(MATCH('Data Cruda'!$C$2:$C$1801,{"Enero","Febrero","Marzo","Abril","Mayo","Junio","Julio","Agosto","Setiembre"},0))*'Data Cruda'!$K$2:$K$1801),0)</f>
        <v>0.12730399261559638</v>
      </c>
      <c r="K29" s="19">
        <f>IFERROR(SUMPRODUCT(('Data Cruda'!$A$2:$A$1801=2021)*ISNUMBER(MATCH('Data Cruda'!$C$2:$C$1801,{"Enero","Febrero","Marzo","Abril","Mayo","Junio","Julio","Agosto","Setiembre","Octubre"},0))*'Data Cruda'!$P$2:$P$1801)/SUMPRODUCT(('Data Cruda'!$A$2:$A$1801=2021)*ISNUMBER(MATCH('Data Cruda'!$C$2:$C$1801,{"Enero","Febrero","Marzo","Abril","Mayo","Junio","Julio","Agosto","Setiembre","Octubre"},0))*'Data Cruda'!$K$2:$K$1801),0)</f>
        <v>0.12736742992821101</v>
      </c>
      <c r="L29" s="19">
        <f>IFERROR(SUMPRODUCT(('Data Cruda'!$A$2:$A$1801=2021)*ISNUMBER(MATCH('Data Cruda'!$C$2:$C$1801,{"Enero","Febrero","Marzo","Abril","Mayo","Junio","Julio","Agosto","Setiembre","Octubre","Noviembre"},0))*'Data Cruda'!$P$2:$P$1801)/SUMPRODUCT(('Data Cruda'!$A$2:$A$1801=2021)*ISNUMBER(MATCH('Data Cruda'!$C$2:$C$1801,{"Enero","Febrero","Marzo","Abril","Mayo","Junio","Julio","Agosto","Setiembre","Octubre","Noviembre"},0))*'Data Cruda'!$K$2:$K$1801),0)</f>
        <v>0.13124698784516234</v>
      </c>
      <c r="M29" s="19">
        <f>IFERROR(SUMPRODUCT(('Data Cruda'!$A$2:$A$1801=2021)*ISNUMBER(MATCH('Data Cruda'!$C$2:$C$1801,{"Enero","Febrero","Marzo","Abril","Mayo","Junio","Julio","Agosto","Setiembre","Octubre","Noviembre","Diciembre"},0))*'Data Cruda'!$P$2:$P$1801)/SUMPRODUCT(('Data Cruda'!$A$2:$A$1801=2021)*ISNUMBER(MATCH('Data Cruda'!$C$2:$C$1801,{"Enero","Febrero","Marzo","Abril","Mayo","Junio","Julio","Agosto","Setiembre","Octubre","Noviembre","Diciembre"},0))*'Data Cruda'!$K$2:$K$1801),0)</f>
        <v>0.13432208867526749</v>
      </c>
      <c r="N29" s="20">
        <f>N28</f>
        <v>0.13432208867526749</v>
      </c>
    </row>
    <row r="31" spans="1:14" ht="15" customHeight="1" x14ac:dyDescent="0.3">
      <c r="A31" s="9">
        <v>2022</v>
      </c>
      <c r="B31" s="17">
        <f>IFERROR(SUMIFS('Data Cruda'!$P$2:$P$1801,'Data Cruda'!$A$2:$A$1801,2022,'Data Cruda'!$C$2:$C$1801,"Enero")/SUMIFS('Data Cruda'!$K$2:$K$1801,'Data Cruda'!$A$2:$A$1801,2022,'Data Cruda'!$C$2:$C$1801,"Enero"),0)</f>
        <v>0.14979527256441275</v>
      </c>
      <c r="C31" s="17">
        <f>IFERROR(SUMIFS('Data Cruda'!$P$2:$P$1801,'Data Cruda'!$A$2:$A$1801,2022,'Data Cruda'!$C$2:$C$1801,"Febrero")/SUMIFS('Data Cruda'!$K$2:$K$1801,'Data Cruda'!$A$2:$A$1801,2022,'Data Cruda'!$C$2:$C$1801,"Febrero"),0)</f>
        <v>0.13670559114131842</v>
      </c>
      <c r="D31" s="17">
        <f>IFERROR(SUMIFS('Data Cruda'!$P$2:$P$1801,'Data Cruda'!$A$2:$A$1801,2022,'Data Cruda'!$C$2:$C$1801,"Marzo")/SUMIFS('Data Cruda'!$K$2:$K$1801,'Data Cruda'!$A$2:$A$1801,2022,'Data Cruda'!$C$2:$C$1801,"Marzo"),0)</f>
        <v>0.16291328082353199</v>
      </c>
      <c r="E31" s="17">
        <f>IFERROR(SUMIFS('Data Cruda'!$P$2:$P$1801,'Data Cruda'!$A$2:$A$1801,2022,'Data Cruda'!$C$2:$C$1801,"Abril")/SUMIFS('Data Cruda'!$K$2:$K$1801,'Data Cruda'!$A$2:$A$1801,2022,'Data Cruda'!$C$2:$C$1801,"Abril"),0)</f>
        <v>5.3779132614100361E-2</v>
      </c>
      <c r="F31" s="17">
        <f>IFERROR(SUMIFS('Data Cruda'!$P$2:$P$1801,'Data Cruda'!$A$2:$A$1801,2022,'Data Cruda'!$C$2:$C$1801,"Mayo")/SUMIFS('Data Cruda'!$K$2:$K$1801,'Data Cruda'!$A$2:$A$1801,2022,'Data Cruda'!$C$2:$C$1801,"Mayo"),0)</f>
        <v>0.17489223133017284</v>
      </c>
      <c r="G31" s="17">
        <f>IFERROR(SUMIFS('Data Cruda'!$P$2:$P$1801,'Data Cruda'!$A$2:$A$1801,2022,'Data Cruda'!$C$2:$C$1801,"Junio")/SUMIFS('Data Cruda'!$K$2:$K$1801,'Data Cruda'!$A$2:$A$1801,2022,'Data Cruda'!$C$2:$C$1801,"Junio"),0)</f>
        <v>0.16972185802492271</v>
      </c>
      <c r="H31" s="17">
        <f>IFERROR(SUMIFS('Data Cruda'!$P$2:$P$1801,'Data Cruda'!$A$2:$A$1801,2022,'Data Cruda'!$C$2:$C$1801,"Julio")/SUMIFS('Data Cruda'!$K$2:$K$1801,'Data Cruda'!$A$2:$A$1801,2022,'Data Cruda'!$C$2:$C$1801,"Julio"),0)</f>
        <v>0.1668366857113954</v>
      </c>
      <c r="I31" s="17">
        <f>IFERROR(SUMIFS('Data Cruda'!$P$2:$P$1801,'Data Cruda'!$A$2:$A$1801,2022,'Data Cruda'!$C$2:$C$1801,"Agosto")/SUMIFS('Data Cruda'!$K$2:$K$1801,'Data Cruda'!$A$2:$A$1801,2022,'Data Cruda'!$C$2:$C$1801,"Agosto"),0)</f>
        <v>0.14879387534064303</v>
      </c>
      <c r="J31" s="17">
        <f>IFERROR(SUMIFS('Data Cruda'!$P$2:$P$1801,'Data Cruda'!$A$2:$A$1801,2022,'Data Cruda'!$C$2:$C$1801,"Setiembre")/SUMIFS('Data Cruda'!$K$2:$K$1801,'Data Cruda'!$A$2:$A$1801,2022,'Data Cruda'!$C$2:$C$1801,"Setiembre"),0)</f>
        <v>0.24212895286125252</v>
      </c>
      <c r="K31" s="17">
        <f>IFERROR(SUMIFS('Data Cruda'!$P$2:$P$1801,'Data Cruda'!$A$2:$A$1801,2022,'Data Cruda'!$C$2:$C$1801,"Octubre")/SUMIFS('Data Cruda'!$K$2:$K$1801,'Data Cruda'!$A$2:$A$1801,2022,'Data Cruda'!$C$2:$C$1801,"Octubre"),0)</f>
        <v>0.15487694234437932</v>
      </c>
      <c r="L31" s="17">
        <f>IFERROR(SUMIFS('Data Cruda'!$P$2:$P$1801,'Data Cruda'!$A$2:$A$1801,2022,'Data Cruda'!$C$2:$C$1801,"Noviembre")/SUMIFS('Data Cruda'!$K$2:$K$1801,'Data Cruda'!$A$2:$A$1801,2022,'Data Cruda'!$C$2:$C$1801,"Noviembre"),0)</f>
        <v>0.15650921669178874</v>
      </c>
      <c r="M31" s="17">
        <f>IFERROR(SUMIFS('Data Cruda'!$P$2:$P$1801,'Data Cruda'!$A$2:$A$1801,2022,'Data Cruda'!$C$2:$C$1801,"Diciembre")/SUMIFS('Data Cruda'!$K$2:$K$1801,'Data Cruda'!$A$2:$A$1801,2022,'Data Cruda'!$C$2:$C$1801,"Diciembre"),0)</f>
        <v>0.14372703482032856</v>
      </c>
      <c r="N31" s="18">
        <f>IFERROR(SUMIFS('Data Cruda'!$P$2:$P$1801,'Data Cruda'!$A$2:$A$1801,2022)/SUMIFS('Data Cruda'!$K$2:$K$1801,'Data Cruda'!$A$2:$A$1801,2022),0)</f>
        <v>0.14102208345496853</v>
      </c>
    </row>
    <row r="32" spans="1:14" ht="15" customHeight="1" x14ac:dyDescent="0.3">
      <c r="A32" s="12" t="s">
        <v>1914</v>
      </c>
      <c r="B32" s="19">
        <f>IFERROR(SUMPRODUCT(('Data Cruda'!$A$2:$A$1801=2022)*ISNUMBER(MATCH('Data Cruda'!$C$2:$C$1801,{"Enero"},0))*'Data Cruda'!$P$2:$P$1801)/SUMPRODUCT(('Data Cruda'!$A$2:$A$1801=2022)*ISNUMBER(MATCH('Data Cruda'!$C$2:$C$1801,{"Enero"},0))*'Data Cruda'!$K$2:$K$1801),0)</f>
        <v>0.14979527256441275</v>
      </c>
      <c r="C32" s="19">
        <f>IFERROR(SUMPRODUCT(('Data Cruda'!$A$2:$A$1801=2022)*ISNUMBER(MATCH('Data Cruda'!$C$2:$C$1801,{"Enero","Febrero"},0))*'Data Cruda'!$P$2:$P$1801)/SUMPRODUCT(('Data Cruda'!$A$2:$A$1801=2022)*ISNUMBER(MATCH('Data Cruda'!$C$2:$C$1801,{"Enero","Febrero"},0))*'Data Cruda'!$K$2:$K$1801),0)</f>
        <v>0.13743882881777433</v>
      </c>
      <c r="D32" s="19">
        <f>IFERROR(SUMPRODUCT(('Data Cruda'!$A$2:$A$1801=2022)*ISNUMBER(MATCH('Data Cruda'!$C$2:$C$1801,{"Enero","Febrero","Marzo"},0))*'Data Cruda'!$P$2:$P$1801)/SUMPRODUCT(('Data Cruda'!$A$2:$A$1801=2022)*ISNUMBER(MATCH('Data Cruda'!$C$2:$C$1801,{"Enero","Febrero","Marzo"},0))*'Data Cruda'!$K$2:$K$1801),0)</f>
        <v>0.1493502263775984</v>
      </c>
      <c r="E32" s="19">
        <f>IFERROR(SUMPRODUCT(('Data Cruda'!$A$2:$A$1801=2022)*ISNUMBER(MATCH('Data Cruda'!$C$2:$C$1801,{"Enero","Febrero","Marzo","Abril"},0))*'Data Cruda'!$P$2:$P$1801)/SUMPRODUCT(('Data Cruda'!$A$2:$A$1801=2022)*ISNUMBER(MATCH('Data Cruda'!$C$2:$C$1801,{"Enero","Febrero","Marzo","Abril"},0))*'Data Cruda'!$K$2:$K$1801),0)</f>
        <v>0.1066166341401136</v>
      </c>
      <c r="F32" s="19">
        <f>IFERROR(SUMPRODUCT(('Data Cruda'!$A$2:$A$1801=2022)*ISNUMBER(MATCH('Data Cruda'!$C$2:$C$1801,{"Enero","Febrero","Marzo","Abril","Mayo"},0))*'Data Cruda'!$P$2:$P$1801)/SUMPRODUCT(('Data Cruda'!$A$2:$A$1801=2022)*ISNUMBER(MATCH('Data Cruda'!$C$2:$C$1801,{"Enero","Febrero","Marzo","Abril","Mayo"},0))*'Data Cruda'!$K$2:$K$1801),0)</f>
        <v>0.12523099176198632</v>
      </c>
      <c r="G32" s="19">
        <f>IFERROR(SUMPRODUCT(('Data Cruda'!$A$2:$A$1801=2022)*ISNUMBER(MATCH('Data Cruda'!$C$2:$C$1801,{"Enero","Febrero","Marzo","Abril","Mayo","Junio"},0))*'Data Cruda'!$P$2:$P$1801)/SUMPRODUCT(('Data Cruda'!$A$2:$A$1801=2022)*ISNUMBER(MATCH('Data Cruda'!$C$2:$C$1801,{"Enero","Febrero","Marzo","Abril","Mayo","Junio"},0))*'Data Cruda'!$K$2:$K$1801),0)</f>
        <v>0.12831691040855367</v>
      </c>
      <c r="H32" s="19">
        <f>IFERROR(SUMPRODUCT(('Data Cruda'!$A$2:$A$1801=2022)*ISNUMBER(MATCH('Data Cruda'!$C$2:$C$1801,{"Enero","Febrero","Marzo","Abril","Mayo","Junio","Julio"},0))*'Data Cruda'!$P$2:$P$1801)/SUMPRODUCT(('Data Cruda'!$A$2:$A$1801=2022)*ISNUMBER(MATCH('Data Cruda'!$C$2:$C$1801,{"Enero","Febrero","Marzo","Abril","Mayo","Junio","Julio"},0))*'Data Cruda'!$K$2:$K$1801),0)</f>
        <v>0.13388234806518134</v>
      </c>
      <c r="I32" s="19">
        <f>IFERROR(SUMPRODUCT(('Data Cruda'!$A$2:$A$1801=2022)*ISNUMBER(MATCH('Data Cruda'!$C$2:$C$1801,{"Enero","Febrero","Marzo","Abril","Mayo","Junio","Julio","Agosto"},0))*'Data Cruda'!$P$2:$P$1801)/SUMPRODUCT(('Data Cruda'!$A$2:$A$1801=2022)*ISNUMBER(MATCH('Data Cruda'!$C$2:$C$1801,{"Enero","Febrero","Marzo","Abril","Mayo","Junio","Julio","Agosto"},0))*'Data Cruda'!$K$2:$K$1801),0)</f>
        <v>0.13495777984402887</v>
      </c>
      <c r="J32" s="19">
        <f>IFERROR(SUMPRODUCT(('Data Cruda'!$A$2:$A$1801=2022)*ISNUMBER(MATCH('Data Cruda'!$C$2:$C$1801,{"Enero","Febrero","Marzo","Abril","Mayo","Junio","Julio","Agosto","Setiembre"},0))*'Data Cruda'!$P$2:$P$1801)/SUMPRODUCT(('Data Cruda'!$A$2:$A$1801=2022)*ISNUMBER(MATCH('Data Cruda'!$C$2:$C$1801,{"Enero","Febrero","Marzo","Abril","Mayo","Junio","Julio","Agosto","Setiembre"},0))*'Data Cruda'!$K$2:$K$1801),0)</f>
        <v>0.13974544602089445</v>
      </c>
      <c r="K32" s="19">
        <f>IFERROR(SUMPRODUCT(('Data Cruda'!$A$2:$A$1801=2022)*ISNUMBER(MATCH('Data Cruda'!$C$2:$C$1801,{"Enero","Febrero","Marzo","Abril","Mayo","Junio","Julio","Agosto","Setiembre","Octubre"},0))*'Data Cruda'!$P$2:$P$1801)/SUMPRODUCT(('Data Cruda'!$A$2:$A$1801=2022)*ISNUMBER(MATCH('Data Cruda'!$C$2:$C$1801,{"Enero","Febrero","Marzo","Abril","Mayo","Junio","Julio","Agosto","Setiembre","Octubre"},0))*'Data Cruda'!$K$2:$K$1801),0)</f>
        <v>0.13982435684315078</v>
      </c>
      <c r="L32" s="19">
        <f>IFERROR(SUMPRODUCT(('Data Cruda'!$A$2:$A$1801=2022)*ISNUMBER(MATCH('Data Cruda'!$C$2:$C$1801,{"Enero","Febrero","Marzo","Abril","Mayo","Junio","Julio","Agosto","Setiembre","Octubre","Noviembre"},0))*'Data Cruda'!$P$2:$P$1801)/SUMPRODUCT(('Data Cruda'!$A$2:$A$1801=2022)*ISNUMBER(MATCH('Data Cruda'!$C$2:$C$1801,{"Enero","Febrero","Marzo","Abril","Mayo","Junio","Julio","Agosto","Setiembre","Octubre","Noviembre"},0))*'Data Cruda'!$K$2:$K$1801),0)</f>
        <v>0.14058617321930364</v>
      </c>
      <c r="M32" s="19">
        <f>IFERROR(SUMPRODUCT(('Data Cruda'!$A$2:$A$1801=2022)*ISNUMBER(MATCH('Data Cruda'!$C$2:$C$1801,{"Enero","Febrero","Marzo","Abril","Mayo","Junio","Julio","Agosto","Setiembre","Octubre","Noviembre","Diciembre"},0))*'Data Cruda'!$P$2:$P$1801)/SUMPRODUCT(('Data Cruda'!$A$2:$A$1801=2022)*ISNUMBER(MATCH('Data Cruda'!$C$2:$C$1801,{"Enero","Febrero","Marzo","Abril","Mayo","Junio","Julio","Agosto","Setiembre","Octubre","Noviembre","Diciembre"},0))*'Data Cruda'!$K$2:$K$1801),0)</f>
        <v>0.14102208345496853</v>
      </c>
      <c r="N32" s="20">
        <f>N31</f>
        <v>0.14102208345496853</v>
      </c>
    </row>
    <row r="34" spans="1:14" ht="15" customHeight="1" x14ac:dyDescent="0.3">
      <c r="A34" s="9">
        <v>2023</v>
      </c>
      <c r="B34" s="17">
        <f>IFERROR(SUMIFS('Data Cruda'!$P$2:$P$1801,'Data Cruda'!$A$2:$A$1801,2023,'Data Cruda'!$C$2:$C$1801,"Enero")/SUMIFS('Data Cruda'!$K$2:$K$1801,'Data Cruda'!$A$2:$A$1801,2023,'Data Cruda'!$C$2:$C$1801,"Enero"),0)</f>
        <v>0.17726917590269717</v>
      </c>
      <c r="C34" s="17">
        <f>IFERROR(SUMIFS('Data Cruda'!$P$2:$P$1801,'Data Cruda'!$A$2:$A$1801,2023,'Data Cruda'!$C$2:$C$1801,"Febrero")/SUMIFS('Data Cruda'!$K$2:$K$1801,'Data Cruda'!$A$2:$A$1801,2023,'Data Cruda'!$C$2:$C$1801,"Febrero"),0)</f>
        <v>0.17837701507927098</v>
      </c>
      <c r="D34" s="17">
        <f>IFERROR(SUMIFS('Data Cruda'!$P$2:$P$1801,'Data Cruda'!$A$2:$A$1801,2023,'Data Cruda'!$C$2:$C$1801,"Marzo")/SUMIFS('Data Cruda'!$K$2:$K$1801,'Data Cruda'!$A$2:$A$1801,2023,'Data Cruda'!$C$2:$C$1801,"Marzo"),0)</f>
        <v>0.14069183930377455</v>
      </c>
      <c r="E34" s="17">
        <f>IFERROR(SUMIFS('Data Cruda'!$P$2:$P$1801,'Data Cruda'!$A$2:$A$1801,2023,'Data Cruda'!$C$2:$C$1801,"Abril")/SUMIFS('Data Cruda'!$K$2:$K$1801,'Data Cruda'!$A$2:$A$1801,2023,'Data Cruda'!$C$2:$C$1801,"Abril"),0)</f>
        <v>0.19030853016178012</v>
      </c>
      <c r="F34" s="17">
        <f>IFERROR(SUMIFS('Data Cruda'!$P$2:$P$1801,'Data Cruda'!$A$2:$A$1801,2023,'Data Cruda'!$C$2:$C$1801,"Mayo")/SUMIFS('Data Cruda'!$K$2:$K$1801,'Data Cruda'!$A$2:$A$1801,2023,'Data Cruda'!$C$2:$C$1801,"Mayo"),0)</f>
        <v>0.19930510778467128</v>
      </c>
      <c r="G34" s="17">
        <f>IFERROR(SUMIFS('Data Cruda'!$P$2:$P$1801,'Data Cruda'!$A$2:$A$1801,2023,'Data Cruda'!$C$2:$C$1801,"Junio")/SUMIFS('Data Cruda'!$K$2:$K$1801,'Data Cruda'!$A$2:$A$1801,2023,'Data Cruda'!$C$2:$C$1801,"Junio"),0)</f>
        <v>0.16235663471195308</v>
      </c>
      <c r="H34" s="17">
        <f>IFERROR(SUMIFS('Data Cruda'!$P$2:$P$1801,'Data Cruda'!$A$2:$A$1801,2023,'Data Cruda'!$C$2:$C$1801,"Julio")/SUMIFS('Data Cruda'!$K$2:$K$1801,'Data Cruda'!$A$2:$A$1801,2023,'Data Cruda'!$C$2:$C$1801,"Julio"),0)</f>
        <v>0.17336865332265461</v>
      </c>
      <c r="I34" s="17">
        <f>IFERROR(SUMIFS('Data Cruda'!$P$2:$P$1801,'Data Cruda'!$A$2:$A$1801,2023,'Data Cruda'!$C$2:$C$1801,"Agosto")/SUMIFS('Data Cruda'!$K$2:$K$1801,'Data Cruda'!$A$2:$A$1801,2023,'Data Cruda'!$C$2:$C$1801,"Agosto"),0)</f>
        <v>0.18420634979573172</v>
      </c>
      <c r="J34" s="17">
        <f>IFERROR(SUMIFS('Data Cruda'!$P$2:$P$1801,'Data Cruda'!$A$2:$A$1801,2023,'Data Cruda'!$C$2:$C$1801,"Setiembre")/SUMIFS('Data Cruda'!$K$2:$K$1801,'Data Cruda'!$A$2:$A$1801,2023,'Data Cruda'!$C$2:$C$1801,"Setiembre"),0)</f>
        <v>0.10725930994539877</v>
      </c>
      <c r="K34" s="17">
        <f>IFERROR(SUMIFS('Data Cruda'!$P$2:$P$1801,'Data Cruda'!$A$2:$A$1801,2023,'Data Cruda'!$C$2:$C$1801,"Octubre")/SUMIFS('Data Cruda'!$K$2:$K$1801,'Data Cruda'!$A$2:$A$1801,2023,'Data Cruda'!$C$2:$C$1801,"Octubre"),0)</f>
        <v>0.15440087501425639</v>
      </c>
      <c r="L34" s="17">
        <f>IFERROR(SUMIFS('Data Cruda'!$P$2:$P$1801,'Data Cruda'!$A$2:$A$1801,2023,'Data Cruda'!$C$2:$C$1801,"Noviembre")/SUMIFS('Data Cruda'!$K$2:$K$1801,'Data Cruda'!$A$2:$A$1801,2023,'Data Cruda'!$C$2:$C$1801,"Noviembre"),0)</f>
        <v>0.12026069840408303</v>
      </c>
      <c r="M34" s="17">
        <f>IFERROR(SUMIFS('Data Cruda'!$P$2:$P$1801,'Data Cruda'!$A$2:$A$1801,2023,'Data Cruda'!$C$2:$C$1801,"Diciembre")/SUMIFS('Data Cruda'!$K$2:$K$1801,'Data Cruda'!$A$2:$A$1801,2023,'Data Cruda'!$C$2:$C$1801,"Diciembre"),0)</f>
        <v>0.18743318011177257</v>
      </c>
      <c r="N34" s="18">
        <f>IFERROR(SUMIFS('Data Cruda'!$P$2:$P$1801,'Data Cruda'!$A$2:$A$1801,2023)/SUMIFS('Data Cruda'!$K$2:$K$1801,'Data Cruda'!$A$2:$A$1801,2023),0)</f>
        <v>0.17091729394899738</v>
      </c>
    </row>
    <row r="35" spans="1:14" ht="15" customHeight="1" x14ac:dyDescent="0.3">
      <c r="A35" s="12" t="s">
        <v>1914</v>
      </c>
      <c r="B35" s="19">
        <f>IFERROR(SUMPRODUCT(('Data Cruda'!$A$2:$A$1801=2023)*ISNUMBER(MATCH('Data Cruda'!$C$2:$C$1801,{"Enero"},0))*'Data Cruda'!$P$2:$P$1801)/SUMPRODUCT(('Data Cruda'!$A$2:$A$1801=2023)*ISNUMBER(MATCH('Data Cruda'!$C$2:$C$1801,{"Enero"},0))*'Data Cruda'!$K$2:$K$1801),0)</f>
        <v>0.17726917590269717</v>
      </c>
      <c r="C35" s="19">
        <f>IFERROR(SUMPRODUCT(('Data Cruda'!$A$2:$A$1801=2023)*ISNUMBER(MATCH('Data Cruda'!$C$2:$C$1801,{"Enero","Febrero"},0))*'Data Cruda'!$P$2:$P$1801)/SUMPRODUCT(('Data Cruda'!$A$2:$A$1801=2023)*ISNUMBER(MATCH('Data Cruda'!$C$2:$C$1801,{"Enero","Febrero"},0))*'Data Cruda'!$K$2:$K$1801),0)</f>
        <v>0.17775018778881446</v>
      </c>
      <c r="D35" s="19">
        <f>IFERROR(SUMPRODUCT(('Data Cruda'!$A$2:$A$1801=2023)*ISNUMBER(MATCH('Data Cruda'!$C$2:$C$1801,{"Enero","Febrero","Marzo"},0))*'Data Cruda'!$P$2:$P$1801)/SUMPRODUCT(('Data Cruda'!$A$2:$A$1801=2023)*ISNUMBER(MATCH('Data Cruda'!$C$2:$C$1801,{"Enero","Febrero","Marzo"},0))*'Data Cruda'!$K$2:$K$1801),0)</f>
        <v>0.15293707836113729</v>
      </c>
      <c r="E35" s="19">
        <f>IFERROR(SUMPRODUCT(('Data Cruda'!$A$2:$A$1801=2023)*ISNUMBER(MATCH('Data Cruda'!$C$2:$C$1801,{"Enero","Febrero","Marzo","Abril"},0))*'Data Cruda'!$P$2:$P$1801)/SUMPRODUCT(('Data Cruda'!$A$2:$A$1801=2023)*ISNUMBER(MATCH('Data Cruda'!$C$2:$C$1801,{"Enero","Febrero","Marzo","Abril"},0))*'Data Cruda'!$K$2:$K$1801),0)</f>
        <v>0.16506372551586937</v>
      </c>
      <c r="F35" s="19">
        <f>IFERROR(SUMPRODUCT(('Data Cruda'!$A$2:$A$1801=2023)*ISNUMBER(MATCH('Data Cruda'!$C$2:$C$1801,{"Enero","Febrero","Marzo","Abril","Mayo"},0))*'Data Cruda'!$P$2:$P$1801)/SUMPRODUCT(('Data Cruda'!$A$2:$A$1801=2023)*ISNUMBER(MATCH('Data Cruda'!$C$2:$C$1801,{"Enero","Febrero","Marzo","Abril","Mayo"},0))*'Data Cruda'!$K$2:$K$1801),0)</f>
        <v>0.17677701547141544</v>
      </c>
      <c r="G35" s="19">
        <f>IFERROR(SUMPRODUCT(('Data Cruda'!$A$2:$A$1801=2023)*ISNUMBER(MATCH('Data Cruda'!$C$2:$C$1801,{"Enero","Febrero","Marzo","Abril","Mayo","Junio"},0))*'Data Cruda'!$P$2:$P$1801)/SUMPRODUCT(('Data Cruda'!$A$2:$A$1801=2023)*ISNUMBER(MATCH('Data Cruda'!$C$2:$C$1801,{"Enero","Febrero","Marzo","Abril","Mayo","Junio"},0))*'Data Cruda'!$K$2:$K$1801),0)</f>
        <v>0.17520222494924012</v>
      </c>
      <c r="H35" s="19">
        <f>IFERROR(SUMPRODUCT(('Data Cruda'!$A$2:$A$1801=2023)*ISNUMBER(MATCH('Data Cruda'!$C$2:$C$1801,{"Enero","Febrero","Marzo","Abril","Mayo","Junio","Julio"},0))*'Data Cruda'!$P$2:$P$1801)/SUMPRODUCT(('Data Cruda'!$A$2:$A$1801=2023)*ISNUMBER(MATCH('Data Cruda'!$C$2:$C$1801,{"Enero","Febrero","Marzo","Abril","Mayo","Junio","Julio"},0))*'Data Cruda'!$K$2:$K$1801),0)</f>
        <v>0.17494204891416937</v>
      </c>
      <c r="I35" s="19">
        <f>IFERROR(SUMPRODUCT(('Data Cruda'!$A$2:$A$1801=2023)*ISNUMBER(MATCH('Data Cruda'!$C$2:$C$1801,{"Enero","Febrero","Marzo","Abril","Mayo","Junio","Julio","Agosto"},0))*'Data Cruda'!$P$2:$P$1801)/SUMPRODUCT(('Data Cruda'!$A$2:$A$1801=2023)*ISNUMBER(MATCH('Data Cruda'!$C$2:$C$1801,{"Enero","Febrero","Marzo","Abril","Mayo","Junio","Julio","Agosto"},0))*'Data Cruda'!$K$2:$K$1801),0)</f>
        <v>0.17576981475520426</v>
      </c>
      <c r="J35" s="19">
        <f>IFERROR(SUMPRODUCT(('Data Cruda'!$A$2:$A$1801=2023)*ISNUMBER(MATCH('Data Cruda'!$C$2:$C$1801,{"Enero","Febrero","Marzo","Abril","Mayo","Junio","Julio","Agosto","Setiembre"},0))*'Data Cruda'!$P$2:$P$1801)/SUMPRODUCT(('Data Cruda'!$A$2:$A$1801=2023)*ISNUMBER(MATCH('Data Cruda'!$C$2:$C$1801,{"Enero","Febrero","Marzo","Abril","Mayo","Junio","Julio","Agosto","Setiembre"},0))*'Data Cruda'!$K$2:$K$1801),0)</f>
        <v>0.17560667145618053</v>
      </c>
      <c r="K35" s="19">
        <f>IFERROR(SUMPRODUCT(('Data Cruda'!$A$2:$A$1801=2023)*ISNUMBER(MATCH('Data Cruda'!$C$2:$C$1801,{"Enero","Febrero","Marzo","Abril","Mayo","Junio","Julio","Agosto","Setiembre","Octubre"},0))*'Data Cruda'!$P$2:$P$1801)/SUMPRODUCT(('Data Cruda'!$A$2:$A$1801=2023)*ISNUMBER(MATCH('Data Cruda'!$C$2:$C$1801,{"Enero","Febrero","Marzo","Abril","Mayo","Junio","Julio","Agosto","Setiembre","Octubre"},0))*'Data Cruda'!$K$2:$K$1801),0)</f>
        <v>0.17457837763928005</v>
      </c>
      <c r="L35" s="19">
        <f>IFERROR(SUMPRODUCT(('Data Cruda'!$A$2:$A$1801=2023)*ISNUMBER(MATCH('Data Cruda'!$C$2:$C$1801,{"Enero","Febrero","Marzo","Abril","Mayo","Junio","Julio","Agosto","Setiembre","Octubre","Noviembre"},0))*'Data Cruda'!$P$2:$P$1801)/SUMPRODUCT(('Data Cruda'!$A$2:$A$1801=2023)*ISNUMBER(MATCH('Data Cruda'!$C$2:$C$1801,{"Enero","Febrero","Marzo","Abril","Mayo","Junio","Julio","Agosto","Setiembre","Octubre","Noviembre"},0))*'Data Cruda'!$K$2:$K$1801),0)</f>
        <v>0.16896434841092647</v>
      </c>
      <c r="M35" s="19">
        <f>IFERROR(SUMPRODUCT(('Data Cruda'!$A$2:$A$1801=2023)*ISNUMBER(MATCH('Data Cruda'!$C$2:$C$1801,{"Enero","Febrero","Marzo","Abril","Mayo","Junio","Julio","Agosto","Setiembre","Octubre","Noviembre","Diciembre"},0))*'Data Cruda'!$P$2:$P$1801)/SUMPRODUCT(('Data Cruda'!$A$2:$A$1801=2023)*ISNUMBER(MATCH('Data Cruda'!$C$2:$C$1801,{"Enero","Febrero","Marzo","Abril","Mayo","Junio","Julio","Agosto","Setiembre","Octubre","Noviembre","Diciembre"},0))*'Data Cruda'!$K$2:$K$1801),0)</f>
        <v>0.17091729394899738</v>
      </c>
      <c r="N35" s="20">
        <f>N34</f>
        <v>0.17091729394899738</v>
      </c>
    </row>
    <row r="37" spans="1:14" ht="15" customHeight="1" x14ac:dyDescent="0.3">
      <c r="A37" s="9">
        <v>2024</v>
      </c>
      <c r="B37" s="17">
        <f>IFERROR(SUMIFS('Data Cruda'!$P$2:$P$1801,'Data Cruda'!$A$2:$A$1801,2024,'Data Cruda'!$C$2:$C$1801,"Enero")/SUMIFS('Data Cruda'!$K$2:$K$1801,'Data Cruda'!$A$2:$A$1801,2024,'Data Cruda'!$C$2:$C$1801,"Enero"),0)</f>
        <v>0.16666737427765252</v>
      </c>
      <c r="C37" s="17">
        <f>IFERROR(SUMIFS('Data Cruda'!$P$2:$P$1801,'Data Cruda'!$A$2:$A$1801,2024,'Data Cruda'!$C$2:$C$1801,"Febrero")/SUMIFS('Data Cruda'!$K$2:$K$1801,'Data Cruda'!$A$2:$A$1801,2024,'Data Cruda'!$C$2:$C$1801,"Febrero"),0)</f>
        <v>0.16398718285098862</v>
      </c>
      <c r="D37" s="17">
        <f>IFERROR(SUMIFS('Data Cruda'!$P$2:$P$1801,'Data Cruda'!$A$2:$A$1801,2024,'Data Cruda'!$C$2:$C$1801,"Marzo")/SUMIFS('Data Cruda'!$K$2:$K$1801,'Data Cruda'!$A$2:$A$1801,2024,'Data Cruda'!$C$2:$C$1801,"Marzo"),0)</f>
        <v>0.14997407802366527</v>
      </c>
      <c r="E37" s="17">
        <f>IFERROR(SUMIFS('Data Cruda'!$P$2:$P$1801,'Data Cruda'!$A$2:$A$1801,2024,'Data Cruda'!$C$2:$C$1801,"Abril")/SUMIFS('Data Cruda'!$K$2:$K$1801,'Data Cruda'!$A$2:$A$1801,2024,'Data Cruda'!$C$2:$C$1801,"Abril"),0)</f>
        <v>0.14766614494775882</v>
      </c>
      <c r="F37" s="17">
        <f>IFERROR(SUMIFS('Data Cruda'!$P$2:$P$1801,'Data Cruda'!$A$2:$A$1801,2024,'Data Cruda'!$C$2:$C$1801,"Mayo")/SUMIFS('Data Cruda'!$K$2:$K$1801,'Data Cruda'!$A$2:$A$1801,2024,'Data Cruda'!$C$2:$C$1801,"Mayo"),0)</f>
        <v>0.16246945859539463</v>
      </c>
      <c r="G37" s="17">
        <f>IFERROR(SUMIFS('Data Cruda'!$P$2:$P$1801,'Data Cruda'!$A$2:$A$1801,2024,'Data Cruda'!$C$2:$C$1801,"Junio")/SUMIFS('Data Cruda'!$K$2:$K$1801,'Data Cruda'!$A$2:$A$1801,2024,'Data Cruda'!$C$2:$C$1801,"Junio"),0)</f>
        <v>0.18121366015042989</v>
      </c>
      <c r="H37" s="17">
        <f>IFERROR(SUMIFS('Data Cruda'!$P$2:$P$1801,'Data Cruda'!$A$2:$A$1801,2024,'Data Cruda'!$C$2:$C$1801,"Julio")/SUMIFS('Data Cruda'!$K$2:$K$1801,'Data Cruda'!$A$2:$A$1801,2024,'Data Cruda'!$C$2:$C$1801,"Julio"),0)</f>
        <v>0.11663960080840907</v>
      </c>
      <c r="I37" s="17">
        <f>IFERROR(SUMIFS('Data Cruda'!$P$2:$P$1801,'Data Cruda'!$A$2:$A$1801,2024,'Data Cruda'!$C$2:$C$1801,"Agosto")/SUMIFS('Data Cruda'!$K$2:$K$1801,'Data Cruda'!$A$2:$A$1801,2024,'Data Cruda'!$C$2:$C$1801,"Agosto"),0)</f>
        <v>0.14271307266837724</v>
      </c>
      <c r="J37" s="17">
        <f>IFERROR(SUMIFS('Data Cruda'!$P$2:$P$1801,'Data Cruda'!$A$2:$A$1801,2024,'Data Cruda'!$C$2:$C$1801,"Setiembre")/SUMIFS('Data Cruda'!$K$2:$K$1801,'Data Cruda'!$A$2:$A$1801,2024,'Data Cruda'!$C$2:$C$1801,"Setiembre"),0)</f>
        <v>0.15664274581436161</v>
      </c>
      <c r="K37" s="17">
        <f>IFERROR(SUMIFS('Data Cruda'!$P$2:$P$1801,'Data Cruda'!$A$2:$A$1801,2024,'Data Cruda'!$C$2:$C$1801,"Octubre")/SUMIFS('Data Cruda'!$K$2:$K$1801,'Data Cruda'!$A$2:$A$1801,2024,'Data Cruda'!$C$2:$C$1801,"Octubre"),0)</f>
        <v>0.14778751834516804</v>
      </c>
      <c r="L37" s="17">
        <f>IFERROR(SUMIFS('Data Cruda'!$P$2:$P$1801,'Data Cruda'!$A$2:$A$1801,2024,'Data Cruda'!$C$2:$C$1801,"Noviembre")/SUMIFS('Data Cruda'!$K$2:$K$1801,'Data Cruda'!$A$2:$A$1801,2024,'Data Cruda'!$C$2:$C$1801,"Noviembre"),0)</f>
        <v>0.18297841374489696</v>
      </c>
      <c r="M37" s="17">
        <f>IFERROR(SUMIFS('Data Cruda'!$P$2:$P$1801,'Data Cruda'!$A$2:$A$1801,2024,'Data Cruda'!$C$2:$C$1801,"Diciembre")/SUMIFS('Data Cruda'!$K$2:$K$1801,'Data Cruda'!$A$2:$A$1801,2024,'Data Cruda'!$C$2:$C$1801,"Diciembre"),0)</f>
        <v>0.14949482752389223</v>
      </c>
      <c r="N37" s="18">
        <f>IFERROR(SUMIFS('Data Cruda'!$P$2:$P$1801,'Data Cruda'!$A$2:$A$1801,2024)/SUMIFS('Data Cruda'!$K$2:$K$1801,'Data Cruda'!$A$2:$A$1801,2024),0)</f>
        <v>0.15300027646815043</v>
      </c>
    </row>
    <row r="38" spans="1:14" ht="15" customHeight="1" x14ac:dyDescent="0.3">
      <c r="A38" s="12" t="s">
        <v>1914</v>
      </c>
      <c r="B38" s="19">
        <f>IFERROR(SUMPRODUCT(('Data Cruda'!$A$2:$A$1801=2024)*ISNUMBER(MATCH('Data Cruda'!$C$2:$C$1801,{"Enero"},0))*'Data Cruda'!$P$2:$P$1801)/SUMPRODUCT(('Data Cruda'!$A$2:$A$1801=2024)*ISNUMBER(MATCH('Data Cruda'!$C$2:$C$1801,{"Enero"},0))*'Data Cruda'!$K$2:$K$1801),0)</f>
        <v>0.16666737427765252</v>
      </c>
      <c r="C38" s="19">
        <f>IFERROR(SUMPRODUCT(('Data Cruda'!$A$2:$A$1801=2024)*ISNUMBER(MATCH('Data Cruda'!$C$2:$C$1801,{"Enero","Febrero"},0))*'Data Cruda'!$P$2:$P$1801)/SUMPRODUCT(('Data Cruda'!$A$2:$A$1801=2024)*ISNUMBER(MATCH('Data Cruda'!$C$2:$C$1801,{"Enero","Febrero"},0))*'Data Cruda'!$K$2:$K$1801),0)</f>
        <v>0.16415290402620733</v>
      </c>
      <c r="D38" s="19">
        <f>IFERROR(SUMPRODUCT(('Data Cruda'!$A$2:$A$1801=2024)*ISNUMBER(MATCH('Data Cruda'!$C$2:$C$1801,{"Enero","Febrero","Marzo"},0))*'Data Cruda'!$P$2:$P$1801)/SUMPRODUCT(('Data Cruda'!$A$2:$A$1801=2024)*ISNUMBER(MATCH('Data Cruda'!$C$2:$C$1801,{"Enero","Febrero","Marzo"},0))*'Data Cruda'!$K$2:$K$1801),0)</f>
        <v>0.15362589353473988</v>
      </c>
      <c r="E38" s="19">
        <f>IFERROR(SUMPRODUCT(('Data Cruda'!$A$2:$A$1801=2024)*ISNUMBER(MATCH('Data Cruda'!$C$2:$C$1801,{"Enero","Febrero","Marzo","Abril"},0))*'Data Cruda'!$P$2:$P$1801)/SUMPRODUCT(('Data Cruda'!$A$2:$A$1801=2024)*ISNUMBER(MATCH('Data Cruda'!$C$2:$C$1801,{"Enero","Febrero","Marzo","Abril"},0))*'Data Cruda'!$K$2:$K$1801),0)</f>
        <v>0.15212576314362081</v>
      </c>
      <c r="F38" s="19">
        <f>IFERROR(SUMPRODUCT(('Data Cruda'!$A$2:$A$1801=2024)*ISNUMBER(MATCH('Data Cruda'!$C$2:$C$1801,{"Enero","Febrero","Marzo","Abril","Mayo"},0))*'Data Cruda'!$P$2:$P$1801)/SUMPRODUCT(('Data Cruda'!$A$2:$A$1801=2024)*ISNUMBER(MATCH('Data Cruda'!$C$2:$C$1801,{"Enero","Febrero","Marzo","Abril","Mayo"},0))*'Data Cruda'!$K$2:$K$1801),0)</f>
        <v>0.15549026963816143</v>
      </c>
      <c r="G38" s="19">
        <f>IFERROR(SUMPRODUCT(('Data Cruda'!$A$2:$A$1801=2024)*ISNUMBER(MATCH('Data Cruda'!$C$2:$C$1801,{"Enero","Febrero","Marzo","Abril","Mayo","Junio"},0))*'Data Cruda'!$P$2:$P$1801)/SUMPRODUCT(('Data Cruda'!$A$2:$A$1801=2024)*ISNUMBER(MATCH('Data Cruda'!$C$2:$C$1801,{"Enero","Febrero","Marzo","Abril","Mayo","Junio"},0))*'Data Cruda'!$K$2:$K$1801),0)</f>
        <v>0.15826205841282326</v>
      </c>
      <c r="H38" s="19">
        <f>IFERROR(SUMPRODUCT(('Data Cruda'!$A$2:$A$1801=2024)*ISNUMBER(MATCH('Data Cruda'!$C$2:$C$1801,{"Enero","Febrero","Marzo","Abril","Mayo","Junio","Julio"},0))*'Data Cruda'!$P$2:$P$1801)/SUMPRODUCT(('Data Cruda'!$A$2:$A$1801=2024)*ISNUMBER(MATCH('Data Cruda'!$C$2:$C$1801,{"Enero","Febrero","Marzo","Abril","Mayo","Junio","Julio"},0))*'Data Cruda'!$K$2:$K$1801),0)</f>
        <v>0.15297390699337818</v>
      </c>
      <c r="I38" s="19">
        <f>IFERROR(SUMPRODUCT(('Data Cruda'!$A$2:$A$1801=2024)*ISNUMBER(MATCH('Data Cruda'!$C$2:$C$1801,{"Enero","Febrero","Marzo","Abril","Mayo","Junio","Julio","Agosto"},0))*'Data Cruda'!$P$2:$P$1801)/SUMPRODUCT(('Data Cruda'!$A$2:$A$1801=2024)*ISNUMBER(MATCH('Data Cruda'!$C$2:$C$1801,{"Enero","Febrero","Marzo","Abril","Mayo","Junio","Julio","Agosto"},0))*'Data Cruda'!$K$2:$K$1801),0)</f>
        <v>0.15251286923582735</v>
      </c>
      <c r="J38" s="19">
        <f>IFERROR(SUMPRODUCT(('Data Cruda'!$A$2:$A$1801=2024)*ISNUMBER(MATCH('Data Cruda'!$C$2:$C$1801,{"Enero","Febrero","Marzo","Abril","Mayo","Junio","Julio","Agosto","Setiembre"},0))*'Data Cruda'!$P$2:$P$1801)/SUMPRODUCT(('Data Cruda'!$A$2:$A$1801=2024)*ISNUMBER(MATCH('Data Cruda'!$C$2:$C$1801,{"Enero","Febrero","Marzo","Abril","Mayo","Junio","Julio","Agosto","Setiembre"},0))*'Data Cruda'!$K$2:$K$1801),0)</f>
        <v>0.15261747851488958</v>
      </c>
      <c r="K38" s="19">
        <f>IFERROR(SUMPRODUCT(('Data Cruda'!$A$2:$A$1801=2024)*ISNUMBER(MATCH('Data Cruda'!$C$2:$C$1801,{"Enero","Febrero","Marzo","Abril","Mayo","Junio","Julio","Agosto","Setiembre","Octubre"},0))*'Data Cruda'!$P$2:$P$1801)/SUMPRODUCT(('Data Cruda'!$A$2:$A$1801=2024)*ISNUMBER(MATCH('Data Cruda'!$C$2:$C$1801,{"Enero","Febrero","Marzo","Abril","Mayo","Junio","Julio","Agosto","Setiembre","Octubre"},0))*'Data Cruda'!$K$2:$K$1801),0)</f>
        <v>0.15207483238622405</v>
      </c>
      <c r="L38" s="19">
        <f>IFERROR(SUMPRODUCT(('Data Cruda'!$A$2:$A$1801=2024)*ISNUMBER(MATCH('Data Cruda'!$C$2:$C$1801,{"Enero","Febrero","Marzo","Abril","Mayo","Junio","Julio","Agosto","Setiembre","Octubre","Noviembre"},0))*'Data Cruda'!$P$2:$P$1801)/SUMPRODUCT(('Data Cruda'!$A$2:$A$1801=2024)*ISNUMBER(MATCH('Data Cruda'!$C$2:$C$1801,{"Enero","Febrero","Marzo","Abril","Mayo","Junio","Julio","Agosto","Setiembre","Octubre","Noviembre"},0))*'Data Cruda'!$K$2:$K$1801),0)</f>
        <v>0.1530223215678049</v>
      </c>
      <c r="M38" s="19">
        <f>IFERROR(SUMPRODUCT(('Data Cruda'!$A$2:$A$1801=2024)*ISNUMBER(MATCH('Data Cruda'!$C$2:$C$1801,{"Enero","Febrero","Marzo","Abril","Mayo","Junio","Julio","Agosto","Setiembre","Octubre","Noviembre","Diciembre"},0))*'Data Cruda'!$P$2:$P$1801)/SUMPRODUCT(('Data Cruda'!$A$2:$A$1801=2024)*ISNUMBER(MATCH('Data Cruda'!$C$2:$C$1801,{"Enero","Febrero","Marzo","Abril","Mayo","Junio","Julio","Agosto","Setiembre","Octubre","Noviembre","Diciembre"},0))*'Data Cruda'!$K$2:$K$1801),0)</f>
        <v>0.15300027646815043</v>
      </c>
      <c r="N38" s="20">
        <f>N37</f>
        <v>0.15300027646815043</v>
      </c>
    </row>
    <row r="40" spans="1:14" ht="15" customHeight="1" x14ac:dyDescent="0.3">
      <c r="A40" s="9">
        <v>2025</v>
      </c>
      <c r="B40" s="17">
        <f>IFERROR(SUMIFS('Data Cruda'!$P$2:$P$1801,'Data Cruda'!$A$2:$A$1801,2025,'Data Cruda'!$C$2:$C$1801,"Enero")/SUMIFS('Data Cruda'!$K$2:$K$1801,'Data Cruda'!$A$2:$A$1801,2025,'Data Cruda'!$C$2:$C$1801,"Enero"),0)</f>
        <v>0.1520292915165958</v>
      </c>
      <c r="C40" s="17">
        <f>IFERROR(SUMIFS('Data Cruda'!$P$2:$P$1801,'Data Cruda'!$A$2:$A$1801,2025,'Data Cruda'!$C$2:$C$1801,"Febrero")/SUMIFS('Data Cruda'!$K$2:$K$1801,'Data Cruda'!$A$2:$A$1801,2025,'Data Cruda'!$C$2:$C$1801,"Febrero"),0)</f>
        <v>0.15524630744277043</v>
      </c>
      <c r="D40" s="17">
        <f>IFERROR(SUMIFS('Data Cruda'!$P$2:$P$1801,'Data Cruda'!$A$2:$A$1801,2025,'Data Cruda'!$C$2:$C$1801,"Marzo")/SUMIFS('Data Cruda'!$K$2:$K$1801,'Data Cruda'!$A$2:$A$1801,2025,'Data Cruda'!$C$2:$C$1801,"Marzo"),0)</f>
        <v>0.15093028927694446</v>
      </c>
      <c r="E40" s="17">
        <f>IFERROR(SUMIFS('Data Cruda'!$P$2:$P$1801,'Data Cruda'!$A$2:$A$1801,2025,'Data Cruda'!$C$2:$C$1801,"Abril")/SUMIFS('Data Cruda'!$K$2:$K$1801,'Data Cruda'!$A$2:$A$1801,2025,'Data Cruda'!$C$2:$C$1801,"Abril"),0)</f>
        <v>0.17130528995238753</v>
      </c>
      <c r="F40" s="17">
        <f>IFERROR(SUMIFS('Data Cruda'!$P$2:$P$1801,'Data Cruda'!$A$2:$A$1801,2025,'Data Cruda'!$C$2:$C$1801,"Mayo")/SUMIFS('Data Cruda'!$K$2:$K$1801,'Data Cruda'!$A$2:$A$1801,2025,'Data Cruda'!$C$2:$C$1801,"Mayo"),0)</f>
        <v>0.16447295138466136</v>
      </c>
      <c r="G40" s="17">
        <f>IFERROR(SUMIFS('Data Cruda'!$P$2:$P$1801,'Data Cruda'!$A$2:$A$1801,2025,'Data Cruda'!$C$2:$C$1801,"Junio")/SUMIFS('Data Cruda'!$K$2:$K$1801,'Data Cruda'!$A$2:$A$1801,2025,'Data Cruda'!$C$2:$C$1801,"Junio"),0)</f>
        <v>0.14042711427963678</v>
      </c>
      <c r="H40" s="17">
        <f>IFERROR(SUMIFS('Data Cruda'!$P$2:$P$1801,'Data Cruda'!$A$2:$A$1801,2025,'Data Cruda'!$C$2:$C$1801,"Julio")/SUMIFS('Data Cruda'!$K$2:$K$1801,'Data Cruda'!$A$2:$A$1801,2025,'Data Cruda'!$C$2:$C$1801,"Julio"),0)</f>
        <v>0.1435275374506173</v>
      </c>
      <c r="I40" s="17">
        <f>IFERROR(SUMIFS('Data Cruda'!$P$2:$P$1801,'Data Cruda'!$A$2:$A$1801,2025,'Data Cruda'!$C$2:$C$1801,"Agosto")/SUMIFS('Data Cruda'!$K$2:$K$1801,'Data Cruda'!$A$2:$A$1801,2025,'Data Cruda'!$C$2:$C$1801,"Agosto"),0)</f>
        <v>0.17581192507191135</v>
      </c>
      <c r="J40" s="17">
        <f>IFERROR(SUMIFS('Data Cruda'!$P$2:$P$1801,'Data Cruda'!$A$2:$A$1801,2025,'Data Cruda'!$C$2:$C$1801,"Setiembre")/SUMIFS('Data Cruda'!$K$2:$K$1801,'Data Cruda'!$A$2:$A$1801,2025,'Data Cruda'!$C$2:$C$1801,"Setiembre"),0)</f>
        <v>0.16315694290276725</v>
      </c>
      <c r="K40" s="17">
        <f>IFERROR(SUMIFS('Data Cruda'!$P$2:$P$1801,'Data Cruda'!$A$2:$A$1801,2025,'Data Cruda'!$C$2:$C$1801,"Octubre")/SUMIFS('Data Cruda'!$K$2:$K$1801,'Data Cruda'!$A$2:$A$1801,2025,'Data Cruda'!$C$2:$C$1801,"Octubre"),0)</f>
        <v>0.1750591039697206</v>
      </c>
      <c r="L40" s="17">
        <f>IFERROR(SUMIFS('Data Cruda'!$P$2:$P$1801,'Data Cruda'!$A$2:$A$1801,2025,'Data Cruda'!$C$2:$C$1801,"Noviembre")/SUMIFS('Data Cruda'!$K$2:$K$1801,'Data Cruda'!$A$2:$A$1801,2025,'Data Cruda'!$C$2:$C$1801,"Noviembre"),0)</f>
        <v>0.17220737407274764</v>
      </c>
      <c r="M40" s="17">
        <f>IFERROR(SUMIFS('Data Cruda'!$P$2:$P$1801,'Data Cruda'!$A$2:$A$1801,2025,'Data Cruda'!$C$2:$C$1801,"Diciembre")/SUMIFS('Data Cruda'!$K$2:$K$1801,'Data Cruda'!$A$2:$A$1801,2025,'Data Cruda'!$C$2:$C$1801,"Diciembre"),0)</f>
        <v>0.141953594662585</v>
      </c>
      <c r="N40" s="18">
        <f>IFERROR(SUMIFS('Data Cruda'!$P$2:$P$1801,'Data Cruda'!$A$2:$A$1801,2025)/SUMIFS('Data Cruda'!$K$2:$K$1801,'Data Cruda'!$A$2:$A$1801,2025),0)</f>
        <v>0.16103776966091815</v>
      </c>
    </row>
    <row r="41" spans="1:14" ht="15" customHeight="1" x14ac:dyDescent="0.3">
      <c r="A41" s="12" t="s">
        <v>1914</v>
      </c>
      <c r="B41" s="19">
        <f>IFERROR(SUMPRODUCT(('Data Cruda'!$A$2:$A$1801=2025)*ISNUMBER(MATCH('Data Cruda'!$C$2:$C$1801,{"Enero"},0))*'Data Cruda'!$P$2:$P$1801)/SUMPRODUCT(('Data Cruda'!$A$2:$A$1801=2025)*ISNUMBER(MATCH('Data Cruda'!$C$2:$C$1801,{"Enero"},0))*'Data Cruda'!$K$2:$K$1801),0)</f>
        <v>0.1520292915165958</v>
      </c>
      <c r="C41" s="19">
        <f>IFERROR(SUMPRODUCT(('Data Cruda'!$A$2:$A$1801=2025)*ISNUMBER(MATCH('Data Cruda'!$C$2:$C$1801,{"Enero","Febrero"},0))*'Data Cruda'!$P$2:$P$1801)/SUMPRODUCT(('Data Cruda'!$A$2:$A$1801=2025)*ISNUMBER(MATCH('Data Cruda'!$C$2:$C$1801,{"Enero","Febrero"},0))*'Data Cruda'!$K$2:$K$1801),0)</f>
        <v>0.15475572025514284</v>
      </c>
      <c r="D41" s="19">
        <f>IFERROR(SUMPRODUCT(('Data Cruda'!$A$2:$A$1801=2025)*ISNUMBER(MATCH('Data Cruda'!$C$2:$C$1801,{"Enero","Febrero","Marzo"},0))*'Data Cruda'!$P$2:$P$1801)/SUMPRODUCT(('Data Cruda'!$A$2:$A$1801=2025)*ISNUMBER(MATCH('Data Cruda'!$C$2:$C$1801,{"Enero","Febrero","Marzo"},0))*'Data Cruda'!$K$2:$K$1801),0)</f>
        <v>0.15155592554244715</v>
      </c>
      <c r="E41" s="19">
        <f>IFERROR(SUMPRODUCT(('Data Cruda'!$A$2:$A$1801=2025)*ISNUMBER(MATCH('Data Cruda'!$C$2:$C$1801,{"Enero","Febrero","Marzo","Abril"},0))*'Data Cruda'!$P$2:$P$1801)/SUMPRODUCT(('Data Cruda'!$A$2:$A$1801=2025)*ISNUMBER(MATCH('Data Cruda'!$C$2:$C$1801,{"Enero","Febrero","Marzo","Abril"},0))*'Data Cruda'!$K$2:$K$1801),0)</f>
        <v>0.15882619138250256</v>
      </c>
      <c r="F41" s="19">
        <f>IFERROR(SUMPRODUCT(('Data Cruda'!$A$2:$A$1801=2025)*ISNUMBER(MATCH('Data Cruda'!$C$2:$C$1801,{"Enero","Febrero","Marzo","Abril","Mayo"},0))*'Data Cruda'!$P$2:$P$1801)/SUMPRODUCT(('Data Cruda'!$A$2:$A$1801=2025)*ISNUMBER(MATCH('Data Cruda'!$C$2:$C$1801,{"Enero","Febrero","Marzo","Abril","Mayo"},0))*'Data Cruda'!$K$2:$K$1801),0)</f>
        <v>0.15968126752932163</v>
      </c>
      <c r="G41" s="19">
        <f>IFERROR(SUMPRODUCT(('Data Cruda'!$A$2:$A$1801=2025)*ISNUMBER(MATCH('Data Cruda'!$C$2:$C$1801,{"Enero","Febrero","Marzo","Abril","Mayo","Junio"},0))*'Data Cruda'!$P$2:$P$1801)/SUMPRODUCT(('Data Cruda'!$A$2:$A$1801=2025)*ISNUMBER(MATCH('Data Cruda'!$C$2:$C$1801,{"Enero","Febrero","Marzo","Abril","Mayo","Junio"},0))*'Data Cruda'!$K$2:$K$1801),0)</f>
        <v>0.15535510520877702</v>
      </c>
      <c r="H41" s="19">
        <f>IFERROR(SUMPRODUCT(('Data Cruda'!$A$2:$A$1801=2025)*ISNUMBER(MATCH('Data Cruda'!$C$2:$C$1801,{"Enero","Febrero","Marzo","Abril","Mayo","Junio","Julio"},0))*'Data Cruda'!$P$2:$P$1801)/SUMPRODUCT(('Data Cruda'!$A$2:$A$1801=2025)*ISNUMBER(MATCH('Data Cruda'!$C$2:$C$1801,{"Enero","Febrero","Marzo","Abril","Mayo","Junio","Julio"},0))*'Data Cruda'!$K$2:$K$1801),0)</f>
        <v>0.15482751406464487</v>
      </c>
      <c r="I41" s="19">
        <f>IFERROR(SUMPRODUCT(('Data Cruda'!$A$2:$A$1801=2025)*ISNUMBER(MATCH('Data Cruda'!$C$2:$C$1801,{"Enero","Febrero","Marzo","Abril","Mayo","Junio","Julio","Agosto"},0))*'Data Cruda'!$P$2:$P$1801)/SUMPRODUCT(('Data Cruda'!$A$2:$A$1801=2025)*ISNUMBER(MATCH('Data Cruda'!$C$2:$C$1801,{"Enero","Febrero","Marzo","Abril","Mayo","Junio","Julio","Agosto"},0))*'Data Cruda'!$K$2:$K$1801),0)</f>
        <v>0.15927347019989935</v>
      </c>
      <c r="J41" s="19">
        <f>IFERROR(SUMPRODUCT(('Data Cruda'!$A$2:$A$1801=2025)*ISNUMBER(MATCH('Data Cruda'!$C$2:$C$1801,{"Enero","Febrero","Marzo","Abril","Mayo","Junio","Julio","Agosto","Setiembre"},0))*'Data Cruda'!$P$2:$P$1801)/SUMPRODUCT(('Data Cruda'!$A$2:$A$1801=2025)*ISNUMBER(MATCH('Data Cruda'!$C$2:$C$1801,{"Enero","Febrero","Marzo","Abril","Mayo","Junio","Julio","Agosto","Setiembre"},0))*'Data Cruda'!$K$2:$K$1801),0)</f>
        <v>0.15981245965034571</v>
      </c>
      <c r="K41" s="19">
        <f>IFERROR(SUMPRODUCT(('Data Cruda'!$A$2:$A$1801=2025)*ISNUMBER(MATCH('Data Cruda'!$C$2:$C$1801,{"Enero","Febrero","Marzo","Abril","Mayo","Junio","Julio","Agosto","Setiembre","Octubre"},0))*'Data Cruda'!$P$2:$P$1801)/SUMPRODUCT(('Data Cruda'!$A$2:$A$1801=2025)*ISNUMBER(MATCH('Data Cruda'!$C$2:$C$1801,{"Enero","Febrero","Marzo","Abril","Mayo","Junio","Julio","Agosto","Setiembre","Octubre"},0))*'Data Cruda'!$K$2:$K$1801),0)</f>
        <v>0.16078206899184466</v>
      </c>
      <c r="L41" s="19">
        <f>IFERROR(SUMPRODUCT(('Data Cruda'!$A$2:$A$1801=2025)*ISNUMBER(MATCH('Data Cruda'!$C$2:$C$1801,{"Enero","Febrero","Marzo","Abril","Mayo","Junio","Julio","Agosto","Setiembre","Octubre","Noviembre"},0))*'Data Cruda'!$P$2:$P$1801)/SUMPRODUCT(('Data Cruda'!$A$2:$A$1801=2025)*ISNUMBER(MATCH('Data Cruda'!$C$2:$C$1801,{"Enero","Febrero","Marzo","Abril","Mayo","Junio","Julio","Agosto","Setiembre","Octubre","Noviembre"},0))*'Data Cruda'!$K$2:$K$1801),0)</f>
        <v>0.16160513958760739</v>
      </c>
      <c r="M41" s="19">
        <f>IFERROR(SUMPRODUCT(('Data Cruda'!$A$2:$A$1801=2025)*ISNUMBER(MATCH('Data Cruda'!$C$2:$C$1801,{"Enero","Febrero","Marzo","Abril","Mayo","Junio","Julio","Agosto","Setiembre","Octubre","Noviembre","Diciembre"},0))*'Data Cruda'!$P$2:$P$1801)/SUMPRODUCT(('Data Cruda'!$A$2:$A$1801=2025)*ISNUMBER(MATCH('Data Cruda'!$C$2:$C$1801,{"Enero","Febrero","Marzo","Abril","Mayo","Junio","Julio","Agosto","Setiembre","Octubre","Noviembre","Diciembre"},0))*'Data Cruda'!$K$2:$K$1801),0)</f>
        <v>0.16103776966091815</v>
      </c>
      <c r="N41" s="20">
        <f>N40</f>
        <v>0.16103776966091815</v>
      </c>
    </row>
    <row r="43" spans="1:14" ht="15" customHeight="1" x14ac:dyDescent="0.3">
      <c r="A43" s="9">
        <v>2026</v>
      </c>
      <c r="B43" s="17">
        <f>IFERROR(SUMIFS('Data Cruda'!$P$2:$P$1801,'Data Cruda'!$A$2:$A$1801,2026,'Data Cruda'!$C$2:$C$1801,"Enero")/SUMIFS('Data Cruda'!$K$2:$K$1801,'Data Cruda'!$A$2:$A$1801,2026,'Data Cruda'!$C$2:$C$1801,"Enero"),0)</f>
        <v>0.150977633210264</v>
      </c>
      <c r="C43" s="17">
        <f>IFERROR(SUMIFS('Data Cruda'!$P$2:$P$1801,'Data Cruda'!$A$2:$A$1801,2026,'Data Cruda'!$C$2:$C$1801,"Febrero")/SUMIFS('Data Cruda'!$K$2:$K$1801,'Data Cruda'!$A$2:$A$1801,2026,'Data Cruda'!$C$2:$C$1801,"Febrero"),0)</f>
        <v>0.16585124744259921</v>
      </c>
      <c r="D43" s="17">
        <f>IFERROR(SUMIFS('Data Cruda'!$P$2:$P$1801,'Data Cruda'!$A$2:$A$1801,2026,'Data Cruda'!$C$2:$C$1801,"Marzo")/SUMIFS('Data Cruda'!$K$2:$K$1801,'Data Cruda'!$A$2:$A$1801,2026,'Data Cruda'!$C$2:$C$1801,"Marzo"),0)</f>
        <v>0.18087268402498616</v>
      </c>
      <c r="E43" s="17">
        <f>IFERROR(SUMIFS('Data Cruda'!$P$2:$P$1801,'Data Cruda'!$A$2:$A$1801,2026,'Data Cruda'!$C$2:$C$1801,"Abril")/SUMIFS('Data Cruda'!$K$2:$K$1801,'Data Cruda'!$A$2:$A$1801,2026,'Data Cruda'!$C$2:$C$1801,"Abril"),0)</f>
        <v>0.18255141080533438</v>
      </c>
      <c r="F43" s="17">
        <f>IFERROR(SUMIFS('Data Cruda'!$P$2:$P$1801,'Data Cruda'!$A$2:$A$1801,2026,'Data Cruda'!$C$2:$C$1801,"Mayo")/SUMIFS('Data Cruda'!$K$2:$K$1801,'Data Cruda'!$A$2:$A$1801,2026,'Data Cruda'!$C$2:$C$1801,"Mayo"),0)</f>
        <v>0.14024808509963022</v>
      </c>
      <c r="G43" s="17">
        <f>IFERROR(SUMIFS('Data Cruda'!$P$2:$P$1801,'Data Cruda'!$A$2:$A$1801,2026,'Data Cruda'!$C$2:$C$1801,"Junio")/SUMIFS('Data Cruda'!$K$2:$K$1801,'Data Cruda'!$A$2:$A$1801,2026,'Data Cruda'!$C$2:$C$1801,"Junio"),0)</f>
        <v>0.15065386410773451</v>
      </c>
      <c r="H43" s="17">
        <f>IFERROR(SUMIFS('Data Cruda'!$P$2:$P$1801,'Data Cruda'!$A$2:$A$1801,2026,'Data Cruda'!$C$2:$C$1801,"Julio")/SUMIFS('Data Cruda'!$K$2:$K$1801,'Data Cruda'!$A$2:$A$1801,2026,'Data Cruda'!$C$2:$C$1801,"Julio"),0)</f>
        <v>0</v>
      </c>
      <c r="I43" s="17">
        <f>IFERROR(SUMIFS('Data Cruda'!$P$2:$P$1801,'Data Cruda'!$A$2:$A$1801,2026,'Data Cruda'!$C$2:$C$1801,"Agosto")/SUMIFS('Data Cruda'!$K$2:$K$1801,'Data Cruda'!$A$2:$A$1801,2026,'Data Cruda'!$C$2:$C$1801,"Agosto"),0)</f>
        <v>0</v>
      </c>
      <c r="J43" s="17">
        <f>IFERROR(SUMIFS('Data Cruda'!$P$2:$P$1801,'Data Cruda'!$A$2:$A$1801,2026,'Data Cruda'!$C$2:$C$1801,"Setiembre")/SUMIFS('Data Cruda'!$K$2:$K$1801,'Data Cruda'!$A$2:$A$1801,2026,'Data Cruda'!$C$2:$C$1801,"Setiembre"),0)</f>
        <v>0</v>
      </c>
      <c r="K43" s="17">
        <f>IFERROR(SUMIFS('Data Cruda'!$P$2:$P$1801,'Data Cruda'!$A$2:$A$1801,2026,'Data Cruda'!$C$2:$C$1801,"Octubre")/SUMIFS('Data Cruda'!$K$2:$K$1801,'Data Cruda'!$A$2:$A$1801,2026,'Data Cruda'!$C$2:$C$1801,"Octubre"),0)</f>
        <v>0</v>
      </c>
      <c r="L43" s="17">
        <f>IFERROR(SUMIFS('Data Cruda'!$P$2:$P$1801,'Data Cruda'!$A$2:$A$1801,2026,'Data Cruda'!$C$2:$C$1801,"Noviembre")/SUMIFS('Data Cruda'!$K$2:$K$1801,'Data Cruda'!$A$2:$A$1801,2026,'Data Cruda'!$C$2:$C$1801,"Noviembre"),0)</f>
        <v>0</v>
      </c>
      <c r="M43" s="17">
        <f>IFERROR(SUMIFS('Data Cruda'!$P$2:$P$1801,'Data Cruda'!$A$2:$A$1801,2026,'Data Cruda'!$C$2:$C$1801,"Diciembre")/SUMIFS('Data Cruda'!$K$2:$K$1801,'Data Cruda'!$A$2:$A$1801,2026,'Data Cruda'!$C$2:$C$1801,"Diciembre"),0)</f>
        <v>0</v>
      </c>
      <c r="N43" s="50">
        <f>IFERROR(SUMIFS('Data Cruda'!$P$2:$P$1801,'Data Cruda'!$A$2:$A$1801,2026)/SUMIFS('Data Cruda'!$K$2:$K$1801,'Data Cruda'!$A$2:$A$1801,2026),0)</f>
        <v>0.1531561154179493</v>
      </c>
    </row>
    <row r="44" spans="1:14" ht="15" customHeight="1" x14ac:dyDescent="0.3">
      <c r="A44" s="12" t="s">
        <v>1914</v>
      </c>
      <c r="B44" s="19">
        <f>IFERROR(SUMPRODUCT(('Data Cruda'!$A$2:$A$1801=2026)*ISNUMBER(MATCH('Data Cruda'!$C$2:$C$1801,{"Enero"},0))*'Data Cruda'!$P$2:$P$1801)/SUMPRODUCT(('Data Cruda'!$A$2:$A$1801=2026)*ISNUMBER(MATCH('Data Cruda'!$C$2:$C$1801,{"Enero"},0))*'Data Cruda'!$K$2:$K$1801),0)</f>
        <v>0.150977633210264</v>
      </c>
      <c r="C44" s="19">
        <f>IFERROR(SUMPRODUCT(('Data Cruda'!$A$2:$A$1801=2026)*ISNUMBER(MATCH('Data Cruda'!$C$2:$C$1801,{"Enero","Febrero"},0))*'Data Cruda'!$P$2:$P$1801)/SUMPRODUCT(('Data Cruda'!$A$2:$A$1801=2026)*ISNUMBER(MATCH('Data Cruda'!$C$2:$C$1801,{"Enero","Febrero"},0))*'Data Cruda'!$K$2:$K$1801),0)</f>
        <v>0.15768069895741169</v>
      </c>
      <c r="D44" s="19">
        <f>IFERROR(SUMPRODUCT(('Data Cruda'!$A$2:$A$1801=2026)*ISNUMBER(MATCH('Data Cruda'!$C$2:$C$1801,{"Enero","Febrero","Marzo"},0))*'Data Cruda'!$P$2:$P$1801)/SUMPRODUCT(('Data Cruda'!$A$2:$A$1801=2026)*ISNUMBER(MATCH('Data Cruda'!$C$2:$C$1801,{"Enero","Febrero","Marzo"},0))*'Data Cruda'!$K$2:$K$1801),0)</f>
        <v>0.15900671061226254</v>
      </c>
      <c r="E44" s="19">
        <f>IFERROR(SUMPRODUCT(('Data Cruda'!$A$2:$A$1801=2026)*ISNUMBER(MATCH('Data Cruda'!$C$2:$C$1801,{"Enero","Febrero","Marzo","Abril"},0))*'Data Cruda'!$P$2:$P$1801)/SUMPRODUCT(('Data Cruda'!$A$2:$A$1801=2026)*ISNUMBER(MATCH('Data Cruda'!$C$2:$C$1801,{"Enero","Febrero","Marzo","Abril"},0))*'Data Cruda'!$K$2:$K$1801),0)</f>
        <v>0.16692421577830208</v>
      </c>
      <c r="F44" s="19">
        <f>IFERROR(SUMPRODUCT(('Data Cruda'!$A$2:$A$1801=2026)*ISNUMBER(MATCH('Data Cruda'!$C$2:$C$1801,{"Enero","Febrero","Marzo","Abril","Mayo"},0))*'Data Cruda'!$P$2:$P$1801)/SUMPRODUCT(('Data Cruda'!$A$2:$A$1801=2026)*ISNUMBER(MATCH('Data Cruda'!$C$2:$C$1801,{"Enero","Febrero","Marzo","Abril","Mayo"},0))*'Data Cruda'!$K$2:$K$1801),0)</f>
        <v>0.15340178718197559</v>
      </c>
      <c r="G44" s="19">
        <f>IFERROR(SUMPRODUCT(('Data Cruda'!$A$2:$A$1801=2026)*ISNUMBER(MATCH('Data Cruda'!$C$2:$C$1801,{"Enero","Febrero","Marzo","Abril","Mayo","Junio"},0))*'Data Cruda'!$P$2:$P$1801)/SUMPRODUCT(('Data Cruda'!$A$2:$A$1801=2026)*ISNUMBER(MATCH('Data Cruda'!$C$2:$C$1801,{"Enero","Febrero","Marzo","Abril","Mayo","Junio"},0))*'Data Cruda'!$K$2:$K$1801),0)</f>
        <v>0.1531561154179493</v>
      </c>
      <c r="H44" s="19"/>
      <c r="I44" s="19"/>
      <c r="J44" s="19"/>
      <c r="K44" s="19"/>
      <c r="L44" s="19"/>
      <c r="M44" s="19"/>
      <c r="N44" s="20">
        <f>N43</f>
        <v>0.1531561154179493</v>
      </c>
    </row>
  </sheetData>
  <mergeCells count="2">
    <mergeCell ref="A1:N1"/>
    <mergeCell ref="A25:N2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A6" zoomScaleNormal="100" workbookViewId="0">
      <selection activeCell="A13" sqref="A13:K13"/>
    </sheetView>
  </sheetViews>
  <sheetFormatPr baseColWidth="10" defaultColWidth="8.6640625" defaultRowHeight="14.4" x14ac:dyDescent="0.3"/>
  <cols>
    <col min="1" max="1" width="12" customWidth="1"/>
    <col min="2" max="4" width="14" customWidth="1"/>
    <col min="5" max="5" width="17.6640625" customWidth="1"/>
    <col min="6" max="7" width="14" customWidth="1"/>
    <col min="8" max="8" width="18.5546875" customWidth="1"/>
    <col min="9" max="11" width="14" customWidth="1"/>
  </cols>
  <sheetData>
    <row r="1" spans="1:11" ht="15" customHeight="1" x14ac:dyDescent="0.3">
      <c r="A1" s="69" t="s">
        <v>1917</v>
      </c>
      <c r="B1" s="69"/>
      <c r="C1" s="69"/>
      <c r="D1" s="69"/>
      <c r="E1" s="69"/>
      <c r="F1" s="69"/>
    </row>
    <row r="3" spans="1:11" ht="15" customHeight="1" x14ac:dyDescent="0.3">
      <c r="A3" s="7" t="s">
        <v>0</v>
      </c>
      <c r="B3" s="7" t="s">
        <v>1918</v>
      </c>
      <c r="C3" s="7" t="s">
        <v>1919</v>
      </c>
      <c r="D3" s="7" t="s">
        <v>1920</v>
      </c>
      <c r="E3" s="7" t="s">
        <v>1921</v>
      </c>
      <c r="F3" s="7" t="s">
        <v>1922</v>
      </c>
    </row>
    <row r="4" spans="1:11" ht="15" customHeight="1" x14ac:dyDescent="0.3">
      <c r="A4" s="9">
        <v>2021</v>
      </c>
      <c r="B4" s="21">
        <v>9717808.6493480094</v>
      </c>
      <c r="C4" s="22">
        <f t="shared" ref="C4:C8" si="0">B4/F4</f>
        <v>0.4784613345030842</v>
      </c>
      <c r="D4" s="23">
        <f>F4-B4</f>
        <v>10592732.555492792</v>
      </c>
      <c r="E4" s="24">
        <f>D4/F4</f>
        <v>0.52153866549691585</v>
      </c>
      <c r="F4" s="11">
        <v>20310541.204840802</v>
      </c>
      <c r="G4" s="3"/>
    </row>
    <row r="5" spans="1:11" ht="15" customHeight="1" x14ac:dyDescent="0.3">
      <c r="A5" s="9">
        <v>2022</v>
      </c>
      <c r="B5" s="21">
        <v>11783033.310000001</v>
      </c>
      <c r="C5" s="22">
        <f t="shared" si="0"/>
        <v>0.35491315830858799</v>
      </c>
      <c r="D5" s="23">
        <f t="shared" ref="D5:D9" si="1">F5-B5</f>
        <v>21416731.292007096</v>
      </c>
      <c r="E5" s="24">
        <f t="shared" ref="E5:E9" si="2">D5/F5</f>
        <v>0.64508684169141195</v>
      </c>
      <c r="F5" s="11">
        <v>33199764.602007098</v>
      </c>
      <c r="G5" s="3"/>
    </row>
    <row r="6" spans="1:11" ht="15" customHeight="1" x14ac:dyDescent="0.3">
      <c r="A6" s="9">
        <v>2023</v>
      </c>
      <c r="B6" s="21">
        <v>10023576.796610201</v>
      </c>
      <c r="C6" s="22">
        <f t="shared" si="0"/>
        <v>0.65559101629835659</v>
      </c>
      <c r="D6" s="23">
        <f t="shared" si="1"/>
        <v>5265798.0535913985</v>
      </c>
      <c r="E6" s="24">
        <f t="shared" si="2"/>
        <v>0.34440898370164336</v>
      </c>
      <c r="F6" s="11">
        <v>15289374.850201599</v>
      </c>
      <c r="G6" s="3"/>
    </row>
    <row r="7" spans="1:11" ht="15" customHeight="1" x14ac:dyDescent="0.3">
      <c r="A7" s="9">
        <v>2024</v>
      </c>
      <c r="B7" s="21">
        <v>6480103.78372881</v>
      </c>
      <c r="C7" s="22">
        <f t="shared" si="0"/>
        <v>0.41939299430859756</v>
      </c>
      <c r="D7" s="23">
        <f t="shared" si="1"/>
        <v>8971045.5479660891</v>
      </c>
      <c r="E7" s="24">
        <f t="shared" si="2"/>
        <v>0.58060700569140244</v>
      </c>
      <c r="F7" s="11">
        <v>15451149.331694899</v>
      </c>
      <c r="G7" s="3"/>
    </row>
    <row r="8" spans="1:11" ht="15" customHeight="1" x14ac:dyDescent="0.3">
      <c r="A8" s="9">
        <v>2025</v>
      </c>
      <c r="B8" s="21">
        <v>6662323.24084746</v>
      </c>
      <c r="C8" s="22">
        <f t="shared" si="0"/>
        <v>0.19058992496743826</v>
      </c>
      <c r="D8" s="23">
        <f t="shared" si="1"/>
        <v>28294001.139812738</v>
      </c>
      <c r="E8" s="24">
        <f t="shared" si="2"/>
        <v>0.80941007503256168</v>
      </c>
      <c r="F8" s="11">
        <v>34956324.380660199</v>
      </c>
      <c r="G8" s="3"/>
    </row>
    <row r="9" spans="1:11" ht="15" customHeight="1" x14ac:dyDescent="0.3">
      <c r="A9" s="9">
        <v>2026</v>
      </c>
      <c r="B9" s="21">
        <v>4913328.17</v>
      </c>
      <c r="C9" s="22">
        <f>B9/F9</f>
        <v>0.17385753479934923</v>
      </c>
      <c r="D9" s="23">
        <f t="shared" si="1"/>
        <v>23347328.899999999</v>
      </c>
      <c r="E9" s="24">
        <f t="shared" si="2"/>
        <v>0.82614246520065071</v>
      </c>
      <c r="F9" s="11">
        <v>28260657.07</v>
      </c>
      <c r="G9" s="3"/>
    </row>
    <row r="10" spans="1:11" ht="15" customHeight="1" x14ac:dyDescent="0.3">
      <c r="A10" s="25" t="s">
        <v>1913</v>
      </c>
      <c r="B10" s="26">
        <v>49580173.9505345</v>
      </c>
      <c r="C10" s="27">
        <v>0.33621014285485101</v>
      </c>
      <c r="D10" s="26">
        <v>97887637.488870099</v>
      </c>
      <c r="E10" s="27">
        <v>0.66378985714514904</v>
      </c>
      <c r="F10" s="26">
        <v>147467811.43940499</v>
      </c>
    </row>
    <row r="13" spans="1:11" ht="15" customHeight="1" x14ac:dyDescent="0.3">
      <c r="A13" s="69" t="s">
        <v>1923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5" spans="1:11" ht="15" customHeight="1" x14ac:dyDescent="0.3">
      <c r="A15" s="7" t="s">
        <v>0</v>
      </c>
      <c r="B15" s="7" t="s">
        <v>1924</v>
      </c>
      <c r="C15" s="7" t="s">
        <v>1925</v>
      </c>
      <c r="D15" s="7" t="s">
        <v>1926</v>
      </c>
      <c r="E15" s="7" t="s">
        <v>1927</v>
      </c>
      <c r="F15" s="7" t="s">
        <v>1928</v>
      </c>
      <c r="G15" s="7" t="s">
        <v>1929</v>
      </c>
      <c r="H15" s="7" t="s">
        <v>1930</v>
      </c>
      <c r="I15" s="7" t="s">
        <v>1931</v>
      </c>
      <c r="J15" s="7" t="s">
        <v>1932</v>
      </c>
      <c r="K15" s="7" t="s">
        <v>1933</v>
      </c>
    </row>
    <row r="16" spans="1:11" ht="15" customHeight="1" x14ac:dyDescent="0.3">
      <c r="A16" s="9">
        <v>2021</v>
      </c>
      <c r="B16" s="21">
        <v>9717808.6493480094</v>
      </c>
      <c r="C16" s="51">
        <f>IFERROR(SUMIFS('Data Cruda'!$P$2:$P$1801,'Data Cruda'!$A$2:$A$1801,2021,'Data Cruda'!$J$2:$J$1801,"Freón")/SUMIFS('Data Cruda'!$K$2:$K$1801,'Data Cruda'!$A$2:$A$1801,2021,'Data Cruda'!$J$2:$J$1801,"Freón"),0)</f>
        <v>0.13931058968817109</v>
      </c>
      <c r="D16" s="51">
        <v>0.47846133450308498</v>
      </c>
      <c r="E16" s="55">
        <v>9840110.4578139707</v>
      </c>
      <c r="F16" s="52">
        <f>IFERROR(SUMIFS('Data Cruda'!$P$2:$P$1801,'Data Cruda'!$A$2:$A$1801,2021,'Data Cruda'!$J$2:$J$1801,"Amoniaco")/SUMIFS('Data Cruda'!$K$2:$K$1801,'Data Cruda'!$A$2:$A$1801,2021,'Data Cruda'!$J$2:$J$1801,"Amoniaco"),0)</f>
        <v>0.12995209655380743</v>
      </c>
      <c r="G16" s="52">
        <v>0.48448292729239001</v>
      </c>
      <c r="H16" s="57">
        <v>752622.09767879604</v>
      </c>
      <c r="I16" s="53">
        <f>IFERROR((SUMIFS('Data Cruda'!$P$2:$P$1801,'Data Cruda'!$A$2:$A$1801,2021)-SUMIFS('Data Cruda'!$P$2:$P$1801,'Data Cruda'!$A$2:$A$1801,2021,'Data Cruda'!$J$2:$J$1801,"Freón")-SUMIFS('Data Cruda'!$P$2:$P$1801,'Data Cruda'!$A$2:$A$1801,2021,'Data Cruda'!$J$2:$J$1801,"Amoniaco"))/(SUMIFS('Data Cruda'!$K$2:$K$1801,'Data Cruda'!$A$2:$A$1801,2021)-SUMIFS('Data Cruda'!$K$2:$K$1801,'Data Cruda'!$A$2:$A$1801,2021,'Data Cruda'!$J$2:$J$1801,"Freón")-SUMIFS('Data Cruda'!$K$2:$K$1801,'Data Cruda'!$A$2:$A$1801,2021,'Data Cruda'!$J$2:$J$1801,"Amoniaco")),0)</f>
        <v>0.12704606909994351</v>
      </c>
      <c r="J16" s="53">
        <v>3.7055738204524902E-2</v>
      </c>
      <c r="K16" s="11">
        <v>20310541.204840802</v>
      </c>
    </row>
    <row r="17" spans="1:11" ht="15" customHeight="1" x14ac:dyDescent="0.3">
      <c r="A17" s="9">
        <v>2022</v>
      </c>
      <c r="B17" s="21">
        <v>11783033.310000001</v>
      </c>
      <c r="C17" s="51">
        <f>IFERROR(SUMIFS('Data Cruda'!$P$2:$P$1801,'Data Cruda'!$A$2:$A$1801,2022,'Data Cruda'!$J$2:$J$1801,"Freón")/SUMIFS('Data Cruda'!$K$2:$K$1801,'Data Cruda'!$A$2:$A$1801,2022,'Data Cruda'!$J$2:$J$1801,"Freón"),0)</f>
        <v>0.13491101337640216</v>
      </c>
      <c r="D17" s="51">
        <v>0.35491315830858799</v>
      </c>
      <c r="E17" s="55">
        <v>20442114.477796599</v>
      </c>
      <c r="F17" s="52">
        <f>IFERROR(SUMIFS('Data Cruda'!$P$2:$P$1801,'Data Cruda'!$A$2:$A$1801,2022,'Data Cruda'!$J$2:$J$1801,"Amoniaco")/SUMIFS('Data Cruda'!$K$2:$K$1801,'Data Cruda'!$A$2:$A$1801,2022,'Data Cruda'!$J$2:$J$1801,"Amoniaco"),0)</f>
        <v>0.14296731860465606</v>
      </c>
      <c r="G17" s="52">
        <v>0.61573070540869901</v>
      </c>
      <c r="H17" s="57">
        <v>974616.81421052595</v>
      </c>
      <c r="I17" s="53">
        <f>IFERROR((SUMIFS('Data Cruda'!$P$2:$P$1801,'Data Cruda'!$A$2:$A$1801,2022)-SUMIFS('Data Cruda'!$P$2:$P$1801,'Data Cruda'!$A$2:$A$1801,2022,'Data Cruda'!$J$2:$J$1801,"Freón")-SUMIFS('Data Cruda'!$P$2:$P$1801,'Data Cruda'!$A$2:$A$1801,2022,'Data Cruda'!$J$2:$J$1801,"Amoniaco"))/(SUMIFS('Data Cruda'!$K$2:$K$1801,'Data Cruda'!$A$2:$A$1801,2022)-SUMIFS('Data Cruda'!$K$2:$K$1801,'Data Cruda'!$A$2:$A$1801,2022,'Data Cruda'!$J$2:$J$1801,"Freón")-SUMIFS('Data Cruda'!$K$2:$K$1801,'Data Cruda'!$A$2:$A$1801,2022,'Data Cruda'!$J$2:$J$1801,"Amoniaco")),0)</f>
        <v>0.17410403136437599</v>
      </c>
      <c r="J17" s="53">
        <v>2.9356136282713399E-2</v>
      </c>
      <c r="K17" s="11">
        <v>33199764.602007098</v>
      </c>
    </row>
    <row r="18" spans="1:11" ht="15" customHeight="1" x14ac:dyDescent="0.3">
      <c r="A18" s="9">
        <v>2023</v>
      </c>
      <c r="B18" s="21">
        <v>10023576.796610201</v>
      </c>
      <c r="C18" s="51">
        <f>IFERROR(SUMIFS('Data Cruda'!$P$2:$P$1801,'Data Cruda'!$A$2:$A$1801,2023,'Data Cruda'!$J$2:$J$1801,"Freón")/SUMIFS('Data Cruda'!$K$2:$K$1801,'Data Cruda'!$A$2:$A$1801,2023,'Data Cruda'!$J$2:$J$1801,"Freón"),0)</f>
        <v>0.15819947965443512</v>
      </c>
      <c r="D18" s="51">
        <v>0.65559101629835703</v>
      </c>
      <c r="E18" s="55">
        <v>4060599.39359139</v>
      </c>
      <c r="F18" s="52">
        <f>IFERROR(SUMIFS('Data Cruda'!$P$2:$P$1801,'Data Cruda'!$A$2:$A$1801,2023,'Data Cruda'!$J$2:$J$1801,"Amoniaco")/SUMIFS('Data Cruda'!$K$2:$K$1801,'Data Cruda'!$A$2:$A$1801,2023,'Data Cruda'!$J$2:$J$1801,"Amoniaco"),0)</f>
        <v>0.19810948350086391</v>
      </c>
      <c r="G18" s="52">
        <v>0.26558308847649598</v>
      </c>
      <c r="H18" s="57">
        <v>1205198.6599999999</v>
      </c>
      <c r="I18" s="53">
        <f>IFERROR((SUMIFS('Data Cruda'!$P$2:$P$1801,'Data Cruda'!$A$2:$A$1801,2023)-SUMIFS('Data Cruda'!$P$2:$P$1801,'Data Cruda'!$A$2:$A$1801,2023,'Data Cruda'!$J$2:$J$1801,"Freón")-SUMIFS('Data Cruda'!$P$2:$P$1801,'Data Cruda'!$A$2:$A$1801,2023,'Data Cruda'!$J$2:$J$1801,"Amoniaco"))/(SUMIFS('Data Cruda'!$K$2:$K$1801,'Data Cruda'!$A$2:$A$1801,2023)-SUMIFS('Data Cruda'!$K$2:$K$1801,'Data Cruda'!$A$2:$A$1801,2023,'Data Cruda'!$J$2:$J$1801,"Freón")-SUMIFS('Data Cruda'!$K$2:$K$1801,'Data Cruda'!$A$2:$A$1801,2023,'Data Cruda'!$J$2:$J$1801,"Amoniaco")),0)</f>
        <v>0.18507379812386923</v>
      </c>
      <c r="J18" s="53">
        <v>7.8825895225147893E-2</v>
      </c>
      <c r="K18" s="11">
        <v>15289374.850201599</v>
      </c>
    </row>
    <row r="19" spans="1:11" ht="15" customHeight="1" x14ac:dyDescent="0.3">
      <c r="A19" s="9">
        <v>2024</v>
      </c>
      <c r="B19" s="21">
        <v>6480103.78372881</v>
      </c>
      <c r="C19" s="51">
        <f>IFERROR(SUMIFS('Data Cruda'!$P$2:$P$1801,'Data Cruda'!$A$2:$A$1801,2024,'Data Cruda'!$J$2:$J$1801,"Freón")/SUMIFS('Data Cruda'!$K$2:$K$1801,'Data Cruda'!$A$2:$A$1801,2024,'Data Cruda'!$J$2:$J$1801,"Freón"),0)</f>
        <v>0.14581801573496891</v>
      </c>
      <c r="D19" s="51">
        <v>0.419392994308597</v>
      </c>
      <c r="E19" s="55">
        <v>7445782.1579660997</v>
      </c>
      <c r="F19" s="52">
        <f>IFERROR(SUMIFS('Data Cruda'!$P$2:$P$1801,'Data Cruda'!$A$2:$A$1801,2024,'Data Cruda'!$J$2:$J$1801,"Amoniaco")/SUMIFS('Data Cruda'!$K$2:$K$1801,'Data Cruda'!$A$2:$A$1801,2024,'Data Cruda'!$J$2:$J$1801,"Amoniaco"),0)</f>
        <v>0.16032870579255482</v>
      </c>
      <c r="G19" s="52">
        <v>0.48189179964059897</v>
      </c>
      <c r="H19" s="57">
        <v>1525263.39</v>
      </c>
      <c r="I19" s="53">
        <f>IFERROR((SUMIFS('Data Cruda'!$P$2:$P$1801,'Data Cruda'!$A$2:$A$1801,2024)-SUMIFS('Data Cruda'!$P$2:$P$1801,'Data Cruda'!$A$2:$A$1801,2024,'Data Cruda'!$J$2:$J$1801,"Freón")-SUMIFS('Data Cruda'!$P$2:$P$1801,'Data Cruda'!$A$2:$A$1801,2024,'Data Cruda'!$J$2:$J$1801,"Amoniaco"))/(SUMIFS('Data Cruda'!$K$2:$K$1801,'Data Cruda'!$A$2:$A$1801,2024)-SUMIFS('Data Cruda'!$K$2:$K$1801,'Data Cruda'!$A$2:$A$1801,2024,'Data Cruda'!$J$2:$J$1801,"Freón")-SUMIFS('Data Cruda'!$K$2:$K$1801,'Data Cruda'!$A$2:$A$1801,2024,'Data Cruda'!$J$2:$J$1801,"Amoniaco")),0)</f>
        <v>0.1477394845227348</v>
      </c>
      <c r="J19" s="53">
        <v>9.8715206050803597E-2</v>
      </c>
      <c r="K19" s="11">
        <v>15451149.331694899</v>
      </c>
    </row>
    <row r="20" spans="1:11" ht="15" customHeight="1" x14ac:dyDescent="0.3">
      <c r="A20" s="9">
        <v>2025</v>
      </c>
      <c r="B20" s="21">
        <v>6662323.24084746</v>
      </c>
      <c r="C20" s="51">
        <f>IFERROR(SUMIFS('Data Cruda'!$P$2:$P$1801,'Data Cruda'!$A$2:$A$1801,2025,'Data Cruda'!$J$2:$J$1801,"Freón")/SUMIFS('Data Cruda'!$K$2:$K$1801,'Data Cruda'!$A$2:$A$1801,2025,'Data Cruda'!$J$2:$J$1801,"Freón"),0)</f>
        <v>0.15384680512578308</v>
      </c>
      <c r="D20" s="51">
        <v>0.19058992496743801</v>
      </c>
      <c r="E20" s="55">
        <v>21030719.2326391</v>
      </c>
      <c r="F20" s="52">
        <f>IFERROR(SUMIFS('Data Cruda'!$P$2:$P$1801,'Data Cruda'!$A$2:$A$1801,2025,'Data Cruda'!$J$2:$J$1801,"Amoniaco")/SUMIFS('Data Cruda'!$K$2:$K$1801,'Data Cruda'!$A$2:$A$1801,2025,'Data Cruda'!$J$2:$J$1801,"Amoniaco"),0)</f>
        <v>0.1599398996911012</v>
      </c>
      <c r="G20" s="52">
        <v>0.60162844936507298</v>
      </c>
      <c r="H20" s="57">
        <v>7263281.9071736401</v>
      </c>
      <c r="I20" s="53">
        <f>IFERROR((SUMIFS('Data Cruda'!$P$2:$P$1801,'Data Cruda'!$A$2:$A$1801,2025)-SUMIFS('Data Cruda'!$P$2:$P$1801,'Data Cruda'!$A$2:$A$1801,2025,'Data Cruda'!$J$2:$J$1801,"Freón")-SUMIFS('Data Cruda'!$P$2:$P$1801,'Data Cruda'!$A$2:$A$1801,2025,'Data Cruda'!$J$2:$J$1801,"Amoniaco"))/(SUMIFS('Data Cruda'!$K$2:$K$1801,'Data Cruda'!$A$2:$A$1801,2025)-SUMIFS('Data Cruda'!$K$2:$K$1801,'Data Cruda'!$A$2:$A$1801,2025,'Data Cruda'!$J$2:$J$1801,"Freón")-SUMIFS('Data Cruda'!$K$2:$K$1801,'Data Cruda'!$A$2:$A$1801,2025,'Data Cruda'!$J$2:$J$1801,"Amoniaco")),0)</f>
        <v>0.17062466290562051</v>
      </c>
      <c r="J20" s="53">
        <v>0.20778162566748901</v>
      </c>
      <c r="K20" s="11">
        <v>34956324.380660199</v>
      </c>
    </row>
    <row r="21" spans="1:11" ht="15" customHeight="1" x14ac:dyDescent="0.3">
      <c r="A21" s="9">
        <v>2026</v>
      </c>
      <c r="B21" s="21">
        <v>4913328.17</v>
      </c>
      <c r="C21" s="51">
        <f>IFERROR(SUMIFS('Data Cruda'!$P$2:$P$1801,'Data Cruda'!$A$2:$A$1801,2026,'Data Cruda'!$J$2:$J$1801,"Freón")/SUMIFS('Data Cruda'!$K$2:$K$1801,'Data Cruda'!$A$2:$A$1801,2026,'Data Cruda'!$J$2:$J$1801,"Freón"),0)</f>
        <v>0.16485592667016988</v>
      </c>
      <c r="D21" s="51">
        <v>0.17385753479934901</v>
      </c>
      <c r="E21" s="55">
        <v>21821650.469999999</v>
      </c>
      <c r="F21" s="52">
        <f>IFERROR(SUMIFS('Data Cruda'!$P$2:$P$1801,'Data Cruda'!$A$2:$A$1801,2026,'Data Cruda'!$J$2:$J$1801,"Amoniaco")/SUMIFS('Data Cruda'!$K$2:$K$1801,'Data Cruda'!$A$2:$A$1801,2026,'Data Cruda'!$J$2:$J$1801,"Amoniaco"),0)</f>
        <v>0.14940768291024689</v>
      </c>
      <c r="G21" s="52">
        <v>0.77215651483081404</v>
      </c>
      <c r="H21" s="57">
        <v>1525678.43</v>
      </c>
      <c r="I21" s="53">
        <f>IFERROR((SUMIFS('Data Cruda'!$P$2:$P$1801,'Data Cruda'!$A$2:$A$1801,2026)-SUMIFS('Data Cruda'!$P$2:$P$1801,'Data Cruda'!$A$2:$A$1801,2026,'Data Cruda'!$J$2:$J$1801,"Freón")-SUMIFS('Data Cruda'!$P$2:$P$1801,'Data Cruda'!$A$2:$A$1801,2026,'Data Cruda'!$J$2:$J$1801,"Amoniaco"))/(SUMIFS('Data Cruda'!$K$2:$K$1801,'Data Cruda'!$A$2:$A$1801,2026)-SUMIFS('Data Cruda'!$K$2:$K$1801,'Data Cruda'!$A$2:$A$1801,2026,'Data Cruda'!$J$2:$J$1801,"Freón")-SUMIFS('Data Cruda'!$K$2:$K$1801,'Data Cruda'!$A$2:$A$1801,2026,'Data Cruda'!$J$2:$J$1801,"Amoniaco")),0)</f>
        <v>0.16909130287697938</v>
      </c>
      <c r="J21" s="53">
        <v>5.3985950369836902E-2</v>
      </c>
      <c r="K21" s="11">
        <v>28260657.07</v>
      </c>
    </row>
    <row r="22" spans="1:11" ht="15" customHeight="1" x14ac:dyDescent="0.3">
      <c r="A22" s="25" t="s">
        <v>1913</v>
      </c>
      <c r="B22" s="26">
        <v>49580173.9505345</v>
      </c>
      <c r="C22" s="54">
        <f>IFERROR(SUMPRODUCT(ISNUMBER(MATCH('Data Cruda'!$A$2:$A$1801,{2021,2022,2023,2024,2025,2026},0))*('Data Cruda'!$J$2:$J$1801="Freón")*'Data Cruda'!$P$2:$P$1801)/SUMPRODUCT(ISNUMBER(MATCH('Data Cruda'!$A$2:$A$1801,{2021,2022,2023,2024,2025,2026},0))*('Data Cruda'!$J$2:$J$1801="Freón")*'Data Cruda'!$K$2:$K$1801),0)</f>
        <v>0.14739437062564609</v>
      </c>
      <c r="D22" s="54">
        <v>0.33621014285485101</v>
      </c>
      <c r="E22" s="56">
        <v>84640976.189807206</v>
      </c>
      <c r="F22" s="54">
        <f>IFERROR(SUMPRODUCT(ISNUMBER(MATCH('Data Cruda'!$A$2:$A$1801,{2021,2022,2023,2024,2025,2026},0))*('Data Cruda'!$J$2:$J$1801="Amoniaco")*'Data Cruda'!$P$2:$P$1801)/SUMPRODUCT(ISNUMBER(MATCH('Data Cruda'!$A$2:$A$1801,{2021,2022,2023,2024,2025,2026},0))*('Data Cruda'!$J$2:$J$1801="Amoniaco")*'Data Cruda'!$K$2:$K$1801),0)</f>
        <v>0.15150447311861875</v>
      </c>
      <c r="G22" s="54">
        <v>0.57396238110298803</v>
      </c>
      <c r="H22" s="56">
        <v>13246661.299063001</v>
      </c>
      <c r="I22" s="54">
        <f>IFERROR((SUMPRODUCT(ISNUMBER(MATCH('Data Cruda'!$A$2:$A$1801,{2021,2022,2023,2024,2025,2026},0))*'Data Cruda'!$P$2:$P$1801)-SUMIFS('Data Cruda'!$P$2:$P$1801,'Data Cruda'!$J$2:$J$1801,"Freón")-SUMIFS('Data Cruda'!$P$2:$P$1801,'Data Cruda'!$J$2:$J$1801,"Amoniaco"))/(SUMPRODUCT(ISNUMBER(MATCH('Data Cruda'!$A$2:$A$1801,{2021,2022,2023,2024,2025,2026},0))*'Data Cruda'!$K$2:$K$1801)-SUMIFS('Data Cruda'!$K$2:$K$1801,'Data Cruda'!$J$2:$J$1801,"Freón")-SUMIFS('Data Cruda'!$K$2:$K$1801,'Data Cruda'!$J$2:$J$1801,"Amoniaco")),0)</f>
        <v>-2.459386400009847E-2</v>
      </c>
      <c r="J22" s="54">
        <v>8.9827476042160501E-2</v>
      </c>
      <c r="K22" s="26">
        <v>147467811.43940499</v>
      </c>
    </row>
    <row r="25" spans="1:11" ht="15" customHeight="1" x14ac:dyDescent="0.3">
      <c r="A25" s="69" t="s">
        <v>1934</v>
      </c>
      <c r="B25" s="69"/>
      <c r="C25" s="69"/>
      <c r="D25" s="69"/>
      <c r="E25" s="69"/>
      <c r="F25" s="69"/>
      <c r="G25" s="69"/>
      <c r="H25" s="69"/>
      <c r="I25" s="69"/>
      <c r="J25" s="69"/>
    </row>
    <row r="26" spans="1:11" ht="15" customHeight="1" x14ac:dyDescent="0.3">
      <c r="A26" s="70" t="s">
        <v>1935</v>
      </c>
      <c r="B26" s="70"/>
      <c r="C26" s="70"/>
      <c r="D26" s="70"/>
      <c r="E26" s="70"/>
      <c r="F26" s="70"/>
      <c r="G26" s="70"/>
      <c r="H26" s="70"/>
      <c r="I26" s="70"/>
      <c r="J26" s="70"/>
    </row>
    <row r="28" spans="1:11" ht="15" customHeight="1" x14ac:dyDescent="0.3">
      <c r="A28" s="7" t="s">
        <v>0</v>
      </c>
      <c r="B28" s="7" t="s">
        <v>1936</v>
      </c>
      <c r="C28" s="7" t="s">
        <v>1937</v>
      </c>
      <c r="D28" s="7" t="s">
        <v>1938</v>
      </c>
      <c r="E28" s="7" t="s">
        <v>1939</v>
      </c>
      <c r="F28" s="7" t="s">
        <v>1940</v>
      </c>
      <c r="G28" s="7" t="s">
        <v>1941</v>
      </c>
      <c r="H28" s="7" t="s">
        <v>1942</v>
      </c>
      <c r="I28" s="7" t="s">
        <v>1943</v>
      </c>
      <c r="J28" s="7" t="s">
        <v>1922</v>
      </c>
    </row>
    <row r="29" spans="1:11" ht="15" customHeight="1" x14ac:dyDescent="0.3">
      <c r="A29" s="9">
        <v>2021</v>
      </c>
      <c r="B29" s="28">
        <v>19355388.9776196</v>
      </c>
      <c r="C29" s="29">
        <v>0.95297258612717095</v>
      </c>
      <c r="D29" s="30">
        <v>832200.22722119105</v>
      </c>
      <c r="E29" s="31">
        <v>4.0973808567092602E-2</v>
      </c>
      <c r="F29" s="13">
        <v>52000</v>
      </c>
      <c r="G29" s="19">
        <v>2.5602468922692398E-3</v>
      </c>
      <c r="H29" s="32">
        <v>69252</v>
      </c>
      <c r="I29" s="33">
        <v>3.4096580342967199E-3</v>
      </c>
      <c r="J29" s="11">
        <f>B29+D29+F29+H29</f>
        <v>20308841.20484079</v>
      </c>
    </row>
    <row r="30" spans="1:11" ht="15" customHeight="1" x14ac:dyDescent="0.3">
      <c r="A30" s="9">
        <v>2022</v>
      </c>
      <c r="B30" s="28">
        <v>28303498.092007101</v>
      </c>
      <c r="C30" s="29">
        <v>0.85252104740212598</v>
      </c>
      <c r="D30" s="30">
        <v>1109471.5900000001</v>
      </c>
      <c r="E30" s="31">
        <v>3.3418055919978602E-2</v>
      </c>
      <c r="F30" s="13">
        <v>0</v>
      </c>
      <c r="G30" s="19">
        <v>0</v>
      </c>
      <c r="H30" s="32">
        <v>0</v>
      </c>
      <c r="I30" s="33">
        <v>0</v>
      </c>
      <c r="J30" s="11">
        <f t="shared" ref="J30:J34" si="3">B30+D30+F30+H30</f>
        <v>29412969.6820071</v>
      </c>
    </row>
    <row r="31" spans="1:11" ht="15" customHeight="1" x14ac:dyDescent="0.3">
      <c r="A31" s="9">
        <v>2023</v>
      </c>
      <c r="B31" s="28">
        <v>14249025.489184599</v>
      </c>
      <c r="C31" s="29">
        <v>0.93195605633259604</v>
      </c>
      <c r="D31" s="30">
        <v>1040349.36101695</v>
      </c>
      <c r="E31" s="31">
        <v>6.8043943667404697E-2</v>
      </c>
      <c r="F31" s="13">
        <v>0</v>
      </c>
      <c r="G31" s="19">
        <v>0</v>
      </c>
      <c r="H31" s="32">
        <v>0</v>
      </c>
      <c r="I31" s="33">
        <v>0</v>
      </c>
      <c r="J31" s="11">
        <f t="shared" si="3"/>
        <v>15289374.850201549</v>
      </c>
    </row>
    <row r="32" spans="1:11" ht="15" customHeight="1" x14ac:dyDescent="0.3">
      <c r="A32" s="9">
        <v>2024</v>
      </c>
      <c r="B32" s="28">
        <v>14024847.852203401</v>
      </c>
      <c r="C32" s="29">
        <v>0.90768961914271595</v>
      </c>
      <c r="D32" s="30">
        <v>1426301.47949152</v>
      </c>
      <c r="E32" s="31">
        <v>9.2310380857283894E-2</v>
      </c>
      <c r="F32" s="13">
        <v>0</v>
      </c>
      <c r="G32" s="19">
        <v>0</v>
      </c>
      <c r="H32" s="32">
        <v>0</v>
      </c>
      <c r="I32" s="33">
        <v>0</v>
      </c>
      <c r="J32" s="11">
        <f t="shared" si="3"/>
        <v>15451149.331694921</v>
      </c>
    </row>
    <row r="33" spans="1:10" ht="15" customHeight="1" x14ac:dyDescent="0.3">
      <c r="A33" s="9">
        <v>2025</v>
      </c>
      <c r="B33" s="28">
        <v>33216546.1771008</v>
      </c>
      <c r="C33" s="29">
        <v>0.95022994452695198</v>
      </c>
      <c r="D33" s="30">
        <v>1219228.80355932</v>
      </c>
      <c r="E33" s="31">
        <v>3.4878632841440001E-2</v>
      </c>
      <c r="F33" s="13">
        <v>496549.4</v>
      </c>
      <c r="G33" s="19">
        <v>1.42048515911679E-2</v>
      </c>
      <c r="H33" s="32">
        <v>24000</v>
      </c>
      <c r="I33" s="33">
        <v>6.8657104044034397E-4</v>
      </c>
      <c r="J33" s="11">
        <f t="shared" si="3"/>
        <v>34956324.380660117</v>
      </c>
    </row>
    <row r="34" spans="1:10" ht="15" customHeight="1" x14ac:dyDescent="0.3">
      <c r="A34" s="9">
        <v>2026</v>
      </c>
      <c r="B34" s="28">
        <v>26963096.98</v>
      </c>
      <c r="C34" s="29">
        <v>0.95408599004665695</v>
      </c>
      <c r="D34" s="30">
        <v>1193765.0900000001</v>
      </c>
      <c r="E34" s="31">
        <v>4.2241236183685103E-2</v>
      </c>
      <c r="F34" s="13">
        <v>95325</v>
      </c>
      <c r="G34" s="19">
        <v>3.3730638238129301E-3</v>
      </c>
      <c r="H34" s="32">
        <v>8470</v>
      </c>
      <c r="I34" s="33">
        <v>2.9970994584521899E-4</v>
      </c>
      <c r="J34" s="11">
        <f t="shared" si="3"/>
        <v>28260657.07</v>
      </c>
    </row>
    <row r="35" spans="1:10" ht="15" customHeight="1" x14ac:dyDescent="0.3">
      <c r="A35" s="25" t="s">
        <v>1913</v>
      </c>
      <c r="B35" s="26">
        <v>136112403.56811601</v>
      </c>
      <c r="C35" s="27">
        <v>0.922997379831903</v>
      </c>
      <c r="D35" s="26">
        <v>6821316.5512889903</v>
      </c>
      <c r="E35" s="27">
        <v>4.6256308306927799E-2</v>
      </c>
      <c r="F35" s="26">
        <v>643874.4</v>
      </c>
      <c r="G35" s="27">
        <v>4.3662029951842896E-3</v>
      </c>
      <c r="H35" s="26">
        <v>101722</v>
      </c>
      <c r="I35" s="27">
        <v>6.8979120939757202E-4</v>
      </c>
      <c r="J35" s="26">
        <v>147467811.43940499</v>
      </c>
    </row>
  </sheetData>
  <mergeCells count="4">
    <mergeCell ref="A1:F1"/>
    <mergeCell ref="A13:K13"/>
    <mergeCell ref="A25:J25"/>
    <mergeCell ref="A26:J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7"/>
  <sheetViews>
    <sheetView topLeftCell="A96" zoomScaleNormal="100" workbookViewId="0">
      <selection sqref="A1:G1"/>
    </sheetView>
  </sheetViews>
  <sheetFormatPr baseColWidth="10" defaultColWidth="8.6640625" defaultRowHeight="14.4" x14ac:dyDescent="0.3"/>
  <cols>
    <col min="1" max="1" width="15" customWidth="1"/>
    <col min="2" max="2" width="48" customWidth="1"/>
    <col min="3" max="5" width="15" customWidth="1"/>
    <col min="6" max="6" width="20" customWidth="1"/>
    <col min="7" max="7" width="15" customWidth="1"/>
  </cols>
  <sheetData>
    <row r="1" spans="1:7" ht="15" customHeight="1" x14ac:dyDescent="0.3">
      <c r="A1" s="69" t="s">
        <v>1944</v>
      </c>
      <c r="B1" s="69"/>
      <c r="C1" s="69"/>
      <c r="D1" s="69"/>
      <c r="E1" s="69"/>
      <c r="F1" s="69"/>
      <c r="G1" s="69"/>
    </row>
    <row r="3" spans="1:7" ht="15" customHeight="1" x14ac:dyDescent="0.3">
      <c r="A3" s="7" t="s">
        <v>1898</v>
      </c>
      <c r="B3" s="7" t="s">
        <v>3</v>
      </c>
      <c r="C3" s="7" t="s">
        <v>1945</v>
      </c>
      <c r="D3" s="7" t="s">
        <v>1946</v>
      </c>
      <c r="E3" s="7" t="s">
        <v>1947</v>
      </c>
      <c r="F3" s="7" t="s">
        <v>1948</v>
      </c>
      <c r="G3" s="7" t="s">
        <v>1949</v>
      </c>
    </row>
    <row r="4" spans="1:7" ht="15" customHeight="1" x14ac:dyDescent="0.3">
      <c r="A4" s="8">
        <v>1</v>
      </c>
      <c r="B4" s="6" t="s">
        <v>1737</v>
      </c>
      <c r="C4" s="10">
        <v>0</v>
      </c>
      <c r="D4" s="10">
        <v>10141560.130000001</v>
      </c>
      <c r="E4" s="11">
        <v>10141560.130000001</v>
      </c>
      <c r="F4" s="17">
        <v>0.16042461846925299</v>
      </c>
      <c r="G4" s="17">
        <f>IFERROR((SUMIFS('Data Cruda'!$P$2:$P$1801,'Data Cruda'!$D$2:$D$1801,"AGROBERRIES PERU S.A.C.",'Data Cruda'!$A$2:$A$1801,2025)+SUMIFS('Data Cruda'!$P$2:$P$1801,'Data Cruda'!$D$2:$D$1801,"AGROBERRIES PERU S.A.C.",'Data Cruda'!$A$2:$A$1801,2026))/(SUMIFS('Data Cruda'!$K$2:$K$1801,'Data Cruda'!$D$2:$D$1801,"AGROBERRIES PERU S.A.C.",'Data Cruda'!$A$2:$A$1801,2025)+SUMIFS('Data Cruda'!$K$2:$K$1801,'Data Cruda'!$D$2:$D$1801,"AGROBERRIES PERU S.A.C.",'Data Cruda'!$A$2:$A$1801,2026)),0)</f>
        <v>0.13938319848033087</v>
      </c>
    </row>
    <row r="5" spans="1:7" ht="15" customHeight="1" x14ac:dyDescent="0.3">
      <c r="A5" s="8">
        <v>2</v>
      </c>
      <c r="B5" s="6" t="s">
        <v>45</v>
      </c>
      <c r="C5" s="10">
        <v>4480901.0077966098</v>
      </c>
      <c r="D5" s="10">
        <v>5000</v>
      </c>
      <c r="E5" s="11">
        <v>4485901.0077966098</v>
      </c>
      <c r="F5" s="17">
        <v>7.0960379709015101E-2</v>
      </c>
      <c r="G5" s="17">
        <f>IFERROR((SUMIFS('Data Cruda'!$P$2:$P$1801,'Data Cruda'!$D$2:$D$1801,"DANPER TRUJILLO S.A.C.",'Data Cruda'!$A$2:$A$1801,2025)+SUMIFS('Data Cruda'!$P$2:$P$1801,'Data Cruda'!$D$2:$D$1801,"DANPER TRUJILLO S.A.C.",'Data Cruda'!$A$2:$A$1801,2026))/(SUMIFS('Data Cruda'!$K$2:$K$1801,'Data Cruda'!$D$2:$D$1801,"DANPER TRUJILLO S.A.C.",'Data Cruda'!$A$2:$A$1801,2025)+SUMIFS('Data Cruda'!$K$2:$K$1801,'Data Cruda'!$D$2:$D$1801,"DANPER TRUJILLO S.A.C.",'Data Cruda'!$A$2:$A$1801,2026)),0)</f>
        <v>0.15082002207006287</v>
      </c>
    </row>
    <row r="6" spans="1:7" ht="15" customHeight="1" x14ac:dyDescent="0.3">
      <c r="A6" s="8">
        <v>3</v>
      </c>
      <c r="B6" s="6" t="s">
        <v>40</v>
      </c>
      <c r="C6" s="10">
        <v>2130000</v>
      </c>
      <c r="D6" s="10">
        <v>2320000</v>
      </c>
      <c r="E6" s="11">
        <v>4450000</v>
      </c>
      <c r="F6" s="17">
        <v>7.0392478379771306E-2</v>
      </c>
      <c r="G6" s="17">
        <f>IFERROR((SUMIFS('Data Cruda'!$P$2:$P$1801,'Data Cruda'!$D$2:$D$1801,"CORPORACION AGROLATINA S.A.C.",'Data Cruda'!$A$2:$A$1801,2025)+SUMIFS('Data Cruda'!$P$2:$P$1801,'Data Cruda'!$D$2:$D$1801,"CORPORACION AGROLATINA S.A.C.",'Data Cruda'!$A$2:$A$1801,2026))/(SUMIFS('Data Cruda'!$K$2:$K$1801,'Data Cruda'!$D$2:$D$1801,"CORPORACION AGROLATINA S.A.C.",'Data Cruda'!$A$2:$A$1801,2025)+SUMIFS('Data Cruda'!$K$2:$K$1801,'Data Cruda'!$D$2:$D$1801,"CORPORACION AGROLATINA S.A.C.",'Data Cruda'!$A$2:$A$1801,2026)),0)</f>
        <v>0.14905433258426987</v>
      </c>
    </row>
    <row r="7" spans="1:7" ht="15" customHeight="1" x14ac:dyDescent="0.3">
      <c r="A7" s="8">
        <v>4</v>
      </c>
      <c r="B7" s="6" t="s">
        <v>103</v>
      </c>
      <c r="C7" s="10">
        <v>3839343.4406779702</v>
      </c>
      <c r="D7" s="10">
        <v>169653.6</v>
      </c>
      <c r="E7" s="11">
        <v>4008997.0406779698</v>
      </c>
      <c r="F7" s="17">
        <v>6.3416457867526102E-2</v>
      </c>
      <c r="G7" s="17">
        <f>IFERROR((SUMIFS('Data Cruda'!$P$2:$P$1801,'Data Cruda'!$D$2:$D$1801,"AGRICOLA HUARMEY S.A.",'Data Cruda'!$A$2:$A$1801,2025)+SUMIFS('Data Cruda'!$P$2:$P$1801,'Data Cruda'!$D$2:$D$1801,"AGRICOLA HUARMEY S.A.",'Data Cruda'!$A$2:$A$1801,2026))/(SUMIFS('Data Cruda'!$K$2:$K$1801,'Data Cruda'!$D$2:$D$1801,"AGRICOLA HUARMEY S.A.",'Data Cruda'!$A$2:$A$1801,2025)+SUMIFS('Data Cruda'!$K$2:$K$1801,'Data Cruda'!$D$2:$D$1801,"AGRICOLA HUARMEY S.A.",'Data Cruda'!$A$2:$A$1801,2026)),0)</f>
        <v>0.16069570854336504</v>
      </c>
    </row>
    <row r="8" spans="1:7" ht="15" customHeight="1" x14ac:dyDescent="0.3">
      <c r="A8" s="8">
        <v>5</v>
      </c>
      <c r="B8" s="6" t="s">
        <v>1658</v>
      </c>
      <c r="C8" s="10">
        <v>3374482.4895882099</v>
      </c>
      <c r="D8" s="10">
        <v>257759.74</v>
      </c>
      <c r="E8" s="11">
        <v>3632242.2295882101</v>
      </c>
      <c r="F8" s="17">
        <v>5.7456748902557399E-2</v>
      </c>
      <c r="G8" s="17">
        <f>IFERROR((SUMIFS('Data Cruda'!$P$2:$P$1801,'Data Cruda'!$D$2:$D$1801,"PROSEMBRA SOCIEDAD ANONIMA CERRADA",'Data Cruda'!$A$2:$A$1801,2025)+SUMIFS('Data Cruda'!$P$2:$P$1801,'Data Cruda'!$D$2:$D$1801,"PROSEMBRA SOCIEDAD ANONIMA CERRADA",'Data Cruda'!$A$2:$A$1801,2026))/(SUMIFS('Data Cruda'!$K$2:$K$1801,'Data Cruda'!$D$2:$D$1801,"PROSEMBRA SOCIEDAD ANONIMA CERRADA",'Data Cruda'!$A$2:$A$1801,2025)+SUMIFS('Data Cruda'!$K$2:$K$1801,'Data Cruda'!$D$2:$D$1801,"PROSEMBRA SOCIEDAD ANONIMA CERRADA",'Data Cruda'!$A$2:$A$1801,2026)),0)</f>
        <v>0.17386194369299943</v>
      </c>
    </row>
    <row r="9" spans="1:7" ht="15" customHeight="1" x14ac:dyDescent="0.3">
      <c r="A9" s="8">
        <v>6</v>
      </c>
      <c r="B9" s="6" t="s">
        <v>1007</v>
      </c>
      <c r="C9" s="10">
        <v>3325088.7335593202</v>
      </c>
      <c r="D9" s="10">
        <v>30911.99</v>
      </c>
      <c r="E9" s="11">
        <v>3356000.72355932</v>
      </c>
      <c r="F9" s="17">
        <v>5.3087013118122799E-2</v>
      </c>
      <c r="G9" s="17">
        <f>IFERROR((SUMIFS('Data Cruda'!$P$2:$P$1801,'Data Cruda'!$D$2:$D$1801,"AQU ANQA S.A.C.",'Data Cruda'!$A$2:$A$1801,2025)+SUMIFS('Data Cruda'!$P$2:$P$1801,'Data Cruda'!$D$2:$D$1801,"AQU ANQA S.A.C.",'Data Cruda'!$A$2:$A$1801,2026))/(SUMIFS('Data Cruda'!$K$2:$K$1801,'Data Cruda'!$D$2:$D$1801,"AQU ANQA S.A.C.",'Data Cruda'!$A$2:$A$1801,2025)+SUMIFS('Data Cruda'!$K$2:$K$1801,'Data Cruda'!$D$2:$D$1801,"AQU ANQA S.A.C.",'Data Cruda'!$A$2:$A$1801,2026)),0)</f>
        <v>0.18232047231237264</v>
      </c>
    </row>
    <row r="10" spans="1:7" ht="15" customHeight="1" x14ac:dyDescent="0.3">
      <c r="A10" s="8">
        <v>7</v>
      </c>
      <c r="B10" s="6" t="s">
        <v>1003</v>
      </c>
      <c r="C10" s="10">
        <v>0</v>
      </c>
      <c r="D10" s="10">
        <v>3162368.75</v>
      </c>
      <c r="E10" s="11">
        <v>3162368.75</v>
      </c>
      <c r="F10" s="17">
        <v>5.0024039070390901E-2</v>
      </c>
      <c r="G10" s="17">
        <f>IFERROR((SUMIFS('Data Cruda'!$P$2:$P$1801,'Data Cruda'!$D$2:$D$1801,"BOMAREA S.R.L.",'Data Cruda'!$A$2:$A$1801,2025)+SUMIFS('Data Cruda'!$P$2:$P$1801,'Data Cruda'!$D$2:$D$1801,"BOMAREA S.R.L.",'Data Cruda'!$A$2:$A$1801,2026))/(SUMIFS('Data Cruda'!$K$2:$K$1801,'Data Cruda'!$D$2:$D$1801,"BOMAREA S.R.L.",'Data Cruda'!$A$2:$A$1801,2025)+SUMIFS('Data Cruda'!$K$2:$K$1801,'Data Cruda'!$D$2:$D$1801,"BOMAREA S.R.L.",'Data Cruda'!$A$2:$A$1801,2026)),0)</f>
        <v>0.14773244897515508</v>
      </c>
    </row>
    <row r="11" spans="1:7" ht="15" customHeight="1" x14ac:dyDescent="0.3">
      <c r="A11" s="8">
        <v>8</v>
      </c>
      <c r="B11" s="6" t="s">
        <v>1622</v>
      </c>
      <c r="C11" s="10">
        <v>2825478.47</v>
      </c>
      <c r="D11" s="10">
        <v>123657.16</v>
      </c>
      <c r="E11" s="11">
        <v>2949135.63</v>
      </c>
      <c r="F11" s="17">
        <v>4.6651003612087301E-2</v>
      </c>
      <c r="G11" s="17">
        <f>IFERROR((SUMIFS('Data Cruda'!$P$2:$P$1801,'Data Cruda'!$D$2:$D$1801,"Q PACK S.A.C.",'Data Cruda'!$A$2:$A$1801,2025)+SUMIFS('Data Cruda'!$P$2:$P$1801,'Data Cruda'!$D$2:$D$1801,"Q PACK S.A.C.",'Data Cruda'!$A$2:$A$1801,2026))/(SUMIFS('Data Cruda'!$K$2:$K$1801,'Data Cruda'!$D$2:$D$1801,"Q PACK S.A.C.",'Data Cruda'!$A$2:$A$1801,2025)+SUMIFS('Data Cruda'!$K$2:$K$1801,'Data Cruda'!$D$2:$D$1801,"Q PACK S.A.C.",'Data Cruda'!$A$2:$A$1801,2026)),0)</f>
        <v>0.17957818830461861</v>
      </c>
    </row>
    <row r="12" spans="1:7" ht="15" customHeight="1" x14ac:dyDescent="0.3">
      <c r="A12" s="8">
        <v>9</v>
      </c>
      <c r="B12" s="6" t="s">
        <v>47</v>
      </c>
      <c r="C12" s="10">
        <v>20145</v>
      </c>
      <c r="D12" s="10">
        <v>2052587.8</v>
      </c>
      <c r="E12" s="11">
        <v>2072732.8</v>
      </c>
      <c r="F12" s="17">
        <v>3.27875952384366E-2</v>
      </c>
      <c r="G12" s="17">
        <f>IFERROR((SUMIFS('Data Cruda'!$P$2:$P$1801,'Data Cruda'!$D$2:$D$1801,"TAL S.A.",'Data Cruda'!$A$2:$A$1801,2025)+SUMIFS('Data Cruda'!$P$2:$P$1801,'Data Cruda'!$D$2:$D$1801,"TAL S.A.",'Data Cruda'!$A$2:$A$1801,2026))/(SUMIFS('Data Cruda'!$K$2:$K$1801,'Data Cruda'!$D$2:$D$1801,"TAL S.A.",'Data Cruda'!$A$2:$A$1801,2025)+SUMIFS('Data Cruda'!$K$2:$K$1801,'Data Cruda'!$D$2:$D$1801,"TAL S.A.",'Data Cruda'!$A$2:$A$1801,2026)),0)</f>
        <v>0.138835488105365</v>
      </c>
    </row>
    <row r="13" spans="1:7" ht="15" customHeight="1" x14ac:dyDescent="0.3">
      <c r="A13" s="8">
        <v>10</v>
      </c>
      <c r="B13" s="6" t="s">
        <v>1868</v>
      </c>
      <c r="C13" s="10">
        <v>0</v>
      </c>
      <c r="D13" s="10">
        <v>2034100.57</v>
      </c>
      <c r="E13" s="11">
        <v>2034100.57</v>
      </c>
      <c r="F13" s="17">
        <v>3.2176489976630501E-2</v>
      </c>
      <c r="G13" s="17">
        <f>IFERROR((SUMIFS('Data Cruda'!$P$2:$P$1801,'Data Cruda'!$D$2:$D$1801,"PROCESOS AGROINDUSTRIALES SOCIEDAD ANONIMA",'Data Cruda'!$A$2:$A$1801,2025)+SUMIFS('Data Cruda'!$P$2:$P$1801,'Data Cruda'!$D$2:$D$1801,"PROCESOS AGROINDUSTRIALES SOCIEDAD ANONIMA",'Data Cruda'!$A$2:$A$1801,2026))/(SUMIFS('Data Cruda'!$K$2:$K$1801,'Data Cruda'!$D$2:$D$1801,"PROCESOS AGROINDUSTRIALES SOCIEDAD ANONIMA",'Data Cruda'!$A$2:$A$1801,2025)+SUMIFS('Data Cruda'!$K$2:$K$1801,'Data Cruda'!$D$2:$D$1801,"PROCESOS AGROINDUSTRIALES SOCIEDAD ANONIMA",'Data Cruda'!$A$2:$A$1801,2026)),0)</f>
        <v>0.14012855814695485</v>
      </c>
    </row>
    <row r="14" spans="1:7" ht="15" customHeight="1" x14ac:dyDescent="0.3">
      <c r="A14" s="8">
        <v>11</v>
      </c>
      <c r="B14" s="6" t="s">
        <v>61</v>
      </c>
      <c r="C14" s="10">
        <v>1421017.1211864401</v>
      </c>
      <c r="D14" s="10">
        <v>208585.21</v>
      </c>
      <c r="E14" s="11">
        <v>1629602.3311864401</v>
      </c>
      <c r="F14" s="17">
        <v>2.5777920643970002E-2</v>
      </c>
      <c r="G14" s="17">
        <f>IFERROR((SUMIFS('Data Cruda'!$P$2:$P$1801,'Data Cruda'!$D$2:$D$1801,"SOCIEDAD AGRICOLA DROKASA S.A.",'Data Cruda'!$A$2:$A$1801,2025)+SUMIFS('Data Cruda'!$P$2:$P$1801,'Data Cruda'!$D$2:$D$1801,"SOCIEDAD AGRICOLA DROKASA S.A.",'Data Cruda'!$A$2:$A$1801,2026))/(SUMIFS('Data Cruda'!$K$2:$K$1801,'Data Cruda'!$D$2:$D$1801,"SOCIEDAD AGRICOLA DROKASA S.A.",'Data Cruda'!$A$2:$A$1801,2025)+SUMIFS('Data Cruda'!$K$2:$K$1801,'Data Cruda'!$D$2:$D$1801,"SOCIEDAD AGRICOLA DROKASA S.A.",'Data Cruda'!$A$2:$A$1801,2026)),0)</f>
        <v>0.14932791843936088</v>
      </c>
    </row>
    <row r="15" spans="1:7" ht="15" customHeight="1" x14ac:dyDescent="0.3">
      <c r="A15" s="8">
        <v>12</v>
      </c>
      <c r="B15" s="6" t="s">
        <v>1118</v>
      </c>
      <c r="C15" s="10">
        <v>1490360.7241227899</v>
      </c>
      <c r="D15" s="10">
        <v>0</v>
      </c>
      <c r="E15" s="11">
        <v>1490360.7241227899</v>
      </c>
      <c r="F15" s="17">
        <v>2.35753224833424E-2</v>
      </c>
      <c r="G15" s="17">
        <f>IFERROR((SUMIFS('Data Cruda'!$P$2:$P$1801,'Data Cruda'!$D$2:$D$1801,"AGRICOLA ALAYA SOCIEDAD ANONIMA CERRADA",'Data Cruda'!$A$2:$A$1801,2025)+SUMIFS('Data Cruda'!$P$2:$P$1801,'Data Cruda'!$D$2:$D$1801,"AGRICOLA ALAYA SOCIEDAD ANONIMA CERRADA",'Data Cruda'!$A$2:$A$1801,2026))/(SUMIFS('Data Cruda'!$K$2:$K$1801,'Data Cruda'!$D$2:$D$1801,"AGRICOLA ALAYA SOCIEDAD ANONIMA CERRADA",'Data Cruda'!$A$2:$A$1801,2025)+SUMIFS('Data Cruda'!$K$2:$K$1801,'Data Cruda'!$D$2:$D$1801,"AGRICOLA ALAYA SOCIEDAD ANONIMA CERRADA",'Data Cruda'!$A$2:$A$1801,2026)),0)</f>
        <v>0.17062135755735899</v>
      </c>
    </row>
    <row r="16" spans="1:7" ht="15" customHeight="1" x14ac:dyDescent="0.3">
      <c r="A16" s="8">
        <v>13</v>
      </c>
      <c r="B16" s="6" t="s">
        <v>1747</v>
      </c>
      <c r="C16" s="10">
        <v>0</v>
      </c>
      <c r="D16" s="10">
        <v>1460000</v>
      </c>
      <c r="E16" s="11">
        <v>1460000</v>
      </c>
      <c r="F16" s="17">
        <v>2.3095060322351899E-2</v>
      </c>
      <c r="G16" s="17">
        <f>IFERROR((SUMIFS('Data Cruda'!$P$2:$P$1801,'Data Cruda'!$D$2:$D$1801,"TA EXPORT S.A.C.",'Data Cruda'!$A$2:$A$1801,2025)+SUMIFS('Data Cruda'!$P$2:$P$1801,'Data Cruda'!$D$2:$D$1801,"TA EXPORT S.A.C.",'Data Cruda'!$A$2:$A$1801,2026))/(SUMIFS('Data Cruda'!$K$2:$K$1801,'Data Cruda'!$D$2:$D$1801,"TA EXPORT S.A.C.",'Data Cruda'!$A$2:$A$1801,2025)+SUMIFS('Data Cruda'!$K$2:$K$1801,'Data Cruda'!$D$2:$D$1801,"TA EXPORT S.A.C.",'Data Cruda'!$A$2:$A$1801,2026)),0)</f>
        <v>0.16347689726027398</v>
      </c>
    </row>
    <row r="17" spans="1:7" ht="15" customHeight="1" x14ac:dyDescent="0.3">
      <c r="A17" s="8">
        <v>14</v>
      </c>
      <c r="B17" s="6" t="s">
        <v>364</v>
      </c>
      <c r="C17" s="10">
        <v>596173.6</v>
      </c>
      <c r="D17" s="10">
        <v>628712.19999999995</v>
      </c>
      <c r="E17" s="11">
        <v>1224885.8</v>
      </c>
      <c r="F17" s="17">
        <v>1.93758982458852E-2</v>
      </c>
      <c r="G17" s="17">
        <f>IFERROR((SUMIFS('Data Cruda'!$P$2:$P$1801,'Data Cruda'!$D$2:$D$1801,"AGRICOLA PAMPA BAJA S.A.C.",'Data Cruda'!$A$2:$A$1801,2025)+SUMIFS('Data Cruda'!$P$2:$P$1801,'Data Cruda'!$D$2:$D$1801,"AGRICOLA PAMPA BAJA S.A.C.",'Data Cruda'!$A$2:$A$1801,2026))/(SUMIFS('Data Cruda'!$K$2:$K$1801,'Data Cruda'!$D$2:$D$1801,"AGRICOLA PAMPA BAJA S.A.C.",'Data Cruda'!$A$2:$A$1801,2025)+SUMIFS('Data Cruda'!$K$2:$K$1801,'Data Cruda'!$D$2:$D$1801,"AGRICOLA PAMPA BAJA S.A.C.",'Data Cruda'!$A$2:$A$1801,2026)),0)</f>
        <v>0.15406421561912131</v>
      </c>
    </row>
    <row r="18" spans="1:7" ht="15" customHeight="1" x14ac:dyDescent="0.3">
      <c r="A18" s="8">
        <v>15</v>
      </c>
      <c r="B18" s="6" t="s">
        <v>69</v>
      </c>
      <c r="C18" s="10">
        <v>693362.38983050897</v>
      </c>
      <c r="D18" s="10">
        <v>394694.81</v>
      </c>
      <c r="E18" s="11">
        <v>1088057.19983051</v>
      </c>
      <c r="F18" s="17">
        <v>1.7211470317982799E-2</v>
      </c>
      <c r="G18" s="17">
        <f>IFERROR((SUMIFS('Data Cruda'!$P$2:$P$1801,'Data Cruda'!$D$2:$D$1801,"AGROINDUSTRIAS AIB S.A",'Data Cruda'!$A$2:$A$1801,2025)+SUMIFS('Data Cruda'!$P$2:$P$1801,'Data Cruda'!$D$2:$D$1801,"AGROINDUSTRIAS AIB S.A",'Data Cruda'!$A$2:$A$1801,2026))/(SUMIFS('Data Cruda'!$K$2:$K$1801,'Data Cruda'!$D$2:$D$1801,"AGROINDUSTRIAS AIB S.A",'Data Cruda'!$A$2:$A$1801,2025)+SUMIFS('Data Cruda'!$K$2:$K$1801,'Data Cruda'!$D$2:$D$1801,"AGROINDUSTRIAS AIB S.A",'Data Cruda'!$A$2:$A$1801,2026)),0)</f>
        <v>0.15289940641531993</v>
      </c>
    </row>
    <row r="19" spans="1:7" ht="15" customHeight="1" x14ac:dyDescent="0.3">
      <c r="A19" s="8">
        <v>16</v>
      </c>
      <c r="B19" s="6" t="s">
        <v>786</v>
      </c>
      <c r="C19" s="10">
        <v>954731.06711864402</v>
      </c>
      <c r="D19" s="10">
        <v>0</v>
      </c>
      <c r="E19" s="11">
        <v>954731.06711864402</v>
      </c>
      <c r="F19" s="17">
        <v>1.51024462922798E-2</v>
      </c>
      <c r="G19" s="17">
        <f>IFERROR((SUMIFS('Data Cruda'!$P$2:$P$1801,'Data Cruda'!$D$2:$D$1801,"EL PEDREGAL S.A.",'Data Cruda'!$A$2:$A$1801,2025)+SUMIFS('Data Cruda'!$P$2:$P$1801,'Data Cruda'!$D$2:$D$1801,"EL PEDREGAL S.A.",'Data Cruda'!$A$2:$A$1801,2026))/(SUMIFS('Data Cruda'!$K$2:$K$1801,'Data Cruda'!$D$2:$D$1801,"EL PEDREGAL S.A.",'Data Cruda'!$A$2:$A$1801,2025)+SUMIFS('Data Cruda'!$K$2:$K$1801,'Data Cruda'!$D$2:$D$1801,"EL PEDREGAL S.A.",'Data Cruda'!$A$2:$A$1801,2026)),0)</f>
        <v>0.14383219471890807</v>
      </c>
    </row>
    <row r="20" spans="1:7" ht="15" customHeight="1" x14ac:dyDescent="0.3">
      <c r="A20" s="8">
        <v>17</v>
      </c>
      <c r="B20" s="6" t="s">
        <v>462</v>
      </c>
      <c r="C20" s="10">
        <v>195018.41610169501</v>
      </c>
      <c r="D20" s="10">
        <v>715885.05</v>
      </c>
      <c r="E20" s="11">
        <v>910903.46610169497</v>
      </c>
      <c r="F20" s="17">
        <v>1.4409157874971301E-2</v>
      </c>
      <c r="G20" s="17">
        <f>IFERROR((SUMIFS('Data Cruda'!$P$2:$P$1801,'Data Cruda'!$D$2:$D$1801,"PROCESADORA LARAN SAC",'Data Cruda'!$A$2:$A$1801,2025)+SUMIFS('Data Cruda'!$P$2:$P$1801,'Data Cruda'!$D$2:$D$1801,"PROCESADORA LARAN SAC",'Data Cruda'!$A$2:$A$1801,2026))/(SUMIFS('Data Cruda'!$K$2:$K$1801,'Data Cruda'!$D$2:$D$1801,"PROCESADORA LARAN SAC",'Data Cruda'!$A$2:$A$1801,2025)+SUMIFS('Data Cruda'!$K$2:$K$1801,'Data Cruda'!$D$2:$D$1801,"PROCESADORA LARAN SAC",'Data Cruda'!$A$2:$A$1801,2026)),0)</f>
        <v>0.13679221359564922</v>
      </c>
    </row>
    <row r="21" spans="1:7" ht="15" customHeight="1" x14ac:dyDescent="0.3">
      <c r="A21" s="8">
        <v>18</v>
      </c>
      <c r="B21" s="6" t="s">
        <v>1642</v>
      </c>
      <c r="C21" s="10">
        <v>805597.47</v>
      </c>
      <c r="D21" s="10">
        <v>100000</v>
      </c>
      <c r="E21" s="11">
        <v>905597.47</v>
      </c>
      <c r="F21" s="17">
        <v>1.4325224792753E-2</v>
      </c>
      <c r="G21" s="17">
        <f>IFERROR((SUMIFS('Data Cruda'!$P$2:$P$1801,'Data Cruda'!$D$2:$D$1801,"ARA FOODS INDUSTRY S.A.C.",'Data Cruda'!$A$2:$A$1801,2025)+SUMIFS('Data Cruda'!$P$2:$P$1801,'Data Cruda'!$D$2:$D$1801,"ARA FOODS INDUSTRY S.A.C.",'Data Cruda'!$A$2:$A$1801,2026))/(SUMIFS('Data Cruda'!$K$2:$K$1801,'Data Cruda'!$D$2:$D$1801,"ARA FOODS INDUSTRY S.A.C.",'Data Cruda'!$A$2:$A$1801,2025)+SUMIFS('Data Cruda'!$K$2:$K$1801,'Data Cruda'!$D$2:$D$1801,"ARA FOODS INDUSTRY S.A.C.",'Data Cruda'!$A$2:$A$1801,2026)),0)</f>
        <v>0.17152946606619829</v>
      </c>
    </row>
    <row r="22" spans="1:7" ht="15" customHeight="1" x14ac:dyDescent="0.3">
      <c r="A22" s="8">
        <v>19</v>
      </c>
      <c r="B22" s="6" t="s">
        <v>1655</v>
      </c>
      <c r="C22" s="10">
        <v>584350.001694915</v>
      </c>
      <c r="D22" s="10">
        <v>269100</v>
      </c>
      <c r="E22" s="11">
        <v>853450.001694915</v>
      </c>
      <c r="F22" s="17">
        <v>1.3500328267983201E-2</v>
      </c>
      <c r="G22" s="17">
        <f>IFERROR((SUMIFS('Data Cruda'!$P$2:$P$1801,'Data Cruda'!$D$2:$D$1801,"IMBAREX S.A.",'Data Cruda'!$A$2:$A$1801,2025)+SUMIFS('Data Cruda'!$P$2:$P$1801,'Data Cruda'!$D$2:$D$1801,"IMBAREX S.A.",'Data Cruda'!$A$2:$A$1801,2026))/(SUMIFS('Data Cruda'!$K$2:$K$1801,'Data Cruda'!$D$2:$D$1801,"IMBAREX S.A.",'Data Cruda'!$A$2:$A$1801,2025)+SUMIFS('Data Cruda'!$K$2:$K$1801,'Data Cruda'!$D$2:$D$1801,"IMBAREX S.A.",'Data Cruda'!$A$2:$A$1801,2026)),0)</f>
        <v>0.16949981804758593</v>
      </c>
    </row>
    <row r="23" spans="1:7" ht="15" customHeight="1" x14ac:dyDescent="0.3">
      <c r="A23" s="8">
        <v>20</v>
      </c>
      <c r="B23" s="6" t="s">
        <v>675</v>
      </c>
      <c r="C23" s="10">
        <v>817031.34</v>
      </c>
      <c r="D23" s="10">
        <v>0</v>
      </c>
      <c r="E23" s="11">
        <v>817031.34</v>
      </c>
      <c r="F23" s="17">
        <v>1.2924238412706899E-2</v>
      </c>
      <c r="G23" s="17">
        <f>IFERROR((SUMIFS('Data Cruda'!$P$2:$P$1801,'Data Cruda'!$D$2:$D$1801,"AGROVISION PERU S.A.C.",'Data Cruda'!$A$2:$A$1801,2025)+SUMIFS('Data Cruda'!$P$2:$P$1801,'Data Cruda'!$D$2:$D$1801,"AGROVISION PERU S.A.C.",'Data Cruda'!$A$2:$A$1801,2026))/(SUMIFS('Data Cruda'!$K$2:$K$1801,'Data Cruda'!$D$2:$D$1801,"AGROVISION PERU S.A.C.",'Data Cruda'!$A$2:$A$1801,2025)+SUMIFS('Data Cruda'!$K$2:$K$1801,'Data Cruda'!$D$2:$D$1801,"AGROVISION PERU S.A.C.",'Data Cruda'!$A$2:$A$1801,2026)),0)</f>
        <v>0.14029453264301955</v>
      </c>
    </row>
    <row r="24" spans="1:7" ht="15" customHeight="1" x14ac:dyDescent="0.3">
      <c r="A24" s="8">
        <v>21</v>
      </c>
      <c r="B24" s="6" t="s">
        <v>749</v>
      </c>
      <c r="C24" s="10">
        <v>785287.51</v>
      </c>
      <c r="D24" s="10">
        <v>0</v>
      </c>
      <c r="E24" s="11">
        <v>785287.51</v>
      </c>
      <c r="F24" s="17">
        <v>1.24220975437257E-2</v>
      </c>
      <c r="G24" s="17">
        <f>IFERROR((SUMIFS('Data Cruda'!$P$2:$P$1801,'Data Cruda'!$D$2:$D$1801,"AGROCASAGRANDE S.A.C.",'Data Cruda'!$A$2:$A$1801,2025)+SUMIFS('Data Cruda'!$P$2:$P$1801,'Data Cruda'!$D$2:$D$1801,"AGROCASAGRANDE S.A.C.",'Data Cruda'!$A$2:$A$1801,2026))/(SUMIFS('Data Cruda'!$K$2:$K$1801,'Data Cruda'!$D$2:$D$1801,"AGROCASAGRANDE S.A.C.",'Data Cruda'!$A$2:$A$1801,2025)+SUMIFS('Data Cruda'!$K$2:$K$1801,'Data Cruda'!$D$2:$D$1801,"AGROCASAGRANDE S.A.C.",'Data Cruda'!$A$2:$A$1801,2026)),0)</f>
        <v>0.18165272550941217</v>
      </c>
    </row>
    <row r="25" spans="1:7" ht="15" customHeight="1" x14ac:dyDescent="0.3">
      <c r="A25" s="8">
        <v>22</v>
      </c>
      <c r="B25" s="6" t="s">
        <v>816</v>
      </c>
      <c r="C25" s="10">
        <v>0</v>
      </c>
      <c r="D25" s="10">
        <v>721156.89</v>
      </c>
      <c r="E25" s="11">
        <v>721156.89</v>
      </c>
      <c r="F25" s="17">
        <v>1.1407645120842301E-2</v>
      </c>
      <c r="G25" s="17">
        <f>IFERROR((SUMIFS('Data Cruda'!$P$2:$P$1801,'Data Cruda'!$D$2:$D$1801,"PROCESADORA TORRE BLANCA S.A.C",'Data Cruda'!$A$2:$A$1801,2025)+SUMIFS('Data Cruda'!$P$2:$P$1801,'Data Cruda'!$D$2:$D$1801,"PROCESADORA TORRE BLANCA S.A.C",'Data Cruda'!$A$2:$A$1801,2026))/(SUMIFS('Data Cruda'!$K$2:$K$1801,'Data Cruda'!$D$2:$D$1801,"PROCESADORA TORRE BLANCA S.A.C",'Data Cruda'!$A$2:$A$1801,2025)+SUMIFS('Data Cruda'!$K$2:$K$1801,'Data Cruda'!$D$2:$D$1801,"PROCESADORA TORRE BLANCA S.A.C",'Data Cruda'!$A$2:$A$1801,2026)),0)</f>
        <v>0.19493805293879946</v>
      </c>
    </row>
    <row r="26" spans="1:7" ht="15" customHeight="1" x14ac:dyDescent="0.3">
      <c r="A26" s="8">
        <v>23</v>
      </c>
      <c r="B26" s="6" t="s">
        <v>1296</v>
      </c>
      <c r="C26" s="10">
        <v>602333.49</v>
      </c>
      <c r="D26" s="10">
        <v>0</v>
      </c>
      <c r="E26" s="11">
        <v>602333.49</v>
      </c>
      <c r="F26" s="17">
        <v>9.5280330724128604E-3</v>
      </c>
      <c r="G26" s="17">
        <f>IFERROR((SUMIFS('Data Cruda'!$P$2:$P$1801,'Data Cruda'!$D$2:$D$1801,"AGROBUSINESS INTERNATIONAL PERU S.A.C.",'Data Cruda'!$A$2:$A$1801,2025)+SUMIFS('Data Cruda'!$P$2:$P$1801,'Data Cruda'!$D$2:$D$1801,"AGROBUSINESS INTERNATIONAL PERU S.A.C.",'Data Cruda'!$A$2:$A$1801,2026))/(SUMIFS('Data Cruda'!$K$2:$K$1801,'Data Cruda'!$D$2:$D$1801,"AGROBUSINESS INTERNATIONAL PERU S.A.C.",'Data Cruda'!$A$2:$A$1801,2025)+SUMIFS('Data Cruda'!$K$2:$K$1801,'Data Cruda'!$D$2:$D$1801,"AGROBUSINESS INTERNATIONAL PERU S.A.C.",'Data Cruda'!$A$2:$A$1801,2026)),0)</f>
        <v>0.17460277860359383</v>
      </c>
    </row>
    <row r="27" spans="1:7" ht="15" customHeight="1" x14ac:dyDescent="0.3">
      <c r="A27" s="8">
        <v>24</v>
      </c>
      <c r="B27" s="6" t="s">
        <v>360</v>
      </c>
      <c r="C27" s="10">
        <v>545000</v>
      </c>
      <c r="D27" s="10">
        <v>5187.5200000000004</v>
      </c>
      <c r="E27" s="11">
        <v>550187.52000000002</v>
      </c>
      <c r="F27" s="17">
        <v>8.7031602486337106E-3</v>
      </c>
      <c r="G27" s="17">
        <f>IFERROR((SUMIFS('Data Cruda'!$P$2:$P$1801,'Data Cruda'!$D$2:$D$1801,"SANTA SOFIA DEL SUR S.A.C.",'Data Cruda'!$A$2:$A$1801,2025)+SUMIFS('Data Cruda'!$P$2:$P$1801,'Data Cruda'!$D$2:$D$1801,"SANTA SOFIA DEL SUR S.A.C.",'Data Cruda'!$A$2:$A$1801,2026))/(SUMIFS('Data Cruda'!$K$2:$K$1801,'Data Cruda'!$D$2:$D$1801,"SANTA SOFIA DEL SUR S.A.C.",'Data Cruda'!$A$2:$A$1801,2025)+SUMIFS('Data Cruda'!$K$2:$K$1801,'Data Cruda'!$D$2:$D$1801,"SANTA SOFIA DEL SUR S.A.C.",'Data Cruda'!$A$2:$A$1801,2026)),0)</f>
        <v>0.13309998380188612</v>
      </c>
    </row>
    <row r="28" spans="1:7" ht="15" customHeight="1" x14ac:dyDescent="0.3">
      <c r="A28" s="8">
        <v>25</v>
      </c>
      <c r="B28" s="6" t="s">
        <v>184</v>
      </c>
      <c r="C28" s="10">
        <v>506966.62</v>
      </c>
      <c r="D28" s="10">
        <v>31962.799999999999</v>
      </c>
      <c r="E28" s="11">
        <v>538929.42000000004</v>
      </c>
      <c r="F28" s="17">
        <v>8.5250736057466692E-3</v>
      </c>
      <c r="G28" s="17">
        <f>IFERROR((SUMIFS('Data Cruda'!$P$2:$P$1801,'Data Cruda'!$D$2:$D$1801,"AGRO FLORAL PERU S.A.C.",'Data Cruda'!$A$2:$A$1801,2025)+SUMIFS('Data Cruda'!$P$2:$P$1801,'Data Cruda'!$D$2:$D$1801,"AGRO FLORAL PERU S.A.C.",'Data Cruda'!$A$2:$A$1801,2026))/(SUMIFS('Data Cruda'!$K$2:$K$1801,'Data Cruda'!$D$2:$D$1801,"AGRO FLORAL PERU S.A.C.",'Data Cruda'!$A$2:$A$1801,2025)+SUMIFS('Data Cruda'!$K$2:$K$1801,'Data Cruda'!$D$2:$D$1801,"AGRO FLORAL PERU S.A.C.",'Data Cruda'!$A$2:$A$1801,2026)),0)</f>
        <v>0.17036527714519609</v>
      </c>
    </row>
    <row r="29" spans="1:7" ht="15" customHeight="1" x14ac:dyDescent="0.3">
      <c r="A29" s="8">
        <v>26</v>
      </c>
      <c r="B29" s="6" t="s">
        <v>1598</v>
      </c>
      <c r="C29" s="10">
        <v>507312.36</v>
      </c>
      <c r="D29" s="10">
        <v>760</v>
      </c>
      <c r="E29" s="11">
        <v>508072.36</v>
      </c>
      <c r="F29" s="17">
        <v>8.0369601385751506E-3</v>
      </c>
      <c r="G29" s="17">
        <f>IFERROR((SUMIFS('Data Cruda'!$P$2:$P$1801,'Data Cruda'!$D$2:$D$1801,"AGROINDUSTRIA FRUTOS DE ORO S.A.C.",'Data Cruda'!$A$2:$A$1801,2025)+SUMIFS('Data Cruda'!$P$2:$P$1801,'Data Cruda'!$D$2:$D$1801,"AGROINDUSTRIA FRUTOS DE ORO S.A.C.",'Data Cruda'!$A$2:$A$1801,2026))/(SUMIFS('Data Cruda'!$K$2:$K$1801,'Data Cruda'!$D$2:$D$1801,"AGROINDUSTRIA FRUTOS DE ORO S.A.C.",'Data Cruda'!$A$2:$A$1801,2025)+SUMIFS('Data Cruda'!$K$2:$K$1801,'Data Cruda'!$D$2:$D$1801,"AGROINDUSTRIA FRUTOS DE ORO S.A.C.",'Data Cruda'!$A$2:$A$1801,2026)),0)</f>
        <v>0.16892887855580277</v>
      </c>
    </row>
    <row r="30" spans="1:7" ht="15" customHeight="1" x14ac:dyDescent="0.3">
      <c r="A30" s="8">
        <v>27</v>
      </c>
      <c r="B30" s="6" t="s">
        <v>36</v>
      </c>
      <c r="C30" s="10">
        <v>0</v>
      </c>
      <c r="D30" s="10">
        <v>497385.27</v>
      </c>
      <c r="E30" s="11">
        <v>497385.27</v>
      </c>
      <c r="F30" s="17">
        <v>7.8679060370543206E-3</v>
      </c>
      <c r="G30" s="17">
        <f>IFERROR((SUMIFS('Data Cruda'!$P$2:$P$1801,'Data Cruda'!$D$2:$D$1801,"CAMPOSOL S.A.",'Data Cruda'!$A$2:$A$1801,2025)+SUMIFS('Data Cruda'!$P$2:$P$1801,'Data Cruda'!$D$2:$D$1801,"CAMPOSOL S.A.",'Data Cruda'!$A$2:$A$1801,2026))/(SUMIFS('Data Cruda'!$K$2:$K$1801,'Data Cruda'!$D$2:$D$1801,"CAMPOSOL S.A.",'Data Cruda'!$A$2:$A$1801,2025)+SUMIFS('Data Cruda'!$K$2:$K$1801,'Data Cruda'!$D$2:$D$1801,"CAMPOSOL S.A.",'Data Cruda'!$A$2:$A$1801,2026)),0)</f>
        <v>0.15096729744328799</v>
      </c>
    </row>
    <row r="31" spans="1:7" ht="15" customHeight="1" x14ac:dyDescent="0.3">
      <c r="A31" s="8">
        <v>28</v>
      </c>
      <c r="B31" s="6" t="s">
        <v>30</v>
      </c>
      <c r="C31" s="10">
        <v>0</v>
      </c>
      <c r="D31" s="10">
        <v>460117.04</v>
      </c>
      <c r="E31" s="11">
        <v>460117.04</v>
      </c>
      <c r="F31" s="17">
        <v>7.2783772562616603E-3</v>
      </c>
      <c r="G31" s="17">
        <f>IFERROR((SUMIFS('Data Cruda'!$P$2:$P$1801,'Data Cruda'!$D$2:$D$1801,"SUN FRUITS EXPORTS S.A.",'Data Cruda'!$A$2:$A$1801,2025)+SUMIFS('Data Cruda'!$P$2:$P$1801,'Data Cruda'!$D$2:$D$1801,"SUN FRUITS EXPORTS S.A.",'Data Cruda'!$A$2:$A$1801,2026))/(SUMIFS('Data Cruda'!$K$2:$K$1801,'Data Cruda'!$D$2:$D$1801,"SUN FRUITS EXPORTS S.A.",'Data Cruda'!$A$2:$A$1801,2025)+SUMIFS('Data Cruda'!$K$2:$K$1801,'Data Cruda'!$D$2:$D$1801,"SUN FRUITS EXPORTS S.A.",'Data Cruda'!$A$2:$A$1801,2026)),0)</f>
        <v>0.20032218324276821</v>
      </c>
    </row>
    <row r="32" spans="1:7" ht="15" customHeight="1" x14ac:dyDescent="0.3">
      <c r="A32" s="8">
        <v>29</v>
      </c>
      <c r="B32" s="6" t="s">
        <v>1794</v>
      </c>
      <c r="C32" s="10">
        <v>0</v>
      </c>
      <c r="D32" s="10">
        <v>455000</v>
      </c>
      <c r="E32" s="11">
        <v>455000</v>
      </c>
      <c r="F32" s="17">
        <v>7.1974331826507804E-3</v>
      </c>
      <c r="G32" s="17">
        <f>IFERROR((SUMIFS('Data Cruda'!$P$2:$P$1801,'Data Cruda'!$D$2:$D$1801,"ESTANTERIAS METALICAS J.R.M. S.A.C",'Data Cruda'!$A$2:$A$1801,2025)+SUMIFS('Data Cruda'!$P$2:$P$1801,'Data Cruda'!$D$2:$D$1801,"ESTANTERIAS METALICAS J.R.M. S.A.C",'Data Cruda'!$A$2:$A$1801,2026))/(SUMIFS('Data Cruda'!$K$2:$K$1801,'Data Cruda'!$D$2:$D$1801,"ESTANTERIAS METALICAS J.R.M. S.A.C",'Data Cruda'!$A$2:$A$1801,2025)+SUMIFS('Data Cruda'!$K$2:$K$1801,'Data Cruda'!$D$2:$D$1801,"ESTANTERIAS METALICAS J.R.M. S.A.C",'Data Cruda'!$A$2:$A$1801,2026)),0)</f>
        <v>0.14243421978022</v>
      </c>
    </row>
    <row r="33" spans="1:7" ht="15" customHeight="1" x14ac:dyDescent="0.3">
      <c r="A33" s="8">
        <v>30</v>
      </c>
      <c r="B33" s="6" t="s">
        <v>1692</v>
      </c>
      <c r="C33" s="10">
        <v>384886.11</v>
      </c>
      <c r="D33" s="10">
        <v>42583.21</v>
      </c>
      <c r="E33" s="11">
        <v>427469.32</v>
      </c>
      <c r="F33" s="17">
        <v>6.7619381721607998E-3</v>
      </c>
      <c r="G33" s="17">
        <f>IFERROR((SUMIFS('Data Cruda'!$P$2:$P$1801,'Data Cruda'!$D$2:$D$1801,"DELICE S.A.C",'Data Cruda'!$A$2:$A$1801,2025)+SUMIFS('Data Cruda'!$P$2:$P$1801,'Data Cruda'!$D$2:$D$1801,"DELICE S.A.C",'Data Cruda'!$A$2:$A$1801,2026))/(SUMIFS('Data Cruda'!$K$2:$K$1801,'Data Cruda'!$D$2:$D$1801,"DELICE S.A.C",'Data Cruda'!$A$2:$A$1801,2025)+SUMIFS('Data Cruda'!$K$2:$K$1801,'Data Cruda'!$D$2:$D$1801,"DELICE S.A.C",'Data Cruda'!$A$2:$A$1801,2026)),0)</f>
        <v>0.14045859478289577</v>
      </c>
    </row>
    <row r="34" spans="1:7" ht="15" customHeight="1" x14ac:dyDescent="0.3">
      <c r="A34" s="8">
        <v>31</v>
      </c>
      <c r="B34" s="6" t="s">
        <v>155</v>
      </c>
      <c r="C34" s="10">
        <v>407039.67</v>
      </c>
      <c r="D34" s="10">
        <v>0</v>
      </c>
      <c r="E34" s="11">
        <v>407039.67</v>
      </c>
      <c r="F34" s="17">
        <v>6.4387710494796099E-3</v>
      </c>
      <c r="G34" s="17">
        <f>IFERROR((SUMIFS('Data Cruda'!$P$2:$P$1801,'Data Cruda'!$D$2:$D$1801,"VIRU S.A.",'Data Cruda'!$A$2:$A$1801,2025)+SUMIFS('Data Cruda'!$P$2:$P$1801,'Data Cruda'!$D$2:$D$1801,"VIRU S.A.",'Data Cruda'!$A$2:$A$1801,2026))/(SUMIFS('Data Cruda'!$K$2:$K$1801,'Data Cruda'!$D$2:$D$1801,"VIRU S.A.",'Data Cruda'!$A$2:$A$1801,2025)+SUMIFS('Data Cruda'!$K$2:$K$1801,'Data Cruda'!$D$2:$D$1801,"VIRU S.A.",'Data Cruda'!$A$2:$A$1801,2026)),0)</f>
        <v>0.16478352097720619</v>
      </c>
    </row>
    <row r="35" spans="1:7" ht="15" customHeight="1" x14ac:dyDescent="0.3">
      <c r="A35" s="8">
        <v>32</v>
      </c>
      <c r="B35" s="6" t="s">
        <v>1618</v>
      </c>
      <c r="C35" s="10">
        <v>256080.11</v>
      </c>
      <c r="D35" s="10">
        <v>146670.60999999999</v>
      </c>
      <c r="E35" s="11">
        <v>402750.71999999997</v>
      </c>
      <c r="F35" s="17">
        <v>6.3709261460758101E-3</v>
      </c>
      <c r="G35" s="17">
        <f>IFERROR((SUMIFS('Data Cruda'!$P$2:$P$1801,'Data Cruda'!$D$2:$D$1801,"BERRY HARVEST S.A.",'Data Cruda'!$A$2:$A$1801,2025)+SUMIFS('Data Cruda'!$P$2:$P$1801,'Data Cruda'!$D$2:$D$1801,"BERRY HARVEST S.A.",'Data Cruda'!$A$2:$A$1801,2026))/(SUMIFS('Data Cruda'!$K$2:$K$1801,'Data Cruda'!$D$2:$D$1801,"BERRY HARVEST S.A.",'Data Cruda'!$A$2:$A$1801,2025)+SUMIFS('Data Cruda'!$K$2:$K$1801,'Data Cruda'!$D$2:$D$1801,"BERRY HARVEST S.A.",'Data Cruda'!$A$2:$A$1801,2026)),0)</f>
        <v>0.18555774152309421</v>
      </c>
    </row>
    <row r="36" spans="1:7" ht="15" customHeight="1" x14ac:dyDescent="0.3">
      <c r="A36" s="8">
        <v>33</v>
      </c>
      <c r="B36" s="6" t="s">
        <v>769</v>
      </c>
      <c r="C36" s="10">
        <v>390950.55</v>
      </c>
      <c r="D36" s="10">
        <v>0</v>
      </c>
      <c r="E36" s="11">
        <v>390950.55</v>
      </c>
      <c r="F36" s="17">
        <v>6.1842647502100504E-3</v>
      </c>
      <c r="G36" s="17">
        <f>IFERROR((SUMIFS('Data Cruda'!$P$2:$P$1801,'Data Cruda'!$D$2:$D$1801,"AGRICOLA 2M S.A.C.",'Data Cruda'!$A$2:$A$1801,2025)+SUMIFS('Data Cruda'!$P$2:$P$1801,'Data Cruda'!$D$2:$D$1801,"AGRICOLA 2M S.A.C.",'Data Cruda'!$A$2:$A$1801,2026))/(SUMIFS('Data Cruda'!$K$2:$K$1801,'Data Cruda'!$D$2:$D$1801,"AGRICOLA 2M S.A.C.",'Data Cruda'!$A$2:$A$1801,2025)+SUMIFS('Data Cruda'!$K$2:$K$1801,'Data Cruda'!$D$2:$D$1801,"AGRICOLA 2M S.A.C.",'Data Cruda'!$A$2:$A$1801,2026)),0)</f>
        <v>0.16107095769528931</v>
      </c>
    </row>
    <row r="37" spans="1:7" ht="15" customHeight="1" x14ac:dyDescent="0.3">
      <c r="A37" s="8">
        <v>34</v>
      </c>
      <c r="B37" s="6" t="s">
        <v>844</v>
      </c>
      <c r="C37" s="10">
        <v>0</v>
      </c>
      <c r="D37" s="10">
        <v>379901.83</v>
      </c>
      <c r="E37" s="11">
        <v>379901.83</v>
      </c>
      <c r="F37" s="17">
        <v>6.0094901920697899E-3</v>
      </c>
      <c r="G37" s="17">
        <f>IFERROR((SUMIFS('Data Cruda'!$P$2:$P$1801,'Data Cruda'!$D$2:$D$1801,"QALI FRUITS S.A.C.",'Data Cruda'!$A$2:$A$1801,2025)+SUMIFS('Data Cruda'!$P$2:$P$1801,'Data Cruda'!$D$2:$D$1801,"QALI FRUITS S.A.C.",'Data Cruda'!$A$2:$A$1801,2026))/(SUMIFS('Data Cruda'!$K$2:$K$1801,'Data Cruda'!$D$2:$D$1801,"QALI FRUITS S.A.C.",'Data Cruda'!$A$2:$A$1801,2025)+SUMIFS('Data Cruda'!$K$2:$K$1801,'Data Cruda'!$D$2:$D$1801,"QALI FRUITS S.A.C.",'Data Cruda'!$A$2:$A$1801,2026)),0)</f>
        <v>0.153824423535944</v>
      </c>
    </row>
    <row r="38" spans="1:7" ht="15" customHeight="1" x14ac:dyDescent="0.3">
      <c r="A38" s="8">
        <v>35</v>
      </c>
      <c r="B38" s="6" t="s">
        <v>1569</v>
      </c>
      <c r="C38" s="10">
        <v>321860.28000000003</v>
      </c>
      <c r="D38" s="10">
        <v>0</v>
      </c>
      <c r="E38" s="11">
        <v>321860.28000000003</v>
      </c>
      <c r="F38" s="17">
        <v>5.0913579328555397E-3</v>
      </c>
      <c r="G38" s="17">
        <f>IFERROR((SUMIFS('Data Cruda'!$P$2:$P$1801,'Data Cruda'!$D$2:$D$1801,"DIAMOND BRIDGE SAC",'Data Cruda'!$A$2:$A$1801,2025)+SUMIFS('Data Cruda'!$P$2:$P$1801,'Data Cruda'!$D$2:$D$1801,"DIAMOND BRIDGE SAC",'Data Cruda'!$A$2:$A$1801,2026))/(SUMIFS('Data Cruda'!$K$2:$K$1801,'Data Cruda'!$D$2:$D$1801,"DIAMOND BRIDGE SAC",'Data Cruda'!$A$2:$A$1801,2025)+SUMIFS('Data Cruda'!$K$2:$K$1801,'Data Cruda'!$D$2:$D$1801,"DIAMOND BRIDGE SAC",'Data Cruda'!$A$2:$A$1801,2026)),0)</f>
        <v>0.1651831471718104</v>
      </c>
    </row>
    <row r="39" spans="1:7" ht="15" customHeight="1" x14ac:dyDescent="0.3">
      <c r="A39" s="8">
        <v>36</v>
      </c>
      <c r="B39" s="6" t="s">
        <v>1694</v>
      </c>
      <c r="C39" s="10">
        <v>317796.61</v>
      </c>
      <c r="D39" s="10">
        <v>0</v>
      </c>
      <c r="E39" s="11">
        <v>317796.61</v>
      </c>
      <c r="F39" s="17">
        <v>5.02707662889654E-3</v>
      </c>
      <c r="G39" s="17">
        <f>IFERROR((SUMIFS('Data Cruda'!$P$2:$P$1801,'Data Cruda'!$D$2:$D$1801,"LIMONES PIURANOS SOCIEDAD ANONIMA CERRADA",'Data Cruda'!$A$2:$A$1801,2025)+SUMIFS('Data Cruda'!$P$2:$P$1801,'Data Cruda'!$D$2:$D$1801,"LIMONES PIURANOS SOCIEDAD ANONIMA CERRADA",'Data Cruda'!$A$2:$A$1801,2026))/(SUMIFS('Data Cruda'!$K$2:$K$1801,'Data Cruda'!$D$2:$D$1801,"LIMONES PIURANOS SOCIEDAD ANONIMA CERRADA",'Data Cruda'!$A$2:$A$1801,2025)+SUMIFS('Data Cruda'!$K$2:$K$1801,'Data Cruda'!$D$2:$D$1801,"LIMONES PIURANOS SOCIEDAD ANONIMA CERRADA",'Data Cruda'!$A$2:$A$1801,2026)),0)</f>
        <v>0.17076041182440493</v>
      </c>
    </row>
    <row r="40" spans="1:7" ht="15" customHeight="1" x14ac:dyDescent="0.3">
      <c r="A40" s="8">
        <v>37</v>
      </c>
      <c r="B40" s="6" t="s">
        <v>1384</v>
      </c>
      <c r="C40" s="10">
        <v>281500.84999999998</v>
      </c>
      <c r="D40" s="10">
        <v>500</v>
      </c>
      <c r="E40" s="11">
        <v>282000.84999999998</v>
      </c>
      <c r="F40" s="17">
        <v>4.4608401655510397E-3</v>
      </c>
      <c r="G40" s="17">
        <f>IFERROR((SUMIFS('Data Cruda'!$P$2:$P$1801,'Data Cruda'!$D$2:$D$1801,"SOCIEDAD AGRICOLA 3P S.A.C.",'Data Cruda'!$A$2:$A$1801,2025)+SUMIFS('Data Cruda'!$P$2:$P$1801,'Data Cruda'!$D$2:$D$1801,"SOCIEDAD AGRICOLA 3P S.A.C.",'Data Cruda'!$A$2:$A$1801,2026))/(SUMIFS('Data Cruda'!$K$2:$K$1801,'Data Cruda'!$D$2:$D$1801,"SOCIEDAD AGRICOLA 3P S.A.C.",'Data Cruda'!$A$2:$A$1801,2025)+SUMIFS('Data Cruda'!$K$2:$K$1801,'Data Cruda'!$D$2:$D$1801,"SOCIEDAD AGRICOLA 3P S.A.C.",'Data Cruda'!$A$2:$A$1801,2026)),0)</f>
        <v>0.16068062915413198</v>
      </c>
    </row>
    <row r="41" spans="1:7" ht="15" customHeight="1" x14ac:dyDescent="0.3">
      <c r="A41" s="8">
        <v>38</v>
      </c>
      <c r="B41" s="6" t="s">
        <v>1525</v>
      </c>
      <c r="C41" s="10">
        <v>256513.28</v>
      </c>
      <c r="D41" s="10">
        <v>0</v>
      </c>
      <c r="E41" s="11">
        <v>256513.28</v>
      </c>
      <c r="F41" s="17">
        <v>4.0576641610166799E-3</v>
      </c>
      <c r="G41" s="17">
        <f>IFERROR((SUMIFS('Data Cruda'!$P$2:$P$1801,'Data Cruda'!$D$2:$D$1801,"AGRICOLA GANADERA LAS CANELAS SAC",'Data Cruda'!$A$2:$A$1801,2025)+SUMIFS('Data Cruda'!$P$2:$P$1801,'Data Cruda'!$D$2:$D$1801,"AGRICOLA GANADERA LAS CANELAS SAC",'Data Cruda'!$A$2:$A$1801,2026))/(SUMIFS('Data Cruda'!$K$2:$K$1801,'Data Cruda'!$D$2:$D$1801,"AGRICOLA GANADERA LAS CANELAS SAC",'Data Cruda'!$A$2:$A$1801,2025)+SUMIFS('Data Cruda'!$K$2:$K$1801,'Data Cruda'!$D$2:$D$1801,"AGRICOLA GANADERA LAS CANELAS SAC",'Data Cruda'!$A$2:$A$1801,2026)),0)</f>
        <v>0.14587639673080474</v>
      </c>
    </row>
    <row r="42" spans="1:7" ht="15" customHeight="1" x14ac:dyDescent="0.3">
      <c r="A42" s="8">
        <v>39</v>
      </c>
      <c r="B42" s="6" t="s">
        <v>763</v>
      </c>
      <c r="C42" s="10">
        <v>224427.897627119</v>
      </c>
      <c r="D42" s="10">
        <v>8240</v>
      </c>
      <c r="E42" s="11">
        <v>232667.897627119</v>
      </c>
      <c r="F42" s="17">
        <v>3.6804651580637799E-3</v>
      </c>
      <c r="G42" s="17">
        <f>IFERROR((SUMIFS('Data Cruda'!$P$2:$P$1801,'Data Cruda'!$D$2:$D$1801,"CONSORCIO AGRICOLA MOQUEGUA S.A.C.",'Data Cruda'!$A$2:$A$1801,2025)+SUMIFS('Data Cruda'!$P$2:$P$1801,'Data Cruda'!$D$2:$D$1801,"CONSORCIO AGRICOLA MOQUEGUA S.A.C.",'Data Cruda'!$A$2:$A$1801,2026))/(SUMIFS('Data Cruda'!$K$2:$K$1801,'Data Cruda'!$D$2:$D$1801,"CONSORCIO AGRICOLA MOQUEGUA S.A.C.",'Data Cruda'!$A$2:$A$1801,2025)+SUMIFS('Data Cruda'!$K$2:$K$1801,'Data Cruda'!$D$2:$D$1801,"CONSORCIO AGRICOLA MOQUEGUA S.A.C.",'Data Cruda'!$A$2:$A$1801,2026)),0)</f>
        <v>0.15369864241998482</v>
      </c>
    </row>
    <row r="43" spans="1:7" ht="15" customHeight="1" x14ac:dyDescent="0.3">
      <c r="A43" s="8">
        <v>40</v>
      </c>
      <c r="B43" s="6" t="s">
        <v>679</v>
      </c>
      <c r="C43" s="10">
        <v>0</v>
      </c>
      <c r="D43" s="10">
        <v>227719.49</v>
      </c>
      <c r="E43" s="11">
        <v>227719.49</v>
      </c>
      <c r="F43" s="17">
        <v>3.6021886014556302E-3</v>
      </c>
      <c r="G43" s="17">
        <f>IFERROR((SUMIFS('Data Cruda'!$P$2:$P$1801,'Data Cruda'!$D$2:$D$1801,"T &amp; T FRUITS S.A.",'Data Cruda'!$A$2:$A$1801,2025)+SUMIFS('Data Cruda'!$P$2:$P$1801,'Data Cruda'!$D$2:$D$1801,"T &amp; T FRUITS S.A.",'Data Cruda'!$A$2:$A$1801,2026))/(SUMIFS('Data Cruda'!$K$2:$K$1801,'Data Cruda'!$D$2:$D$1801,"T &amp; T FRUITS S.A.",'Data Cruda'!$A$2:$A$1801,2025)+SUMIFS('Data Cruda'!$K$2:$K$1801,'Data Cruda'!$D$2:$D$1801,"T &amp; T FRUITS S.A.",'Data Cruda'!$A$2:$A$1801,2026)),0)</f>
        <v>0.13892170582324814</v>
      </c>
    </row>
    <row r="44" spans="1:7" ht="15" customHeight="1" x14ac:dyDescent="0.3">
      <c r="A44" s="8">
        <v>41</v>
      </c>
      <c r="B44" s="6" t="s">
        <v>1647</v>
      </c>
      <c r="C44" s="10">
        <v>226880.03</v>
      </c>
      <c r="D44" s="10">
        <v>0</v>
      </c>
      <c r="E44" s="11">
        <v>226880.03</v>
      </c>
      <c r="F44" s="17">
        <v>3.58890957451166E-3</v>
      </c>
      <c r="G44" s="17">
        <f>IFERROR((SUMIFS('Data Cruda'!$P$2:$P$1801,'Data Cruda'!$D$2:$D$1801,"SAN EFISIO S.A.C.",'Data Cruda'!$A$2:$A$1801,2025)+SUMIFS('Data Cruda'!$P$2:$P$1801,'Data Cruda'!$D$2:$D$1801,"SAN EFISIO S.A.C.",'Data Cruda'!$A$2:$A$1801,2026))/(SUMIFS('Data Cruda'!$K$2:$K$1801,'Data Cruda'!$D$2:$D$1801,"SAN EFISIO S.A.C.",'Data Cruda'!$A$2:$A$1801,2025)+SUMIFS('Data Cruda'!$K$2:$K$1801,'Data Cruda'!$D$2:$D$1801,"SAN EFISIO S.A.C.",'Data Cruda'!$A$2:$A$1801,2026)),0)</f>
        <v>0.19791984336391397</v>
      </c>
    </row>
    <row r="45" spans="1:7" ht="15" customHeight="1" x14ac:dyDescent="0.3">
      <c r="A45" s="8">
        <v>42</v>
      </c>
      <c r="B45" s="6" t="s">
        <v>1627</v>
      </c>
      <c r="C45" s="10">
        <v>222254</v>
      </c>
      <c r="D45" s="10">
        <v>0</v>
      </c>
      <c r="E45" s="11">
        <v>222254</v>
      </c>
      <c r="F45" s="17">
        <v>3.5157325595095998E-3</v>
      </c>
      <c r="G45" s="17">
        <f>IFERROR((SUMIFS('Data Cruda'!$P$2:$P$1801,'Data Cruda'!$D$2:$D$1801,"UNIÓN DE CERVECERÍAS PERUANAS BACKUS Y JOHNSTON SAC",'Data Cruda'!$A$2:$A$1801,2025)+SUMIFS('Data Cruda'!$P$2:$P$1801,'Data Cruda'!$D$2:$D$1801,"UNIÓN DE CERVECERÍAS PERUANAS BACKUS Y JOHNSTON SAC",'Data Cruda'!$A$2:$A$1801,2026))/(SUMIFS('Data Cruda'!$K$2:$K$1801,'Data Cruda'!$D$2:$D$1801,"UNIÓN DE CERVECERÍAS PERUANAS BACKUS Y JOHNSTON SAC",'Data Cruda'!$A$2:$A$1801,2025)+SUMIFS('Data Cruda'!$K$2:$K$1801,'Data Cruda'!$D$2:$D$1801,"UNIÓN DE CERVECERÍAS PERUANAS BACKUS Y JOHNSTON SAC",'Data Cruda'!$A$2:$A$1801,2026)),0)</f>
        <v>0.12469998290244495</v>
      </c>
    </row>
    <row r="46" spans="1:7" ht="15" customHeight="1" x14ac:dyDescent="0.3">
      <c r="A46" s="8">
        <v>43</v>
      </c>
      <c r="B46" s="6" t="s">
        <v>566</v>
      </c>
      <c r="C46" s="10">
        <v>0</v>
      </c>
      <c r="D46" s="10">
        <v>216754.9</v>
      </c>
      <c r="E46" s="11">
        <v>216754.9</v>
      </c>
      <c r="F46" s="17">
        <v>3.42874485662011E-3</v>
      </c>
      <c r="G46" s="17">
        <f>IFERROR((SUMIFS('Data Cruda'!$P$2:$P$1801,'Data Cruda'!$D$2:$D$1801,"VIVEROS EL TAMBO S.A.C.",'Data Cruda'!$A$2:$A$1801,2025)+SUMIFS('Data Cruda'!$P$2:$P$1801,'Data Cruda'!$D$2:$D$1801,"VIVEROS EL TAMBO S.A.C.",'Data Cruda'!$A$2:$A$1801,2026))/(SUMIFS('Data Cruda'!$K$2:$K$1801,'Data Cruda'!$D$2:$D$1801,"VIVEROS EL TAMBO S.A.C.",'Data Cruda'!$A$2:$A$1801,2025)+SUMIFS('Data Cruda'!$K$2:$K$1801,'Data Cruda'!$D$2:$D$1801,"VIVEROS EL TAMBO S.A.C.",'Data Cruda'!$A$2:$A$1801,2026)),0)</f>
        <v>0.19515784879603598</v>
      </c>
    </row>
    <row r="47" spans="1:7" ht="15" customHeight="1" x14ac:dyDescent="0.3">
      <c r="A47" s="8">
        <v>44</v>
      </c>
      <c r="B47" s="6" t="s">
        <v>1797</v>
      </c>
      <c r="C47" s="10">
        <v>0</v>
      </c>
      <c r="D47" s="10">
        <v>206089.67</v>
      </c>
      <c r="E47" s="11">
        <v>206089.67</v>
      </c>
      <c r="F47" s="17">
        <v>3.2600365482627399E-3</v>
      </c>
      <c r="G47" s="17">
        <f>IFERROR((SUMIFS('Data Cruda'!$P$2:$P$1801,'Data Cruda'!$D$2:$D$1801,"UNIVERSIDAD FEDERICO HENRIQUEZ Y CARVAJAL",'Data Cruda'!$A$2:$A$1801,2025)+SUMIFS('Data Cruda'!$P$2:$P$1801,'Data Cruda'!$D$2:$D$1801,"UNIVERSIDAD FEDERICO HENRIQUEZ Y CARVAJAL",'Data Cruda'!$A$2:$A$1801,2026))/(SUMIFS('Data Cruda'!$K$2:$K$1801,'Data Cruda'!$D$2:$D$1801,"UNIVERSIDAD FEDERICO HENRIQUEZ Y CARVAJAL",'Data Cruda'!$A$2:$A$1801,2025)+SUMIFS('Data Cruda'!$K$2:$K$1801,'Data Cruda'!$D$2:$D$1801,"UNIVERSIDAD FEDERICO HENRIQUEZ Y CARVAJAL",'Data Cruda'!$A$2:$A$1801,2026)),0)</f>
        <v>0.37198210856468394</v>
      </c>
    </row>
    <row r="48" spans="1:7" ht="15" customHeight="1" x14ac:dyDescent="0.3">
      <c r="A48" s="8">
        <v>45</v>
      </c>
      <c r="B48" s="6" t="s">
        <v>1743</v>
      </c>
      <c r="C48" s="10">
        <v>0</v>
      </c>
      <c r="D48" s="10">
        <v>203678.39</v>
      </c>
      <c r="E48" s="11">
        <v>203678.39</v>
      </c>
      <c r="F48" s="17">
        <v>3.2218936324722798E-3</v>
      </c>
      <c r="G48" s="17">
        <f>IFERROR((SUMIFS('Data Cruda'!$P$2:$P$1801,'Data Cruda'!$D$2:$D$1801,"ARCA CONTINENTAL LINDLEY S.A.",'Data Cruda'!$A$2:$A$1801,2025)+SUMIFS('Data Cruda'!$P$2:$P$1801,'Data Cruda'!$D$2:$D$1801,"ARCA CONTINENTAL LINDLEY S.A.",'Data Cruda'!$A$2:$A$1801,2026))/(SUMIFS('Data Cruda'!$K$2:$K$1801,'Data Cruda'!$D$2:$D$1801,"ARCA CONTINENTAL LINDLEY S.A.",'Data Cruda'!$A$2:$A$1801,2025)+SUMIFS('Data Cruda'!$K$2:$K$1801,'Data Cruda'!$D$2:$D$1801,"ARCA CONTINENTAL LINDLEY S.A.",'Data Cruda'!$A$2:$A$1801,2026)),0)</f>
        <v>0.21300256742995707</v>
      </c>
    </row>
    <row r="49" spans="1:7" ht="15" customHeight="1" x14ac:dyDescent="0.3">
      <c r="A49" s="8">
        <v>46</v>
      </c>
      <c r="B49" s="6" t="s">
        <v>470</v>
      </c>
      <c r="C49" s="10">
        <v>194358.88135593201</v>
      </c>
      <c r="D49" s="10">
        <v>0</v>
      </c>
      <c r="E49" s="11">
        <v>194358.88135593201</v>
      </c>
      <c r="F49" s="17">
        <v>3.0744726637671901E-3</v>
      </c>
      <c r="G49" s="17">
        <f>IFERROR((SUMIFS('Data Cruda'!$P$2:$P$1801,'Data Cruda'!$D$2:$D$1801,"EMPRESA AGRICOLA SAN JUAN S.A",'Data Cruda'!$A$2:$A$1801,2025)+SUMIFS('Data Cruda'!$P$2:$P$1801,'Data Cruda'!$D$2:$D$1801,"EMPRESA AGRICOLA SAN JUAN S.A",'Data Cruda'!$A$2:$A$1801,2026))/(SUMIFS('Data Cruda'!$K$2:$K$1801,'Data Cruda'!$D$2:$D$1801,"EMPRESA AGRICOLA SAN JUAN S.A",'Data Cruda'!$A$2:$A$1801,2025)+SUMIFS('Data Cruda'!$K$2:$K$1801,'Data Cruda'!$D$2:$D$1801,"EMPRESA AGRICOLA SAN JUAN S.A",'Data Cruda'!$A$2:$A$1801,2026)),0)</f>
        <v>0.18937786502585624</v>
      </c>
    </row>
    <row r="50" spans="1:7" ht="15" customHeight="1" x14ac:dyDescent="0.3">
      <c r="A50" s="8">
        <v>47</v>
      </c>
      <c r="B50" s="6" t="s">
        <v>1566</v>
      </c>
      <c r="C50" s="10">
        <v>189851.72</v>
      </c>
      <c r="D50" s="10">
        <v>0</v>
      </c>
      <c r="E50" s="11">
        <v>189851.72</v>
      </c>
      <c r="F50" s="17">
        <v>3.0031759765084E-3</v>
      </c>
      <c r="G50" s="17">
        <f>IFERROR((SUMIFS('Data Cruda'!$P$2:$P$1801,'Data Cruda'!$D$2:$D$1801,"DISTRIBUIDORA EXCLUSIVA DE PRODUCTOS DE CALIDAD SAC",'Data Cruda'!$A$2:$A$1801,2025)+SUMIFS('Data Cruda'!$P$2:$P$1801,'Data Cruda'!$D$2:$D$1801,"DISTRIBUIDORA EXCLUSIVA DE PRODUCTOS DE CALIDAD SAC",'Data Cruda'!$A$2:$A$1801,2026))/(SUMIFS('Data Cruda'!$K$2:$K$1801,'Data Cruda'!$D$2:$D$1801,"DISTRIBUIDORA EXCLUSIVA DE PRODUCTOS DE CALIDAD SAC",'Data Cruda'!$A$2:$A$1801,2025)+SUMIFS('Data Cruda'!$K$2:$K$1801,'Data Cruda'!$D$2:$D$1801,"DISTRIBUIDORA EXCLUSIVA DE PRODUCTOS DE CALIDAD SAC",'Data Cruda'!$A$2:$A$1801,2026)),0)</f>
        <v>0</v>
      </c>
    </row>
    <row r="51" spans="1:7" ht="15" customHeight="1" x14ac:dyDescent="0.3">
      <c r="A51" s="8">
        <v>48</v>
      </c>
      <c r="B51" s="6" t="s">
        <v>1522</v>
      </c>
      <c r="C51" s="10">
        <v>175587.99</v>
      </c>
      <c r="D51" s="10">
        <v>0</v>
      </c>
      <c r="E51" s="11">
        <v>175587.99</v>
      </c>
      <c r="F51" s="17">
        <v>2.7775446718702299E-3</v>
      </c>
      <c r="G51" s="17">
        <f>IFERROR((SUMIFS('Data Cruda'!$P$2:$P$1801,'Data Cruda'!$D$2:$D$1801,"FUSION FOODS S.A.C.",'Data Cruda'!$A$2:$A$1801,2025)+SUMIFS('Data Cruda'!$P$2:$P$1801,'Data Cruda'!$D$2:$D$1801,"FUSION FOODS S.A.C.",'Data Cruda'!$A$2:$A$1801,2026))/(SUMIFS('Data Cruda'!$K$2:$K$1801,'Data Cruda'!$D$2:$D$1801,"FUSION FOODS S.A.C.",'Data Cruda'!$A$2:$A$1801,2025)+SUMIFS('Data Cruda'!$K$2:$K$1801,'Data Cruda'!$D$2:$D$1801,"FUSION FOODS S.A.C.",'Data Cruda'!$A$2:$A$1801,2026)),0)</f>
        <v>9.4202285703025579E-2</v>
      </c>
    </row>
    <row r="52" spans="1:7" ht="15" customHeight="1" x14ac:dyDescent="0.3">
      <c r="A52" s="8">
        <v>49</v>
      </c>
      <c r="B52" s="6" t="s">
        <v>1563</v>
      </c>
      <c r="C52" s="10">
        <v>117308</v>
      </c>
      <c r="D52" s="10">
        <v>0</v>
      </c>
      <c r="E52" s="11">
        <v>117308</v>
      </c>
      <c r="F52" s="17">
        <v>1.8556406412975799E-3</v>
      </c>
      <c r="G52" s="17">
        <f>IFERROR((SUMIFS('Data Cruda'!$P$2:$P$1801,'Data Cruda'!$D$2:$D$1801,"AUSTRAL GROUP S.A.A.",'Data Cruda'!$A$2:$A$1801,2025)+SUMIFS('Data Cruda'!$P$2:$P$1801,'Data Cruda'!$D$2:$D$1801,"AUSTRAL GROUP S.A.A.",'Data Cruda'!$A$2:$A$1801,2026))/(SUMIFS('Data Cruda'!$K$2:$K$1801,'Data Cruda'!$D$2:$D$1801,"AUSTRAL GROUP S.A.A.",'Data Cruda'!$A$2:$A$1801,2025)+SUMIFS('Data Cruda'!$K$2:$K$1801,'Data Cruda'!$D$2:$D$1801,"AUSTRAL GROUP S.A.A.",'Data Cruda'!$A$2:$A$1801,2026)),0)</f>
        <v>0</v>
      </c>
    </row>
    <row r="53" spans="1:7" ht="15" customHeight="1" x14ac:dyDescent="0.3">
      <c r="A53" s="8">
        <v>50</v>
      </c>
      <c r="B53" s="6" t="s">
        <v>1801</v>
      </c>
      <c r="C53" s="10">
        <v>0</v>
      </c>
      <c r="D53" s="10">
        <v>110710</v>
      </c>
      <c r="E53" s="11">
        <v>110710</v>
      </c>
      <c r="F53" s="17">
        <v>1.7512699508819101E-3</v>
      </c>
      <c r="G53" s="17">
        <f>IFERROR((SUMIFS('Data Cruda'!$P$2:$P$1801,'Data Cruda'!$D$2:$D$1801,"REITER PERUVIAN BERRY S.A.",'Data Cruda'!$A$2:$A$1801,2025)+SUMIFS('Data Cruda'!$P$2:$P$1801,'Data Cruda'!$D$2:$D$1801,"REITER PERUVIAN BERRY S.A.",'Data Cruda'!$A$2:$A$1801,2026))/(SUMIFS('Data Cruda'!$K$2:$K$1801,'Data Cruda'!$D$2:$D$1801,"REITER PERUVIAN BERRY S.A.",'Data Cruda'!$A$2:$A$1801,2025)+SUMIFS('Data Cruda'!$K$2:$K$1801,'Data Cruda'!$D$2:$D$1801,"REITER PERUVIAN BERRY S.A.",'Data Cruda'!$A$2:$A$1801,2026)),0)</f>
        <v>0.14169352362026916</v>
      </c>
    </row>
    <row r="54" spans="1:7" ht="15" customHeight="1" x14ac:dyDescent="0.3">
      <c r="A54" s="8">
        <v>51</v>
      </c>
      <c r="B54" s="6" t="s">
        <v>1861</v>
      </c>
      <c r="C54" s="10">
        <v>0</v>
      </c>
      <c r="D54" s="10">
        <v>106047.18</v>
      </c>
      <c r="E54" s="11">
        <v>106047.18</v>
      </c>
      <c r="F54" s="17">
        <v>1.67751097199679E-3</v>
      </c>
      <c r="G54" s="17">
        <f>IFERROR((SUMIFS('Data Cruda'!$P$2:$P$1801,'Data Cruda'!$D$2:$D$1801,"AGRICOLA HUARMEY S.A.C.",'Data Cruda'!$A$2:$A$1801,2025)+SUMIFS('Data Cruda'!$P$2:$P$1801,'Data Cruda'!$D$2:$D$1801,"AGRICOLA HUARMEY S.A.C.",'Data Cruda'!$A$2:$A$1801,2026))/(SUMIFS('Data Cruda'!$K$2:$K$1801,'Data Cruda'!$D$2:$D$1801,"AGRICOLA HUARMEY S.A.C.",'Data Cruda'!$A$2:$A$1801,2025)+SUMIFS('Data Cruda'!$K$2:$K$1801,'Data Cruda'!$D$2:$D$1801,"AGRICOLA HUARMEY S.A.C.",'Data Cruda'!$A$2:$A$1801,2026)),0)</f>
        <v>0.17593716306270485</v>
      </c>
    </row>
    <row r="55" spans="1:7" ht="15" customHeight="1" x14ac:dyDescent="0.3">
      <c r="A55" s="8">
        <v>52</v>
      </c>
      <c r="B55" s="6" t="s">
        <v>1809</v>
      </c>
      <c r="C55" s="10">
        <v>0</v>
      </c>
      <c r="D55" s="10">
        <v>101933.16</v>
      </c>
      <c r="E55" s="11">
        <v>101933.16</v>
      </c>
      <c r="F55" s="17">
        <v>1.6124332048273601E-3</v>
      </c>
      <c r="G55" s="17">
        <f>IFERROR((SUMIFS('Data Cruda'!$P$2:$P$1801,'Data Cruda'!$D$2:$D$1801,"INGENIERIA EN CARTONES Y PAPELES S.A.C",'Data Cruda'!$A$2:$A$1801,2025)+SUMIFS('Data Cruda'!$P$2:$P$1801,'Data Cruda'!$D$2:$D$1801,"INGENIERIA EN CARTONES Y PAPELES S.A.C",'Data Cruda'!$A$2:$A$1801,2026))/(SUMIFS('Data Cruda'!$K$2:$K$1801,'Data Cruda'!$D$2:$D$1801,"INGENIERIA EN CARTONES Y PAPELES S.A.C",'Data Cruda'!$A$2:$A$1801,2025)+SUMIFS('Data Cruda'!$K$2:$K$1801,'Data Cruda'!$D$2:$D$1801,"INGENIERIA EN CARTONES Y PAPELES S.A.C",'Data Cruda'!$A$2:$A$1801,2026)),0)</f>
        <v>0.2003336303907384</v>
      </c>
    </row>
    <row r="56" spans="1:7" ht="15" customHeight="1" x14ac:dyDescent="0.3">
      <c r="A56" s="8">
        <v>53</v>
      </c>
      <c r="B56" s="6" t="s">
        <v>1651</v>
      </c>
      <c r="C56" s="10">
        <v>99000</v>
      </c>
      <c r="D56" s="10">
        <v>0</v>
      </c>
      <c r="E56" s="11">
        <v>99000</v>
      </c>
      <c r="F56" s="17">
        <v>1.56603491226907E-3</v>
      </c>
      <c r="G56" s="17">
        <f>IFERROR((SUMIFS('Data Cruda'!$P$2:$P$1801,'Data Cruda'!$D$2:$D$1801,"IN VITRO LAB PERU S.A.C",'Data Cruda'!$A$2:$A$1801,2025)+SUMIFS('Data Cruda'!$P$2:$P$1801,'Data Cruda'!$D$2:$D$1801,"IN VITRO LAB PERU S.A.C",'Data Cruda'!$A$2:$A$1801,2026))/(SUMIFS('Data Cruda'!$K$2:$K$1801,'Data Cruda'!$D$2:$D$1801,"IN VITRO LAB PERU S.A.C",'Data Cruda'!$A$2:$A$1801,2025)+SUMIFS('Data Cruda'!$K$2:$K$1801,'Data Cruda'!$D$2:$D$1801,"IN VITRO LAB PERU S.A.C",'Data Cruda'!$A$2:$A$1801,2026)),0)</f>
        <v>0.3</v>
      </c>
    </row>
    <row r="57" spans="1:7" ht="15" customHeight="1" x14ac:dyDescent="0.3">
      <c r="A57" s="8">
        <v>54</v>
      </c>
      <c r="B57" s="6" t="s">
        <v>1621</v>
      </c>
      <c r="C57" s="10">
        <v>96847.02</v>
      </c>
      <c r="D57" s="10">
        <v>0</v>
      </c>
      <c r="E57" s="11">
        <v>96847.02</v>
      </c>
      <c r="F57" s="17">
        <v>1.53197792393152E-3</v>
      </c>
      <c r="G57" s="17">
        <f>IFERROR((SUMIFS('Data Cruda'!$P$2:$P$1801,'Data Cruda'!$D$2:$D$1801,"QBERRIES SAC",'Data Cruda'!$A$2:$A$1801,2025)+SUMIFS('Data Cruda'!$P$2:$P$1801,'Data Cruda'!$D$2:$D$1801,"QBERRIES SAC",'Data Cruda'!$A$2:$A$1801,2026))/(SUMIFS('Data Cruda'!$K$2:$K$1801,'Data Cruda'!$D$2:$D$1801,"QBERRIES SAC",'Data Cruda'!$A$2:$A$1801,2025)+SUMIFS('Data Cruda'!$K$2:$K$1801,'Data Cruda'!$D$2:$D$1801,"QBERRIES SAC",'Data Cruda'!$A$2:$A$1801,2026)),0)</f>
        <v>0.3</v>
      </c>
    </row>
    <row r="58" spans="1:7" ht="15" customHeight="1" x14ac:dyDescent="0.3">
      <c r="A58" s="8">
        <v>55</v>
      </c>
      <c r="B58" s="6" t="s">
        <v>832</v>
      </c>
      <c r="C58" s="10">
        <v>0</v>
      </c>
      <c r="D58" s="10">
        <v>77696.990000000005</v>
      </c>
      <c r="E58" s="11">
        <v>77696.990000000005</v>
      </c>
      <c r="F58" s="17">
        <v>1.2290525143254601E-3</v>
      </c>
      <c r="G58" s="17">
        <f>IFERROR((SUMIFS('Data Cruda'!$P$2:$P$1801,'Data Cruda'!$D$2:$D$1801,"SMART PACKING S.A.C.",'Data Cruda'!$A$2:$A$1801,2025)+SUMIFS('Data Cruda'!$P$2:$P$1801,'Data Cruda'!$D$2:$D$1801,"SMART PACKING S.A.C.",'Data Cruda'!$A$2:$A$1801,2026))/(SUMIFS('Data Cruda'!$K$2:$K$1801,'Data Cruda'!$D$2:$D$1801,"SMART PACKING S.A.C.",'Data Cruda'!$A$2:$A$1801,2025)+SUMIFS('Data Cruda'!$K$2:$K$1801,'Data Cruda'!$D$2:$D$1801,"SMART PACKING S.A.C.",'Data Cruda'!$A$2:$A$1801,2026)),0)</f>
        <v>0.14254606259521768</v>
      </c>
    </row>
    <row r="59" spans="1:7" ht="15" customHeight="1" x14ac:dyDescent="0.3">
      <c r="A59" s="8">
        <v>56</v>
      </c>
      <c r="B59" s="6" t="s">
        <v>1767</v>
      </c>
      <c r="C59" s="10">
        <v>0</v>
      </c>
      <c r="D59" s="10">
        <v>61715.57</v>
      </c>
      <c r="E59" s="11">
        <v>61715.57</v>
      </c>
      <c r="F59" s="17">
        <v>9.7624987121803695E-4</v>
      </c>
      <c r="G59" s="17">
        <f>IFERROR((SUMIFS('Data Cruda'!$P$2:$P$1801,'Data Cruda'!$D$2:$D$1801,"FLORISERT S.A.C.",'Data Cruda'!$A$2:$A$1801,2025)+SUMIFS('Data Cruda'!$P$2:$P$1801,'Data Cruda'!$D$2:$D$1801,"FLORISERT S.A.C.",'Data Cruda'!$A$2:$A$1801,2026))/(SUMIFS('Data Cruda'!$K$2:$K$1801,'Data Cruda'!$D$2:$D$1801,"FLORISERT S.A.C.",'Data Cruda'!$A$2:$A$1801,2025)+SUMIFS('Data Cruda'!$K$2:$K$1801,'Data Cruda'!$D$2:$D$1801,"FLORISERT S.A.C.",'Data Cruda'!$A$2:$A$1801,2026)),0)</f>
        <v>0.16841860165919231</v>
      </c>
    </row>
    <row r="60" spans="1:7" ht="15" customHeight="1" x14ac:dyDescent="0.3">
      <c r="A60" s="8">
        <v>57</v>
      </c>
      <c r="B60" s="6" t="s">
        <v>746</v>
      </c>
      <c r="C60" s="10">
        <v>50827.6</v>
      </c>
      <c r="D60" s="10">
        <v>0</v>
      </c>
      <c r="E60" s="11">
        <v>50827.6</v>
      </c>
      <c r="F60" s="17">
        <v>8.0401814249340801E-4</v>
      </c>
      <c r="G60" s="17">
        <f>IFERROR((SUMIFS('Data Cruda'!$P$2:$P$1801,'Data Cruda'!$D$2:$D$1801,"LOS OLIVOS DE VILLACURI S.A.C.",'Data Cruda'!$A$2:$A$1801,2025)+SUMIFS('Data Cruda'!$P$2:$P$1801,'Data Cruda'!$D$2:$D$1801,"LOS OLIVOS DE VILLACURI S.A.C.",'Data Cruda'!$A$2:$A$1801,2026))/(SUMIFS('Data Cruda'!$K$2:$K$1801,'Data Cruda'!$D$2:$D$1801,"LOS OLIVOS DE VILLACURI S.A.C.",'Data Cruda'!$A$2:$A$1801,2025)+SUMIFS('Data Cruda'!$K$2:$K$1801,'Data Cruda'!$D$2:$D$1801,"LOS OLIVOS DE VILLACURI S.A.C.",'Data Cruda'!$A$2:$A$1801,2026)),0)</f>
        <v>0.24678481769747146</v>
      </c>
    </row>
    <row r="61" spans="1:7" ht="15" customHeight="1" x14ac:dyDescent="0.3">
      <c r="A61" s="8">
        <v>58</v>
      </c>
      <c r="B61" s="6" t="s">
        <v>791</v>
      </c>
      <c r="C61" s="10">
        <v>48530.23</v>
      </c>
      <c r="D61" s="10">
        <v>0</v>
      </c>
      <c r="E61" s="11">
        <v>48530.23</v>
      </c>
      <c r="F61" s="17">
        <v>7.6767711596411898E-4</v>
      </c>
      <c r="G61" s="17">
        <f>IFERROR((SUMIFS('Data Cruda'!$P$2:$P$1801,'Data Cruda'!$D$2:$D$1801,"FAMILY FARMS PERÚ S.R.L.",'Data Cruda'!$A$2:$A$1801,2025)+SUMIFS('Data Cruda'!$P$2:$P$1801,'Data Cruda'!$D$2:$D$1801,"FAMILY FARMS PERÚ S.R.L.",'Data Cruda'!$A$2:$A$1801,2026))/(SUMIFS('Data Cruda'!$K$2:$K$1801,'Data Cruda'!$D$2:$D$1801,"FAMILY FARMS PERÚ S.R.L.",'Data Cruda'!$A$2:$A$1801,2025)+SUMIFS('Data Cruda'!$K$2:$K$1801,'Data Cruda'!$D$2:$D$1801,"FAMILY FARMS PERÚ S.R.L.",'Data Cruda'!$A$2:$A$1801,2026)),0)</f>
        <v>0.13226353965353202</v>
      </c>
    </row>
    <row r="62" spans="1:7" ht="15" customHeight="1" x14ac:dyDescent="0.3">
      <c r="A62" s="8">
        <v>59</v>
      </c>
      <c r="B62" s="6" t="s">
        <v>1580</v>
      </c>
      <c r="C62" s="10">
        <v>43600.44</v>
      </c>
      <c r="D62" s="10">
        <v>0</v>
      </c>
      <c r="E62" s="11">
        <v>43600.44</v>
      </c>
      <c r="F62" s="17">
        <v>6.8969506293225103E-4</v>
      </c>
      <c r="G62" s="17">
        <f>IFERROR((SUMIFS('Data Cruda'!$P$2:$P$1801,'Data Cruda'!$D$2:$D$1801,"ALZA PERU PACKING S.A.C.",'Data Cruda'!$A$2:$A$1801,2025)+SUMIFS('Data Cruda'!$P$2:$P$1801,'Data Cruda'!$D$2:$D$1801,"ALZA PERU PACKING S.A.C.",'Data Cruda'!$A$2:$A$1801,2026))/(SUMIFS('Data Cruda'!$K$2:$K$1801,'Data Cruda'!$D$2:$D$1801,"ALZA PERU PACKING S.A.C.",'Data Cruda'!$A$2:$A$1801,2025)+SUMIFS('Data Cruda'!$K$2:$K$1801,'Data Cruda'!$D$2:$D$1801,"ALZA PERU PACKING S.A.C.",'Data Cruda'!$A$2:$A$1801,2026)),0)</f>
        <v>0.15000000000000002</v>
      </c>
    </row>
    <row r="63" spans="1:7" ht="15" customHeight="1" x14ac:dyDescent="0.3">
      <c r="A63" s="8">
        <v>60</v>
      </c>
      <c r="B63" s="6" t="s">
        <v>1757</v>
      </c>
      <c r="C63" s="10">
        <v>0</v>
      </c>
      <c r="D63" s="10">
        <v>43470</v>
      </c>
      <c r="E63" s="11">
        <v>43470</v>
      </c>
      <c r="F63" s="17">
        <v>6.8763169329632797E-4</v>
      </c>
      <c r="G63" s="17">
        <f>IFERROR((SUMIFS('Data Cruda'!$P$2:$P$1801,'Data Cruda'!$D$2:$D$1801,"VITAFOODS PERU S.A.C.",'Data Cruda'!$A$2:$A$1801,2025)+SUMIFS('Data Cruda'!$P$2:$P$1801,'Data Cruda'!$D$2:$D$1801,"VITAFOODS PERU S.A.C.",'Data Cruda'!$A$2:$A$1801,2026))/(SUMIFS('Data Cruda'!$K$2:$K$1801,'Data Cruda'!$D$2:$D$1801,"VITAFOODS PERU S.A.C.",'Data Cruda'!$A$2:$A$1801,2025)+SUMIFS('Data Cruda'!$K$2:$K$1801,'Data Cruda'!$D$2:$D$1801,"VITAFOODS PERU S.A.C.",'Data Cruda'!$A$2:$A$1801,2026)),0)</f>
        <v>0.27075339314469749</v>
      </c>
    </row>
    <row r="64" spans="1:7" ht="15" customHeight="1" x14ac:dyDescent="0.3">
      <c r="A64" s="8">
        <v>61</v>
      </c>
      <c r="B64" s="6" t="s">
        <v>1318</v>
      </c>
      <c r="C64" s="10">
        <v>36681.15</v>
      </c>
      <c r="D64" s="10">
        <v>890</v>
      </c>
      <c r="E64" s="11">
        <v>37571.15</v>
      </c>
      <c r="F64" s="17">
        <v>5.9432053125351597E-4</v>
      </c>
      <c r="G64" s="17">
        <f>IFERROR((SUMIFS('Data Cruda'!$P$2:$P$1801,'Data Cruda'!$D$2:$D$1801,"EL ROCIO S.A.",'Data Cruda'!$A$2:$A$1801,2025)+SUMIFS('Data Cruda'!$P$2:$P$1801,'Data Cruda'!$D$2:$D$1801,"EL ROCIO S.A.",'Data Cruda'!$A$2:$A$1801,2026))/(SUMIFS('Data Cruda'!$K$2:$K$1801,'Data Cruda'!$D$2:$D$1801,"EL ROCIO S.A.",'Data Cruda'!$A$2:$A$1801,2025)+SUMIFS('Data Cruda'!$K$2:$K$1801,'Data Cruda'!$D$2:$D$1801,"EL ROCIO S.A.",'Data Cruda'!$A$2:$A$1801,2026)),0)</f>
        <v>5.6551143630152387E-2</v>
      </c>
    </row>
    <row r="65" spans="1:7" ht="15" customHeight="1" x14ac:dyDescent="0.3">
      <c r="A65" s="8">
        <v>62</v>
      </c>
      <c r="B65" s="6" t="s">
        <v>1269</v>
      </c>
      <c r="C65" s="10">
        <v>0</v>
      </c>
      <c r="D65" s="10">
        <v>36347.870000000003</v>
      </c>
      <c r="E65" s="11">
        <v>36347.870000000003</v>
      </c>
      <c r="F65" s="17">
        <v>5.7497003441027796E-4</v>
      </c>
      <c r="G65" s="17">
        <f>IFERROR((SUMIFS('Data Cruda'!$P$2:$P$1801,'Data Cruda'!$D$2:$D$1801,"PACKING DEL CARMEN S.A.C.",'Data Cruda'!$A$2:$A$1801,2025)+SUMIFS('Data Cruda'!$P$2:$P$1801,'Data Cruda'!$D$2:$D$1801,"PACKING DEL CARMEN S.A.C.",'Data Cruda'!$A$2:$A$1801,2026))/(SUMIFS('Data Cruda'!$K$2:$K$1801,'Data Cruda'!$D$2:$D$1801,"PACKING DEL CARMEN S.A.C.",'Data Cruda'!$A$2:$A$1801,2025)+SUMIFS('Data Cruda'!$K$2:$K$1801,'Data Cruda'!$D$2:$D$1801,"PACKING DEL CARMEN S.A.C.",'Data Cruda'!$A$2:$A$1801,2026)),0)</f>
        <v>0.17642326771830094</v>
      </c>
    </row>
    <row r="66" spans="1:7" ht="15" customHeight="1" x14ac:dyDescent="0.3">
      <c r="A66" s="8">
        <v>63</v>
      </c>
      <c r="B66" s="6" t="s">
        <v>767</v>
      </c>
      <c r="C66" s="10">
        <v>34403.050000000003</v>
      </c>
      <c r="D66" s="10">
        <v>0</v>
      </c>
      <c r="E66" s="11">
        <v>34403.050000000003</v>
      </c>
      <c r="F66" s="17">
        <v>5.4420583220745895E-4</v>
      </c>
      <c r="G66" s="17">
        <f>IFERROR((SUMIFS('Data Cruda'!$P$2:$P$1801,'Data Cruda'!$D$2:$D$1801,"ARA EXPORT S.A.C.",'Data Cruda'!$A$2:$A$1801,2025)+SUMIFS('Data Cruda'!$P$2:$P$1801,'Data Cruda'!$D$2:$D$1801,"ARA EXPORT S.A.C.",'Data Cruda'!$A$2:$A$1801,2026))/(SUMIFS('Data Cruda'!$K$2:$K$1801,'Data Cruda'!$D$2:$D$1801,"ARA EXPORT S.A.C.",'Data Cruda'!$A$2:$A$1801,2025)+SUMIFS('Data Cruda'!$K$2:$K$1801,'Data Cruda'!$D$2:$D$1801,"ARA EXPORT S.A.C.",'Data Cruda'!$A$2:$A$1801,2026)),0)</f>
        <v>0.15388606533432411</v>
      </c>
    </row>
    <row r="67" spans="1:7" ht="15" customHeight="1" x14ac:dyDescent="0.3">
      <c r="A67" s="8">
        <v>64</v>
      </c>
      <c r="B67" s="6" t="s">
        <v>1689</v>
      </c>
      <c r="C67" s="10">
        <v>32800.01</v>
      </c>
      <c r="D67" s="10">
        <v>798</v>
      </c>
      <c r="E67" s="11">
        <v>33598.01</v>
      </c>
      <c r="F67" s="17">
        <v>5.3147127921985204E-4</v>
      </c>
      <c r="G67" s="17">
        <f>IFERROR((SUMIFS('Data Cruda'!$P$2:$P$1801,'Data Cruda'!$D$2:$D$1801,"UVICA S.A.C.",'Data Cruda'!$A$2:$A$1801,2025)+SUMIFS('Data Cruda'!$P$2:$P$1801,'Data Cruda'!$D$2:$D$1801,"UVICA S.A.C.",'Data Cruda'!$A$2:$A$1801,2026))/(SUMIFS('Data Cruda'!$K$2:$K$1801,'Data Cruda'!$D$2:$D$1801,"UVICA S.A.C.",'Data Cruda'!$A$2:$A$1801,2025)+SUMIFS('Data Cruda'!$K$2:$K$1801,'Data Cruda'!$D$2:$D$1801,"UVICA S.A.C.",'Data Cruda'!$A$2:$A$1801,2026)),0)</f>
        <v>0.15714710484341129</v>
      </c>
    </row>
    <row r="68" spans="1:7" ht="15" customHeight="1" x14ac:dyDescent="0.3">
      <c r="A68" s="8">
        <v>65</v>
      </c>
      <c r="B68" s="6" t="s">
        <v>1537</v>
      </c>
      <c r="C68" s="10">
        <v>25500</v>
      </c>
      <c r="D68" s="10">
        <v>0</v>
      </c>
      <c r="E68" s="11">
        <v>25500</v>
      </c>
      <c r="F68" s="17">
        <v>4.0337262891779099E-4</v>
      </c>
      <c r="G68" s="17">
        <f>IFERROR((SUMIFS('Data Cruda'!$P$2:$P$1801,'Data Cruda'!$D$2:$D$1801,"QUELEN FRUIT PERU S.A.C.",'Data Cruda'!$A$2:$A$1801,2025)+SUMIFS('Data Cruda'!$P$2:$P$1801,'Data Cruda'!$D$2:$D$1801,"QUELEN FRUIT PERU S.A.C.",'Data Cruda'!$A$2:$A$1801,2026))/(SUMIFS('Data Cruda'!$K$2:$K$1801,'Data Cruda'!$D$2:$D$1801,"QUELEN FRUIT PERU S.A.C.",'Data Cruda'!$A$2:$A$1801,2025)+SUMIFS('Data Cruda'!$K$2:$K$1801,'Data Cruda'!$D$2:$D$1801,"QUELEN FRUIT PERU S.A.C.",'Data Cruda'!$A$2:$A$1801,2026)),0)</f>
        <v>0.15</v>
      </c>
    </row>
    <row r="69" spans="1:7" ht="15" customHeight="1" x14ac:dyDescent="0.3">
      <c r="A69" s="8">
        <v>66</v>
      </c>
      <c r="B69" s="6" t="s">
        <v>1842</v>
      </c>
      <c r="C69" s="10">
        <v>0</v>
      </c>
      <c r="D69" s="10">
        <v>17671.66</v>
      </c>
      <c r="E69" s="11">
        <v>17671.66</v>
      </c>
      <c r="F69" s="17">
        <v>2.7953976280554403E-4</v>
      </c>
      <c r="G69" s="17">
        <f>IFERROR((SUMIFS('Data Cruda'!$P$2:$P$1801,'Data Cruda'!$D$2:$D$1801,"TAL S A",'Data Cruda'!$A$2:$A$1801,2025)+SUMIFS('Data Cruda'!$P$2:$P$1801,'Data Cruda'!$D$2:$D$1801,"TAL S A",'Data Cruda'!$A$2:$A$1801,2026))/(SUMIFS('Data Cruda'!$K$2:$K$1801,'Data Cruda'!$D$2:$D$1801,"TAL S A",'Data Cruda'!$A$2:$A$1801,2025)+SUMIFS('Data Cruda'!$K$2:$K$1801,'Data Cruda'!$D$2:$D$1801,"TAL S A",'Data Cruda'!$A$2:$A$1801,2026)),0)</f>
        <v>0.24999971706110177</v>
      </c>
    </row>
    <row r="70" spans="1:7" ht="15" customHeight="1" x14ac:dyDescent="0.3">
      <c r="A70" s="8">
        <v>67</v>
      </c>
      <c r="B70" s="6" t="s">
        <v>1449</v>
      </c>
      <c r="C70" s="10">
        <v>0</v>
      </c>
      <c r="D70" s="10">
        <v>15941.32</v>
      </c>
      <c r="E70" s="11">
        <v>15941.32</v>
      </c>
      <c r="F70" s="17">
        <v>2.5216831987528499E-4</v>
      </c>
      <c r="G70" s="17">
        <f>IFERROR((SUMIFS('Data Cruda'!$P$2:$P$1801,'Data Cruda'!$D$2:$D$1801,"EL PARQUE ALAYA PACKING S.A.C.",'Data Cruda'!$A$2:$A$1801,2025)+SUMIFS('Data Cruda'!$P$2:$P$1801,'Data Cruda'!$D$2:$D$1801,"EL PARQUE ALAYA PACKING S.A.C.",'Data Cruda'!$A$2:$A$1801,2026))/(SUMIFS('Data Cruda'!$K$2:$K$1801,'Data Cruda'!$D$2:$D$1801,"EL PARQUE ALAYA PACKING S.A.C.",'Data Cruda'!$A$2:$A$1801,2025)+SUMIFS('Data Cruda'!$K$2:$K$1801,'Data Cruda'!$D$2:$D$1801,"EL PARQUE ALAYA PACKING S.A.C.",'Data Cruda'!$A$2:$A$1801,2026)),0)</f>
        <v>0.13555464666665057</v>
      </c>
    </row>
    <row r="71" spans="1:7" ht="15" customHeight="1" x14ac:dyDescent="0.3">
      <c r="A71" s="8">
        <v>68</v>
      </c>
      <c r="B71" s="6" t="s">
        <v>906</v>
      </c>
      <c r="C71" s="10">
        <v>10000</v>
      </c>
      <c r="D71" s="10">
        <v>0</v>
      </c>
      <c r="E71" s="11">
        <v>10000</v>
      </c>
      <c r="F71" s="17">
        <v>1.5818534467364301E-4</v>
      </c>
      <c r="G71" s="17">
        <f>IFERROR((SUMIFS('Data Cruda'!$P$2:$P$1801,'Data Cruda'!$D$2:$D$1801,"WESTFALIA FRUIT PERU S.A.C.",'Data Cruda'!$A$2:$A$1801,2025)+SUMIFS('Data Cruda'!$P$2:$P$1801,'Data Cruda'!$D$2:$D$1801,"WESTFALIA FRUIT PERU S.A.C.",'Data Cruda'!$A$2:$A$1801,2026))/(SUMIFS('Data Cruda'!$K$2:$K$1801,'Data Cruda'!$D$2:$D$1801,"WESTFALIA FRUIT PERU S.A.C.",'Data Cruda'!$A$2:$A$1801,2025)+SUMIFS('Data Cruda'!$K$2:$K$1801,'Data Cruda'!$D$2:$D$1801,"WESTFALIA FRUIT PERU S.A.C.",'Data Cruda'!$A$2:$A$1801,2026)),0)</f>
        <v>0.3</v>
      </c>
    </row>
    <row r="72" spans="1:7" ht="15" customHeight="1" x14ac:dyDescent="0.3">
      <c r="A72" s="8">
        <v>69</v>
      </c>
      <c r="B72" s="6" t="s">
        <v>205</v>
      </c>
      <c r="C72" s="10">
        <v>0</v>
      </c>
      <c r="D72" s="10">
        <v>6840.69</v>
      </c>
      <c r="E72" s="11">
        <v>6840.69</v>
      </c>
      <c r="F72" s="17">
        <v>1.08209690545555E-4</v>
      </c>
      <c r="G72" s="17">
        <f>IFERROR((SUMIFS('Data Cruda'!$P$2:$P$1801,'Data Cruda'!$D$2:$D$1801,"CIA.DE EXP.Y NEGOCIOS GNRLES.S.A.(COEXA)",'Data Cruda'!$A$2:$A$1801,2025)+SUMIFS('Data Cruda'!$P$2:$P$1801,'Data Cruda'!$D$2:$D$1801,"CIA.DE EXP.Y NEGOCIOS GNRLES.S.A.(COEXA)",'Data Cruda'!$A$2:$A$1801,2026))/(SUMIFS('Data Cruda'!$K$2:$K$1801,'Data Cruda'!$D$2:$D$1801,"CIA.DE EXP.Y NEGOCIOS GNRLES.S.A.(COEXA)",'Data Cruda'!$A$2:$A$1801,2025)+SUMIFS('Data Cruda'!$K$2:$K$1801,'Data Cruda'!$D$2:$D$1801,"CIA.DE EXP.Y NEGOCIOS GNRLES.S.A.(COEXA)",'Data Cruda'!$A$2:$A$1801,2026)),0)</f>
        <v>8.064829717470022E-2</v>
      </c>
    </row>
    <row r="73" spans="1:7" ht="15" customHeight="1" x14ac:dyDescent="0.3">
      <c r="A73" s="8">
        <v>70</v>
      </c>
      <c r="B73" s="6" t="s">
        <v>531</v>
      </c>
      <c r="C73" s="10">
        <v>4392.3900000000003</v>
      </c>
      <c r="D73" s="10">
        <v>0</v>
      </c>
      <c r="E73" s="11">
        <v>4392.3900000000003</v>
      </c>
      <c r="F73" s="17">
        <v>6.94811726091065E-5</v>
      </c>
      <c r="G73" s="17">
        <f>IFERROR((SUMIFS('Data Cruda'!$P$2:$P$1801,'Data Cruda'!$D$2:$D$1801,"AVOCADO PACKING COMPANY S.A.C.",'Data Cruda'!$A$2:$A$1801,2025)+SUMIFS('Data Cruda'!$P$2:$P$1801,'Data Cruda'!$D$2:$D$1801,"AVOCADO PACKING COMPANY S.A.C.",'Data Cruda'!$A$2:$A$1801,2026))/(SUMIFS('Data Cruda'!$K$2:$K$1801,'Data Cruda'!$D$2:$D$1801,"AVOCADO PACKING COMPANY S.A.C.",'Data Cruda'!$A$2:$A$1801,2025)+SUMIFS('Data Cruda'!$K$2:$K$1801,'Data Cruda'!$D$2:$D$1801,"AVOCADO PACKING COMPANY S.A.C.",'Data Cruda'!$A$2:$A$1801,2026)),0)</f>
        <v>0.19856843313093783</v>
      </c>
    </row>
    <row r="74" spans="1:7" ht="15" customHeight="1" x14ac:dyDescent="0.3">
      <c r="A74" s="8">
        <v>71</v>
      </c>
      <c r="B74" s="6" t="s">
        <v>1356</v>
      </c>
      <c r="C74" s="10">
        <v>4265.26</v>
      </c>
      <c r="D74" s="10">
        <v>0</v>
      </c>
      <c r="E74" s="11">
        <v>4265.26</v>
      </c>
      <c r="F74" s="17">
        <v>6.7470162322270401E-5</v>
      </c>
      <c r="G74" s="17">
        <f>IFERROR((SUMIFS('Data Cruda'!$P$2:$P$1801,'Data Cruda'!$D$2:$D$1801,"AGRICOLA BLUE GOLD S.A.C.",'Data Cruda'!$A$2:$A$1801,2025)+SUMIFS('Data Cruda'!$P$2:$P$1801,'Data Cruda'!$D$2:$D$1801,"AGRICOLA BLUE GOLD S.A.C.",'Data Cruda'!$A$2:$A$1801,2026))/(SUMIFS('Data Cruda'!$K$2:$K$1801,'Data Cruda'!$D$2:$D$1801,"AGRICOLA BLUE GOLD S.A.C.",'Data Cruda'!$A$2:$A$1801,2025)+SUMIFS('Data Cruda'!$K$2:$K$1801,'Data Cruda'!$D$2:$D$1801,"AGRICOLA BLUE GOLD S.A.C.",'Data Cruda'!$A$2:$A$1801,2026)),0)</f>
        <v>0.25209717578764246</v>
      </c>
    </row>
    <row r="75" spans="1:7" ht="15" customHeight="1" x14ac:dyDescent="0.3">
      <c r="A75" s="8">
        <v>72</v>
      </c>
      <c r="B75" s="6" t="s">
        <v>1877</v>
      </c>
      <c r="C75" s="10">
        <v>0</v>
      </c>
      <c r="D75" s="10">
        <v>2310</v>
      </c>
      <c r="E75" s="11">
        <v>2310</v>
      </c>
      <c r="F75" s="17">
        <v>3.65408146196116E-5</v>
      </c>
      <c r="G75" s="17">
        <f>IFERROR((SUMIFS('Data Cruda'!$P$2:$P$1801,'Data Cruda'!$D$2:$D$1801,"AUSTRAL GROUP S.A.A",'Data Cruda'!$A$2:$A$1801,2025)+SUMIFS('Data Cruda'!$P$2:$P$1801,'Data Cruda'!$D$2:$D$1801,"AUSTRAL GROUP S.A.A",'Data Cruda'!$A$2:$A$1801,2026))/(SUMIFS('Data Cruda'!$K$2:$K$1801,'Data Cruda'!$D$2:$D$1801,"AUSTRAL GROUP S.A.A",'Data Cruda'!$A$2:$A$1801,2025)+SUMIFS('Data Cruda'!$K$2:$K$1801,'Data Cruda'!$D$2:$D$1801,"AUSTRAL GROUP S.A.A",'Data Cruda'!$A$2:$A$1801,2026)),0)</f>
        <v>0.12941991341991299</v>
      </c>
    </row>
    <row r="76" spans="1:7" ht="15" customHeight="1" x14ac:dyDescent="0.3">
      <c r="A76" s="8">
        <v>73</v>
      </c>
      <c r="B76" s="6" t="s">
        <v>1589</v>
      </c>
      <c r="C76" s="10">
        <v>2200</v>
      </c>
      <c r="D76" s="10">
        <v>0</v>
      </c>
      <c r="E76" s="11">
        <v>2200</v>
      </c>
      <c r="F76" s="17">
        <v>3.4800775828201601E-5</v>
      </c>
      <c r="G76" s="17">
        <f>IFERROR((SUMIFS('Data Cruda'!$P$2:$P$1801,'Data Cruda'!$D$2:$D$1801,"STEELSER S.A.C.",'Data Cruda'!$A$2:$A$1801,2025)+SUMIFS('Data Cruda'!$P$2:$P$1801,'Data Cruda'!$D$2:$D$1801,"STEELSER S.A.C.",'Data Cruda'!$A$2:$A$1801,2026))/(SUMIFS('Data Cruda'!$K$2:$K$1801,'Data Cruda'!$D$2:$D$1801,"STEELSER S.A.C.",'Data Cruda'!$A$2:$A$1801,2025)+SUMIFS('Data Cruda'!$K$2:$K$1801,'Data Cruda'!$D$2:$D$1801,"STEELSER S.A.C.",'Data Cruda'!$A$2:$A$1801,2026)),0)</f>
        <v>0.19003181818181819</v>
      </c>
    </row>
    <row r="77" spans="1:7" ht="15" customHeight="1" x14ac:dyDescent="0.3">
      <c r="A77" s="25"/>
      <c r="B77" s="25" t="s">
        <v>1913</v>
      </c>
      <c r="C77" s="26">
        <v>34956324.380660199</v>
      </c>
      <c r="D77" s="26">
        <v>28260657.07</v>
      </c>
      <c r="E77" s="26">
        <v>63216981.450660199</v>
      </c>
      <c r="F77" s="27">
        <v>1</v>
      </c>
      <c r="G77" s="27">
        <f>IFERROR((SUMIFS('Data Cruda'!$P$2:$P$1801,'Data Cruda'!$A$2:$A$1801,2025)+SUMIFS('Data Cruda'!$P$2:$P$1801,'Data Cruda'!$A$2:$A$1801,2026))/(SUMIFS('Data Cruda'!$K$2:$K$1801,'Data Cruda'!$A$2:$A$1801,2025)+SUMIFS('Data Cruda'!$K$2:$K$1801,'Data Cruda'!$A$2:$A$1801,2026)),0)</f>
        <v>0.15750372442267371</v>
      </c>
    </row>
    <row r="80" spans="1:7" ht="15" customHeight="1" x14ac:dyDescent="0.3">
      <c r="A80" s="69" t="s">
        <v>1950</v>
      </c>
      <c r="B80" s="69"/>
      <c r="C80" s="69"/>
      <c r="D80" s="69"/>
      <c r="E80" s="69"/>
      <c r="F80" s="69"/>
    </row>
    <row r="82" spans="1:6" ht="15" customHeight="1" x14ac:dyDescent="0.3">
      <c r="A82" s="7" t="s">
        <v>1898</v>
      </c>
      <c r="B82" s="7" t="s">
        <v>3</v>
      </c>
      <c r="C82" s="7" t="s">
        <v>1951</v>
      </c>
      <c r="D82" s="7" t="s">
        <v>1952</v>
      </c>
      <c r="E82" s="7" t="s">
        <v>1953</v>
      </c>
      <c r="F82" s="7" t="s">
        <v>8</v>
      </c>
    </row>
    <row r="83" spans="1:6" ht="15" customHeight="1" x14ac:dyDescent="0.3">
      <c r="A83" s="8">
        <v>1</v>
      </c>
      <c r="B83" s="34" t="s">
        <v>1737</v>
      </c>
      <c r="C83" s="8">
        <v>2026</v>
      </c>
      <c r="D83" s="10">
        <v>10141560.130000001</v>
      </c>
      <c r="E83" s="8" t="s">
        <v>38</v>
      </c>
      <c r="F83" s="8" t="s">
        <v>306</v>
      </c>
    </row>
    <row r="84" spans="1:6" ht="15" customHeight="1" x14ac:dyDescent="0.3">
      <c r="A84" s="8">
        <v>2</v>
      </c>
      <c r="B84" s="34" t="s">
        <v>1658</v>
      </c>
      <c r="C84" s="8">
        <v>2025</v>
      </c>
      <c r="D84" s="10">
        <v>3632242.2295882101</v>
      </c>
      <c r="E84" s="8" t="s">
        <v>21</v>
      </c>
      <c r="F84" s="8" t="s">
        <v>306</v>
      </c>
    </row>
    <row r="85" spans="1:6" ht="15" customHeight="1" x14ac:dyDescent="0.3">
      <c r="A85" s="8">
        <v>3</v>
      </c>
      <c r="B85" s="34" t="s">
        <v>1622</v>
      </c>
      <c r="C85" s="8">
        <v>2025</v>
      </c>
      <c r="D85" s="10">
        <v>2949135.63</v>
      </c>
      <c r="E85" s="8" t="s">
        <v>38</v>
      </c>
      <c r="F85" s="8" t="s">
        <v>306</v>
      </c>
    </row>
    <row r="86" spans="1:6" ht="15" customHeight="1" x14ac:dyDescent="0.3">
      <c r="A86" s="8">
        <v>4</v>
      </c>
      <c r="B86" s="34" t="s">
        <v>1868</v>
      </c>
      <c r="C86" s="8">
        <v>2026</v>
      </c>
      <c r="D86" s="10">
        <v>2034100.57</v>
      </c>
      <c r="E86" s="8" t="s">
        <v>21</v>
      </c>
      <c r="F86" s="8" t="s">
        <v>141</v>
      </c>
    </row>
    <row r="87" spans="1:6" ht="15" customHeight="1" x14ac:dyDescent="0.3">
      <c r="A87" s="8">
        <v>5</v>
      </c>
      <c r="B87" s="34" t="s">
        <v>1747</v>
      </c>
      <c r="C87" s="8">
        <v>2026</v>
      </c>
      <c r="D87" s="10">
        <v>1460000</v>
      </c>
      <c r="E87" s="8" t="s">
        <v>21</v>
      </c>
      <c r="F87" s="8" t="s">
        <v>306</v>
      </c>
    </row>
    <row r="88" spans="1:6" ht="15" customHeight="1" x14ac:dyDescent="0.3">
      <c r="A88" s="8">
        <v>6</v>
      </c>
      <c r="B88" s="34" t="s">
        <v>1642</v>
      </c>
      <c r="C88" s="8">
        <v>2025</v>
      </c>
      <c r="D88" s="10">
        <v>905597.47</v>
      </c>
      <c r="E88" s="8" t="s">
        <v>38</v>
      </c>
      <c r="F88" s="8" t="s">
        <v>49</v>
      </c>
    </row>
    <row r="89" spans="1:6" ht="15" customHeight="1" x14ac:dyDescent="0.3">
      <c r="A89" s="8">
        <v>7</v>
      </c>
      <c r="B89" s="34" t="s">
        <v>1655</v>
      </c>
      <c r="C89" s="8">
        <v>2025</v>
      </c>
      <c r="D89" s="10">
        <v>853450.001694915</v>
      </c>
      <c r="E89" s="8" t="s">
        <v>21</v>
      </c>
      <c r="F89" s="8" t="s">
        <v>306</v>
      </c>
    </row>
    <row r="90" spans="1:6" ht="15" customHeight="1" x14ac:dyDescent="0.3">
      <c r="A90" s="8">
        <v>8</v>
      </c>
      <c r="B90" s="34" t="s">
        <v>1598</v>
      </c>
      <c r="C90" s="8">
        <v>2025</v>
      </c>
      <c r="D90" s="10">
        <v>508072.36</v>
      </c>
      <c r="E90" s="8" t="s">
        <v>38</v>
      </c>
      <c r="F90" s="8" t="s">
        <v>334</v>
      </c>
    </row>
    <row r="91" spans="1:6" ht="15" customHeight="1" x14ac:dyDescent="0.3">
      <c r="A91" s="8">
        <v>9</v>
      </c>
      <c r="B91" s="34" t="s">
        <v>1794</v>
      </c>
      <c r="C91" s="8">
        <v>2026</v>
      </c>
      <c r="D91" s="10">
        <v>455000</v>
      </c>
      <c r="E91" s="8" t="s">
        <v>21</v>
      </c>
      <c r="F91" s="8" t="s">
        <v>23</v>
      </c>
    </row>
    <row r="92" spans="1:6" ht="15" customHeight="1" x14ac:dyDescent="0.3">
      <c r="A92" s="8">
        <v>10</v>
      </c>
      <c r="B92" s="34" t="s">
        <v>1692</v>
      </c>
      <c r="C92" s="8">
        <v>2025</v>
      </c>
      <c r="D92" s="10">
        <v>427469.32</v>
      </c>
      <c r="E92" s="8" t="s">
        <v>107</v>
      </c>
      <c r="F92" s="8" t="s">
        <v>1718</v>
      </c>
    </row>
    <row r="93" spans="1:6" ht="15" customHeight="1" x14ac:dyDescent="0.3">
      <c r="A93" s="8">
        <v>11</v>
      </c>
      <c r="B93" s="34" t="s">
        <v>1618</v>
      </c>
      <c r="C93" s="8">
        <v>2025</v>
      </c>
      <c r="D93" s="10">
        <v>402750.71999999997</v>
      </c>
      <c r="E93" s="8" t="s">
        <v>38</v>
      </c>
      <c r="F93" s="8" t="s">
        <v>23</v>
      </c>
    </row>
    <row r="94" spans="1:6" ht="15" customHeight="1" x14ac:dyDescent="0.3">
      <c r="A94" s="8">
        <v>12</v>
      </c>
      <c r="B94" s="34" t="s">
        <v>1569</v>
      </c>
      <c r="C94" s="8">
        <v>2025</v>
      </c>
      <c r="D94" s="10">
        <v>321860.28000000003</v>
      </c>
      <c r="E94" s="8" t="s">
        <v>21</v>
      </c>
      <c r="F94" s="8" t="s">
        <v>306</v>
      </c>
    </row>
    <row r="95" spans="1:6" ht="15" customHeight="1" x14ac:dyDescent="0.3">
      <c r="A95" s="8">
        <v>13</v>
      </c>
      <c r="B95" s="34" t="s">
        <v>1694</v>
      </c>
      <c r="C95" s="8">
        <v>2025</v>
      </c>
      <c r="D95" s="10">
        <v>317796.61</v>
      </c>
      <c r="E95" s="8" t="s">
        <v>38</v>
      </c>
      <c r="F95" s="8" t="s">
        <v>1696</v>
      </c>
    </row>
    <row r="96" spans="1:6" ht="15" customHeight="1" x14ac:dyDescent="0.3">
      <c r="A96" s="8">
        <v>14</v>
      </c>
      <c r="B96" s="34" t="s">
        <v>1525</v>
      </c>
      <c r="C96" s="8">
        <v>2025</v>
      </c>
      <c r="D96" s="10">
        <v>256513.28</v>
      </c>
      <c r="E96" s="8" t="s">
        <v>21</v>
      </c>
      <c r="F96" s="8" t="s">
        <v>23</v>
      </c>
    </row>
    <row r="97" spans="1:6" ht="15" customHeight="1" x14ac:dyDescent="0.3">
      <c r="A97" s="8">
        <v>15</v>
      </c>
      <c r="B97" s="34" t="s">
        <v>1647</v>
      </c>
      <c r="C97" s="8">
        <v>2025</v>
      </c>
      <c r="D97" s="10">
        <v>226880.03</v>
      </c>
      <c r="E97" s="8" t="s">
        <v>38</v>
      </c>
      <c r="F97" s="8" t="s">
        <v>306</v>
      </c>
    </row>
    <row r="98" spans="1:6" ht="15" customHeight="1" x14ac:dyDescent="0.3">
      <c r="A98" s="8">
        <v>16</v>
      </c>
      <c r="B98" s="34" t="s">
        <v>1627</v>
      </c>
      <c r="C98" s="8">
        <v>2025</v>
      </c>
      <c r="D98" s="10">
        <v>222254</v>
      </c>
      <c r="E98" s="8" t="s">
        <v>38</v>
      </c>
      <c r="F98" s="8" t="s">
        <v>23</v>
      </c>
    </row>
    <row r="99" spans="1:6" ht="15" customHeight="1" x14ac:dyDescent="0.3">
      <c r="A99" s="8">
        <v>17</v>
      </c>
      <c r="B99" s="34" t="s">
        <v>1797</v>
      </c>
      <c r="C99" s="8">
        <v>2026</v>
      </c>
      <c r="D99" s="10">
        <v>206089.67</v>
      </c>
      <c r="E99" s="8" t="s">
        <v>21</v>
      </c>
      <c r="F99" s="8" t="s">
        <v>141</v>
      </c>
    </row>
    <row r="100" spans="1:6" ht="15" customHeight="1" x14ac:dyDescent="0.3">
      <c r="A100" s="8">
        <v>18</v>
      </c>
      <c r="B100" s="34" t="s">
        <v>1743</v>
      </c>
      <c r="C100" s="8">
        <v>2026</v>
      </c>
      <c r="D100" s="10">
        <v>203678.39</v>
      </c>
      <c r="E100" s="8" t="s">
        <v>38</v>
      </c>
      <c r="F100" s="8" t="s">
        <v>23</v>
      </c>
    </row>
    <row r="101" spans="1:6" ht="15" customHeight="1" x14ac:dyDescent="0.3">
      <c r="A101" s="8">
        <v>19</v>
      </c>
      <c r="B101" s="34" t="s">
        <v>1566</v>
      </c>
      <c r="C101" s="8">
        <v>2025</v>
      </c>
      <c r="D101" s="10">
        <v>189851.72</v>
      </c>
      <c r="E101" s="8" t="s">
        <v>107</v>
      </c>
      <c r="F101" s="8" t="s">
        <v>538</v>
      </c>
    </row>
    <row r="102" spans="1:6" ht="15" customHeight="1" x14ac:dyDescent="0.3">
      <c r="A102" s="8">
        <v>20</v>
      </c>
      <c r="B102" s="34" t="s">
        <v>1522</v>
      </c>
      <c r="C102" s="8">
        <v>2025</v>
      </c>
      <c r="D102" s="10">
        <v>175587.99</v>
      </c>
      <c r="E102" s="8" t="s">
        <v>107</v>
      </c>
      <c r="F102" s="8" t="s">
        <v>136</v>
      </c>
    </row>
    <row r="103" spans="1:6" ht="15" customHeight="1" x14ac:dyDescent="0.3">
      <c r="A103" s="8">
        <v>21</v>
      </c>
      <c r="B103" s="34" t="s">
        <v>1563</v>
      </c>
      <c r="C103" s="8">
        <v>2025</v>
      </c>
      <c r="D103" s="10">
        <v>117308</v>
      </c>
      <c r="E103" s="8" t="s">
        <v>107</v>
      </c>
      <c r="F103" s="8" t="s">
        <v>23</v>
      </c>
    </row>
    <row r="104" spans="1:6" ht="15" customHeight="1" x14ac:dyDescent="0.3">
      <c r="A104" s="8">
        <v>22</v>
      </c>
      <c r="B104" s="34" t="s">
        <v>1801</v>
      </c>
      <c r="C104" s="8">
        <v>2026</v>
      </c>
      <c r="D104" s="10">
        <v>110710</v>
      </c>
      <c r="E104" s="8" t="s">
        <v>21</v>
      </c>
      <c r="F104" s="8" t="s">
        <v>23</v>
      </c>
    </row>
    <row r="105" spans="1:6" ht="15" customHeight="1" x14ac:dyDescent="0.3">
      <c r="A105" s="8">
        <v>23</v>
      </c>
      <c r="B105" s="34" t="s">
        <v>1861</v>
      </c>
      <c r="C105" s="8">
        <v>2026</v>
      </c>
      <c r="D105" s="10">
        <v>106047.18</v>
      </c>
      <c r="E105" s="8" t="s">
        <v>38</v>
      </c>
      <c r="F105" s="8" t="s">
        <v>23</v>
      </c>
    </row>
    <row r="106" spans="1:6" ht="15" customHeight="1" x14ac:dyDescent="0.3">
      <c r="A106" s="8">
        <v>24</v>
      </c>
      <c r="B106" s="34" t="s">
        <v>1809</v>
      </c>
      <c r="C106" s="8">
        <v>2026</v>
      </c>
      <c r="D106" s="10">
        <v>101933.16</v>
      </c>
      <c r="E106" s="8" t="s">
        <v>107</v>
      </c>
      <c r="F106" s="8" t="s">
        <v>23</v>
      </c>
    </row>
    <row r="107" spans="1:6" ht="15" customHeight="1" x14ac:dyDescent="0.3">
      <c r="A107" s="8">
        <v>25</v>
      </c>
      <c r="B107" s="34" t="s">
        <v>1651</v>
      </c>
      <c r="C107" s="8">
        <v>2025</v>
      </c>
      <c r="D107" s="10">
        <v>99000</v>
      </c>
      <c r="E107" s="8" t="s">
        <v>107</v>
      </c>
      <c r="F107" s="8" t="s">
        <v>23</v>
      </c>
    </row>
    <row r="108" spans="1:6" ht="15" customHeight="1" x14ac:dyDescent="0.3">
      <c r="A108" s="8">
        <v>26</v>
      </c>
      <c r="B108" s="34" t="s">
        <v>1621</v>
      </c>
      <c r="C108" s="8">
        <v>2025</v>
      </c>
      <c r="D108" s="10">
        <v>96847.02</v>
      </c>
      <c r="E108" s="8" t="s">
        <v>38</v>
      </c>
      <c r="F108" s="8" t="s">
        <v>23</v>
      </c>
    </row>
    <row r="109" spans="1:6" ht="15" customHeight="1" x14ac:dyDescent="0.3">
      <c r="A109" s="8">
        <v>27</v>
      </c>
      <c r="B109" s="34" t="s">
        <v>1767</v>
      </c>
      <c r="C109" s="8">
        <v>2026</v>
      </c>
      <c r="D109" s="10">
        <v>61715.57</v>
      </c>
      <c r="E109" s="8" t="s">
        <v>21</v>
      </c>
      <c r="F109" s="8" t="s">
        <v>23</v>
      </c>
    </row>
    <row r="110" spans="1:6" ht="15" customHeight="1" x14ac:dyDescent="0.3">
      <c r="A110" s="8">
        <v>28</v>
      </c>
      <c r="B110" s="34" t="s">
        <v>1580</v>
      </c>
      <c r="C110" s="8">
        <v>2025</v>
      </c>
      <c r="D110" s="10">
        <v>43600.44</v>
      </c>
      <c r="E110" s="8" t="s">
        <v>38</v>
      </c>
      <c r="F110" s="8" t="s">
        <v>306</v>
      </c>
    </row>
    <row r="111" spans="1:6" ht="15" customHeight="1" x14ac:dyDescent="0.3">
      <c r="A111" s="8">
        <v>29</v>
      </c>
      <c r="B111" s="34" t="s">
        <v>1757</v>
      </c>
      <c r="C111" s="8">
        <v>2026</v>
      </c>
      <c r="D111" s="10">
        <v>43470</v>
      </c>
      <c r="E111" s="8" t="s">
        <v>107</v>
      </c>
      <c r="F111" s="8" t="s">
        <v>23</v>
      </c>
    </row>
    <row r="112" spans="1:6" ht="15" customHeight="1" x14ac:dyDescent="0.3">
      <c r="A112" s="8">
        <v>30</v>
      </c>
      <c r="B112" s="34" t="s">
        <v>1689</v>
      </c>
      <c r="C112" s="8">
        <v>2025</v>
      </c>
      <c r="D112" s="10">
        <v>33598.01</v>
      </c>
      <c r="E112" s="8" t="s">
        <v>21</v>
      </c>
      <c r="F112" s="8" t="s">
        <v>23</v>
      </c>
    </row>
    <row r="113" spans="1:6" ht="15" customHeight="1" x14ac:dyDescent="0.3">
      <c r="A113" s="8">
        <v>31</v>
      </c>
      <c r="B113" s="34" t="s">
        <v>1537</v>
      </c>
      <c r="C113" s="8">
        <v>2025</v>
      </c>
      <c r="D113" s="10">
        <v>25500</v>
      </c>
      <c r="E113" s="8" t="s">
        <v>38</v>
      </c>
      <c r="F113" s="8" t="s">
        <v>306</v>
      </c>
    </row>
    <row r="114" spans="1:6" ht="15" customHeight="1" x14ac:dyDescent="0.3">
      <c r="A114" s="8">
        <v>32</v>
      </c>
      <c r="B114" s="34" t="s">
        <v>1842</v>
      </c>
      <c r="C114" s="8">
        <v>2026</v>
      </c>
      <c r="D114" s="10">
        <v>17671.66</v>
      </c>
      <c r="E114" s="8" t="s">
        <v>38</v>
      </c>
      <c r="F114" s="8" t="s">
        <v>49</v>
      </c>
    </row>
    <row r="115" spans="1:6" ht="15" customHeight="1" x14ac:dyDescent="0.3">
      <c r="A115" s="8">
        <v>33</v>
      </c>
      <c r="B115" s="34" t="s">
        <v>1877</v>
      </c>
      <c r="C115" s="8">
        <v>2026</v>
      </c>
      <c r="D115" s="10">
        <v>2310</v>
      </c>
      <c r="E115" s="8" t="s">
        <v>38</v>
      </c>
      <c r="F115" s="8" t="s">
        <v>23</v>
      </c>
    </row>
    <row r="116" spans="1:6" ht="15" customHeight="1" x14ac:dyDescent="0.3">
      <c r="A116" s="8">
        <v>34</v>
      </c>
      <c r="B116" s="34" t="s">
        <v>1589</v>
      </c>
      <c r="C116" s="8">
        <v>2025</v>
      </c>
      <c r="D116" s="10">
        <v>2200</v>
      </c>
      <c r="E116" s="8" t="s">
        <v>38</v>
      </c>
      <c r="F116" s="8" t="s">
        <v>23</v>
      </c>
    </row>
    <row r="117" spans="1:6" ht="15" customHeight="1" x14ac:dyDescent="0.3">
      <c r="A117" s="25"/>
      <c r="B117" s="25" t="s">
        <v>1954</v>
      </c>
      <c r="C117" s="25"/>
      <c r="D117" s="26">
        <v>26751801.441283099</v>
      </c>
      <c r="E117" s="25"/>
      <c r="F117" s="27">
        <v>0.42317429316302402</v>
      </c>
    </row>
  </sheetData>
  <mergeCells count="2">
    <mergeCell ref="A1:G1"/>
    <mergeCell ref="A80:F8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topLeftCell="A61" zoomScaleNormal="100" workbookViewId="0">
      <selection sqref="A1:D1"/>
    </sheetView>
  </sheetViews>
  <sheetFormatPr baseColWidth="10" defaultColWidth="8.6640625" defaultRowHeight="14.4" x14ac:dyDescent="0.3"/>
  <cols>
    <col min="1" max="1" width="16" customWidth="1"/>
    <col min="2" max="2" width="48" customWidth="1"/>
    <col min="3" max="6" width="16" customWidth="1"/>
  </cols>
  <sheetData>
    <row r="1" spans="1:4" ht="15" customHeight="1" x14ac:dyDescent="0.3">
      <c r="A1" s="69" t="s">
        <v>1955</v>
      </c>
      <c r="B1" s="69"/>
      <c r="C1" s="69"/>
      <c r="D1" s="69"/>
    </row>
    <row r="3" spans="1:4" ht="17.25" customHeight="1" x14ac:dyDescent="0.3">
      <c r="A3" s="5" t="s">
        <v>1956</v>
      </c>
      <c r="B3" s="35">
        <v>255</v>
      </c>
    </row>
    <row r="5" spans="1:4" ht="15" customHeight="1" x14ac:dyDescent="0.3">
      <c r="A5" s="7" t="s">
        <v>0</v>
      </c>
      <c r="B5" s="7" t="s">
        <v>1957</v>
      </c>
      <c r="C5" s="7" t="s">
        <v>1958</v>
      </c>
      <c r="D5" s="7" t="s">
        <v>1959</v>
      </c>
    </row>
    <row r="6" spans="1:4" ht="15" customHeight="1" x14ac:dyDescent="0.3">
      <c r="A6" s="9">
        <v>2014</v>
      </c>
      <c r="B6" s="8">
        <v>87</v>
      </c>
      <c r="C6" s="10">
        <v>14220366.800000001</v>
      </c>
      <c r="D6" s="10">
        <v>163452.49195402299</v>
      </c>
    </row>
    <row r="7" spans="1:4" ht="15" customHeight="1" x14ac:dyDescent="0.3">
      <c r="A7" s="9">
        <v>2015</v>
      </c>
      <c r="B7" s="8">
        <v>42</v>
      </c>
      <c r="C7" s="10">
        <v>10355990.449999999</v>
      </c>
      <c r="D7" s="10">
        <v>246571.20119047599</v>
      </c>
    </row>
    <row r="8" spans="1:4" ht="15" customHeight="1" x14ac:dyDescent="0.3">
      <c r="A8" s="9">
        <v>2016</v>
      </c>
      <c r="B8" s="8">
        <v>42</v>
      </c>
      <c r="C8" s="10">
        <v>13090132.1647305</v>
      </c>
      <c r="D8" s="10">
        <v>311669.813445965</v>
      </c>
    </row>
    <row r="9" spans="1:4" ht="15" customHeight="1" x14ac:dyDescent="0.3">
      <c r="A9" s="9">
        <v>2017</v>
      </c>
      <c r="B9" s="8">
        <v>53</v>
      </c>
      <c r="C9" s="10">
        <v>12892019.1120099</v>
      </c>
      <c r="D9" s="10">
        <v>243245.64362282801</v>
      </c>
    </row>
    <row r="10" spans="1:4" ht="15" customHeight="1" x14ac:dyDescent="0.3">
      <c r="A10" s="9">
        <v>2018</v>
      </c>
      <c r="B10" s="8">
        <v>47</v>
      </c>
      <c r="C10" s="10">
        <v>22696032.98</v>
      </c>
      <c r="D10" s="10">
        <v>482894.31872340402</v>
      </c>
    </row>
    <row r="11" spans="1:4" ht="15" customHeight="1" x14ac:dyDescent="0.3">
      <c r="A11" s="9">
        <v>2019</v>
      </c>
      <c r="B11" s="8">
        <v>43</v>
      </c>
      <c r="C11" s="10">
        <v>13980476.834848501</v>
      </c>
      <c r="D11" s="10">
        <v>325127.36825229001</v>
      </c>
    </row>
    <row r="12" spans="1:4" ht="15" customHeight="1" x14ac:dyDescent="0.3">
      <c r="A12" s="9">
        <v>2020</v>
      </c>
      <c r="B12" s="8">
        <v>53</v>
      </c>
      <c r="C12" s="10">
        <v>20124782.879999999</v>
      </c>
      <c r="D12" s="10">
        <v>379712.88452830201</v>
      </c>
    </row>
    <row r="13" spans="1:4" ht="15" customHeight="1" x14ac:dyDescent="0.3">
      <c r="A13" s="9">
        <v>2021</v>
      </c>
      <c r="B13" s="8">
        <v>55</v>
      </c>
      <c r="C13" s="10">
        <v>20310541.204840802</v>
      </c>
      <c r="D13" s="10">
        <v>369282.56736074103</v>
      </c>
    </row>
    <row r="14" spans="1:4" ht="15" customHeight="1" x14ac:dyDescent="0.3">
      <c r="A14" s="9">
        <v>2022</v>
      </c>
      <c r="B14" s="8">
        <v>51</v>
      </c>
      <c r="C14" s="10">
        <v>33199764.602007098</v>
      </c>
      <c r="D14" s="10">
        <v>650975.776509944</v>
      </c>
    </row>
    <row r="15" spans="1:4" ht="15" customHeight="1" x14ac:dyDescent="0.3">
      <c r="A15" s="9">
        <v>2023</v>
      </c>
      <c r="B15" s="8">
        <v>41</v>
      </c>
      <c r="C15" s="10">
        <v>15289374.850201599</v>
      </c>
      <c r="D15" s="10">
        <v>372911.58171223302</v>
      </c>
    </row>
    <row r="16" spans="1:4" ht="15" customHeight="1" x14ac:dyDescent="0.3">
      <c r="A16" s="9">
        <v>2024</v>
      </c>
      <c r="B16" s="8">
        <v>46</v>
      </c>
      <c r="C16" s="10">
        <v>15451149.331694899</v>
      </c>
      <c r="D16" s="10">
        <v>335894.55068902002</v>
      </c>
    </row>
    <row r="17" spans="1:6" ht="15" customHeight="1" x14ac:dyDescent="0.3">
      <c r="A17" s="9">
        <v>2025</v>
      </c>
      <c r="B17" s="8">
        <v>49</v>
      </c>
      <c r="C17" s="10">
        <v>34956324.380660199</v>
      </c>
      <c r="D17" s="10">
        <v>713394.37511551403</v>
      </c>
    </row>
    <row r="18" spans="1:6" ht="15" customHeight="1" x14ac:dyDescent="0.3">
      <c r="A18" s="9">
        <v>2026</v>
      </c>
      <c r="B18" s="8">
        <v>46</v>
      </c>
      <c r="C18" s="10">
        <v>28260657.07</v>
      </c>
      <c r="D18" s="10">
        <v>614362.11021739105</v>
      </c>
    </row>
    <row r="19" spans="1:6" ht="15" customHeight="1" x14ac:dyDescent="0.3">
      <c r="A19" s="25" t="s">
        <v>1913</v>
      </c>
      <c r="B19" s="25">
        <v>255</v>
      </c>
      <c r="C19" s="26">
        <v>254827612.66099301</v>
      </c>
      <c r="D19" s="26">
        <v>999323.97121958202</v>
      </c>
    </row>
    <row r="22" spans="1:6" ht="15" customHeight="1" x14ac:dyDescent="0.3">
      <c r="A22" s="69" t="s">
        <v>1960</v>
      </c>
      <c r="B22" s="69"/>
      <c r="C22" s="69"/>
      <c r="D22" s="69"/>
      <c r="E22" s="69"/>
      <c r="F22" s="69"/>
    </row>
    <row r="24" spans="1:6" ht="15" customHeight="1" x14ac:dyDescent="0.3">
      <c r="A24" s="7" t="s">
        <v>1961</v>
      </c>
      <c r="B24" s="7" t="s">
        <v>3</v>
      </c>
      <c r="C24" s="7" t="s">
        <v>1962</v>
      </c>
      <c r="D24" s="7" t="s">
        <v>1963</v>
      </c>
      <c r="E24" s="7" t="s">
        <v>1964</v>
      </c>
      <c r="F24" s="7" t="s">
        <v>1965</v>
      </c>
    </row>
    <row r="25" spans="1:6" ht="15" customHeight="1" x14ac:dyDescent="0.3">
      <c r="A25" s="9">
        <v>1</v>
      </c>
      <c r="B25" s="6" t="s">
        <v>40</v>
      </c>
      <c r="C25" s="10">
        <v>14074373.949999999</v>
      </c>
      <c r="D25" s="17">
        <v>5.5230961052575002E-2</v>
      </c>
      <c r="E25" s="8">
        <v>10</v>
      </c>
      <c r="F25" s="8">
        <v>2026</v>
      </c>
    </row>
    <row r="26" spans="1:6" ht="15" customHeight="1" x14ac:dyDescent="0.3">
      <c r="A26" s="9">
        <v>2</v>
      </c>
      <c r="B26" s="6" t="s">
        <v>675</v>
      </c>
      <c r="C26" s="10">
        <v>12027997.43</v>
      </c>
      <c r="D26" s="17">
        <v>4.7200526286769802E-2</v>
      </c>
      <c r="E26" s="8">
        <v>9</v>
      </c>
      <c r="F26" s="8">
        <v>2025</v>
      </c>
    </row>
    <row r="27" spans="1:6" ht="15" customHeight="1" x14ac:dyDescent="0.3">
      <c r="A27" s="9">
        <v>3</v>
      </c>
      <c r="B27" s="6" t="s">
        <v>45</v>
      </c>
      <c r="C27" s="10">
        <v>11318012.8477966</v>
      </c>
      <c r="D27" s="17">
        <v>4.4414389514582903E-2</v>
      </c>
      <c r="E27" s="8">
        <v>12</v>
      </c>
      <c r="F27" s="8">
        <v>2026</v>
      </c>
    </row>
    <row r="28" spans="1:6" ht="15" customHeight="1" x14ac:dyDescent="0.3">
      <c r="A28" s="9">
        <v>4</v>
      </c>
      <c r="B28" s="6" t="s">
        <v>155</v>
      </c>
      <c r="C28" s="10">
        <v>10204952.91</v>
      </c>
      <c r="D28" s="17">
        <v>4.0046495760159298E-2</v>
      </c>
      <c r="E28" s="8">
        <v>10</v>
      </c>
      <c r="F28" s="8">
        <v>2025</v>
      </c>
    </row>
    <row r="29" spans="1:6" ht="15" customHeight="1" x14ac:dyDescent="0.3">
      <c r="A29" s="9">
        <v>5</v>
      </c>
      <c r="B29" s="6" t="s">
        <v>1737</v>
      </c>
      <c r="C29" s="10">
        <v>10141560.130000001</v>
      </c>
      <c r="D29" s="17">
        <v>3.9797728449042502E-2</v>
      </c>
      <c r="E29" s="8">
        <v>1</v>
      </c>
      <c r="F29" s="8">
        <v>2026</v>
      </c>
    </row>
    <row r="30" spans="1:6" ht="15" customHeight="1" x14ac:dyDescent="0.3">
      <c r="A30" s="9">
        <v>6</v>
      </c>
      <c r="B30" s="6" t="s">
        <v>61</v>
      </c>
      <c r="C30" s="10">
        <v>10047517.0211864</v>
      </c>
      <c r="D30" s="17">
        <v>3.9428682458180202E-2</v>
      </c>
      <c r="E30" s="8">
        <v>12</v>
      </c>
      <c r="F30" s="8">
        <v>2026</v>
      </c>
    </row>
    <row r="31" spans="1:6" ht="15" customHeight="1" x14ac:dyDescent="0.3">
      <c r="A31" s="9">
        <v>7</v>
      </c>
      <c r="B31" s="6" t="s">
        <v>47</v>
      </c>
      <c r="C31" s="10">
        <v>7592460.3899999997</v>
      </c>
      <c r="D31" s="17">
        <v>2.9794496407657901E-2</v>
      </c>
      <c r="E31" s="8">
        <v>10</v>
      </c>
      <c r="F31" s="8">
        <v>2026</v>
      </c>
    </row>
    <row r="32" spans="1:6" ht="15" customHeight="1" x14ac:dyDescent="0.3">
      <c r="A32" s="9">
        <v>8</v>
      </c>
      <c r="B32" s="6" t="s">
        <v>1007</v>
      </c>
      <c r="C32" s="10">
        <v>7494665.73271186</v>
      </c>
      <c r="D32" s="17">
        <v>2.9410728509560301E-2</v>
      </c>
      <c r="E32" s="8">
        <v>5</v>
      </c>
      <c r="F32" s="8">
        <v>2026</v>
      </c>
    </row>
    <row r="33" spans="1:6" ht="15" customHeight="1" x14ac:dyDescent="0.3">
      <c r="A33" s="9">
        <v>9</v>
      </c>
      <c r="B33" s="6" t="s">
        <v>746</v>
      </c>
      <c r="C33" s="10">
        <v>6191500.5817002198</v>
      </c>
      <c r="D33" s="17">
        <v>2.4296819787489099E-2</v>
      </c>
      <c r="E33" s="8">
        <v>8</v>
      </c>
      <c r="F33" s="8">
        <v>2025</v>
      </c>
    </row>
    <row r="34" spans="1:6" ht="15" customHeight="1" x14ac:dyDescent="0.3">
      <c r="A34" s="9">
        <v>10</v>
      </c>
      <c r="B34" s="6" t="s">
        <v>1118</v>
      </c>
      <c r="C34" s="10">
        <v>5993440.8619194003</v>
      </c>
      <c r="D34" s="17">
        <v>2.3519589574041599E-2</v>
      </c>
      <c r="E34" s="8">
        <v>4</v>
      </c>
      <c r="F34" s="8">
        <v>2025</v>
      </c>
    </row>
    <row r="35" spans="1:6" ht="15" customHeight="1" x14ac:dyDescent="0.3">
      <c r="A35" s="9">
        <v>11</v>
      </c>
      <c r="B35" s="6" t="s">
        <v>1003</v>
      </c>
      <c r="C35" s="10">
        <v>5621736.3899999997</v>
      </c>
      <c r="D35" s="17">
        <v>2.2060938888435199E-2</v>
      </c>
      <c r="E35" s="8">
        <v>2</v>
      </c>
      <c r="F35" s="8">
        <v>2026</v>
      </c>
    </row>
    <row r="36" spans="1:6" ht="15" customHeight="1" x14ac:dyDescent="0.3">
      <c r="A36" s="9">
        <v>12</v>
      </c>
      <c r="B36" s="6" t="s">
        <v>749</v>
      </c>
      <c r="C36" s="10">
        <v>5187381.9406779697</v>
      </c>
      <c r="D36" s="17">
        <v>2.03564358136453E-2</v>
      </c>
      <c r="E36" s="8">
        <v>6</v>
      </c>
      <c r="F36" s="8">
        <v>2025</v>
      </c>
    </row>
    <row r="37" spans="1:6" ht="15" customHeight="1" x14ac:dyDescent="0.3">
      <c r="A37" s="9">
        <v>13</v>
      </c>
      <c r="B37" s="6" t="s">
        <v>485</v>
      </c>
      <c r="C37" s="10">
        <v>5033322.59</v>
      </c>
      <c r="D37" s="17">
        <v>1.97518727952611E-2</v>
      </c>
      <c r="E37" s="8">
        <v>7</v>
      </c>
      <c r="F37" s="8">
        <v>2021</v>
      </c>
    </row>
    <row r="38" spans="1:6" ht="15" customHeight="1" x14ac:dyDescent="0.3">
      <c r="A38" s="9">
        <v>14</v>
      </c>
      <c r="B38" s="6" t="s">
        <v>69</v>
      </c>
      <c r="C38" s="10">
        <v>4637686.0698305098</v>
      </c>
      <c r="D38" s="17">
        <v>1.8199307451034302E-2</v>
      </c>
      <c r="E38" s="8">
        <v>10</v>
      </c>
      <c r="F38" s="8">
        <v>2026</v>
      </c>
    </row>
    <row r="39" spans="1:6" ht="15" customHeight="1" x14ac:dyDescent="0.3">
      <c r="A39" s="9">
        <v>15</v>
      </c>
      <c r="B39" s="6" t="s">
        <v>779</v>
      </c>
      <c r="C39" s="10">
        <v>4364401.95</v>
      </c>
      <c r="D39" s="17">
        <v>1.7126880028523899E-2</v>
      </c>
      <c r="E39" s="8">
        <v>4</v>
      </c>
      <c r="F39" s="8">
        <v>2024</v>
      </c>
    </row>
    <row r="40" spans="1:6" ht="15" customHeight="1" x14ac:dyDescent="0.3">
      <c r="A40" s="9">
        <v>16</v>
      </c>
      <c r="B40" s="6" t="s">
        <v>786</v>
      </c>
      <c r="C40" s="10">
        <v>4160486.5079660998</v>
      </c>
      <c r="D40" s="17">
        <v>1.63266706638301E-2</v>
      </c>
      <c r="E40" s="8">
        <v>6</v>
      </c>
      <c r="F40" s="8">
        <v>2025</v>
      </c>
    </row>
    <row r="41" spans="1:6" ht="15" customHeight="1" x14ac:dyDescent="0.3">
      <c r="A41" s="9">
        <v>17</v>
      </c>
      <c r="B41" s="6" t="s">
        <v>103</v>
      </c>
      <c r="C41" s="10">
        <v>4147334.4406779702</v>
      </c>
      <c r="D41" s="17">
        <v>1.62750590384227E-2</v>
      </c>
      <c r="E41" s="8">
        <v>8</v>
      </c>
      <c r="F41" s="8">
        <v>2026</v>
      </c>
    </row>
    <row r="42" spans="1:6" ht="15" customHeight="1" x14ac:dyDescent="0.3">
      <c r="A42" s="9">
        <v>18</v>
      </c>
      <c r="B42" s="6" t="s">
        <v>36</v>
      </c>
      <c r="C42" s="10">
        <v>4010894.81</v>
      </c>
      <c r="D42" s="17">
        <v>1.5739639704335499E-2</v>
      </c>
      <c r="E42" s="8">
        <v>8</v>
      </c>
      <c r="F42" s="8">
        <v>2026</v>
      </c>
    </row>
    <row r="43" spans="1:6" ht="15" customHeight="1" x14ac:dyDescent="0.3">
      <c r="A43" s="9">
        <v>19</v>
      </c>
      <c r="B43" s="6" t="s">
        <v>30</v>
      </c>
      <c r="C43" s="10">
        <v>3930939.6130508501</v>
      </c>
      <c r="D43" s="17">
        <v>1.54258778003007E-2</v>
      </c>
      <c r="E43" s="8">
        <v>10</v>
      </c>
      <c r="F43" s="8">
        <v>2026</v>
      </c>
    </row>
    <row r="44" spans="1:6" ht="15" customHeight="1" x14ac:dyDescent="0.3">
      <c r="A44" s="9">
        <v>20</v>
      </c>
      <c r="B44" s="6" t="s">
        <v>1658</v>
      </c>
      <c r="C44" s="10">
        <v>3632242.2295882101</v>
      </c>
      <c r="D44" s="17">
        <v>1.4253723101900701E-2</v>
      </c>
      <c r="E44" s="8">
        <v>2</v>
      </c>
      <c r="F44" s="8">
        <v>2026</v>
      </c>
    </row>
    <row r="45" spans="1:6" ht="15" customHeight="1" x14ac:dyDescent="0.3">
      <c r="A45" s="25"/>
      <c r="B45" s="25" t="s">
        <v>1966</v>
      </c>
      <c r="C45" s="26">
        <v>139812908.39710599</v>
      </c>
      <c r="D45" s="27">
        <v>0.54865682308574804</v>
      </c>
    </row>
    <row r="48" spans="1:6" ht="15" customHeight="1" x14ac:dyDescent="0.3">
      <c r="A48" s="69" t="s">
        <v>1967</v>
      </c>
      <c r="B48" s="69"/>
      <c r="C48" s="69"/>
      <c r="D48" s="69"/>
      <c r="E48" s="69"/>
      <c r="F48" s="69"/>
    </row>
    <row r="50" spans="1:6" ht="15" customHeight="1" x14ac:dyDescent="0.3">
      <c r="A50" s="7" t="s">
        <v>1961</v>
      </c>
      <c r="B50" s="7" t="s">
        <v>3</v>
      </c>
      <c r="C50" s="7" t="s">
        <v>1968</v>
      </c>
      <c r="D50" s="7" t="s">
        <v>1969</v>
      </c>
      <c r="E50" s="7" t="s">
        <v>1953</v>
      </c>
      <c r="F50" s="7" t="s">
        <v>1970</v>
      </c>
    </row>
    <row r="51" spans="1:6" ht="15" customHeight="1" x14ac:dyDescent="0.3">
      <c r="A51" s="9">
        <v>1</v>
      </c>
      <c r="B51" s="6" t="s">
        <v>1737</v>
      </c>
      <c r="C51" s="10">
        <v>10141560.130000001</v>
      </c>
      <c r="D51" s="17">
        <v>0.16042461846925299</v>
      </c>
      <c r="E51" s="8" t="s">
        <v>38</v>
      </c>
      <c r="F51" s="36" t="s">
        <v>1971</v>
      </c>
    </row>
    <row r="52" spans="1:6" ht="15" customHeight="1" x14ac:dyDescent="0.3">
      <c r="A52" s="9">
        <v>2</v>
      </c>
      <c r="B52" s="6" t="s">
        <v>45</v>
      </c>
      <c r="C52" s="10">
        <v>4485901.0077966098</v>
      </c>
      <c r="D52" s="17">
        <v>7.0960379709015101E-2</v>
      </c>
      <c r="E52" s="8" t="s">
        <v>38</v>
      </c>
      <c r="F52" s="8" t="s">
        <v>1972</v>
      </c>
    </row>
    <row r="53" spans="1:6" ht="15" customHeight="1" x14ac:dyDescent="0.3">
      <c r="A53" s="9">
        <v>3</v>
      </c>
      <c r="B53" s="6" t="s">
        <v>40</v>
      </c>
      <c r="C53" s="10">
        <v>4450000</v>
      </c>
      <c r="D53" s="17">
        <v>7.0392478379771306E-2</v>
      </c>
      <c r="E53" s="8" t="s">
        <v>21</v>
      </c>
      <c r="F53" s="8" t="s">
        <v>1972</v>
      </c>
    </row>
    <row r="54" spans="1:6" ht="15" customHeight="1" x14ac:dyDescent="0.3">
      <c r="A54" s="9">
        <v>4</v>
      </c>
      <c r="B54" s="6" t="s">
        <v>103</v>
      </c>
      <c r="C54" s="10">
        <v>4008997.0406779698</v>
      </c>
      <c r="D54" s="17">
        <v>6.3416457867526102E-2</v>
      </c>
      <c r="E54" s="8" t="s">
        <v>38</v>
      </c>
      <c r="F54" s="8" t="s">
        <v>1972</v>
      </c>
    </row>
    <row r="55" spans="1:6" ht="15" customHeight="1" x14ac:dyDescent="0.3">
      <c r="A55" s="9">
        <v>5</v>
      </c>
      <c r="B55" s="6" t="s">
        <v>1658</v>
      </c>
      <c r="C55" s="10">
        <v>3632242.2295882101</v>
      </c>
      <c r="D55" s="17">
        <v>5.7456748902557399E-2</v>
      </c>
      <c r="E55" s="8" t="s">
        <v>21</v>
      </c>
      <c r="F55" s="36" t="s">
        <v>1971</v>
      </c>
    </row>
    <row r="56" spans="1:6" ht="15" customHeight="1" x14ac:dyDescent="0.3">
      <c r="A56" s="9">
        <v>6</v>
      </c>
      <c r="B56" s="6" t="s">
        <v>1007</v>
      </c>
      <c r="C56" s="10">
        <v>3356000.72355932</v>
      </c>
      <c r="D56" s="17">
        <v>5.3087013118122799E-2</v>
      </c>
      <c r="E56" s="8" t="s">
        <v>38</v>
      </c>
      <c r="F56" s="8" t="s">
        <v>1972</v>
      </c>
    </row>
    <row r="57" spans="1:6" ht="15" customHeight="1" x14ac:dyDescent="0.3">
      <c r="A57" s="9">
        <v>7</v>
      </c>
      <c r="B57" s="6" t="s">
        <v>1003</v>
      </c>
      <c r="C57" s="10">
        <v>3162368.75</v>
      </c>
      <c r="D57" s="17">
        <v>5.0024039070390901E-2</v>
      </c>
      <c r="E57" s="8" t="s">
        <v>38</v>
      </c>
      <c r="F57" s="8" t="s">
        <v>1972</v>
      </c>
    </row>
    <row r="58" spans="1:6" ht="15" customHeight="1" x14ac:dyDescent="0.3">
      <c r="A58" s="9">
        <v>8</v>
      </c>
      <c r="B58" s="6" t="s">
        <v>1622</v>
      </c>
      <c r="C58" s="10">
        <v>2949135.63</v>
      </c>
      <c r="D58" s="17">
        <v>4.6651003612087301E-2</v>
      </c>
      <c r="E58" s="8" t="s">
        <v>38</v>
      </c>
      <c r="F58" s="36" t="s">
        <v>1971</v>
      </c>
    </row>
    <row r="59" spans="1:6" ht="15" customHeight="1" x14ac:dyDescent="0.3">
      <c r="A59" s="9">
        <v>9</v>
      </c>
      <c r="B59" s="6" t="s">
        <v>47</v>
      </c>
      <c r="C59" s="10">
        <v>2072732.8</v>
      </c>
      <c r="D59" s="17">
        <v>3.27875952384366E-2</v>
      </c>
      <c r="E59" s="8" t="s">
        <v>38</v>
      </c>
      <c r="F59" s="8" t="s">
        <v>1972</v>
      </c>
    </row>
    <row r="60" spans="1:6" ht="15" customHeight="1" x14ac:dyDescent="0.3">
      <c r="A60" s="9">
        <v>10</v>
      </c>
      <c r="B60" s="6" t="s">
        <v>1868</v>
      </c>
      <c r="C60" s="10">
        <v>2034100.57</v>
      </c>
      <c r="D60" s="17">
        <v>3.2176489976630501E-2</v>
      </c>
      <c r="E60" s="8" t="s">
        <v>21</v>
      </c>
      <c r="F60" s="36" t="s">
        <v>1971</v>
      </c>
    </row>
    <row r="61" spans="1:6" ht="15" customHeight="1" x14ac:dyDescent="0.3">
      <c r="A61" s="9">
        <v>11</v>
      </c>
      <c r="B61" s="6" t="s">
        <v>61</v>
      </c>
      <c r="C61" s="10">
        <v>1629602.3311864401</v>
      </c>
      <c r="D61" s="17">
        <v>2.5777920643970002E-2</v>
      </c>
      <c r="E61" s="8" t="s">
        <v>21</v>
      </c>
      <c r="F61" s="8" t="s">
        <v>1972</v>
      </c>
    </row>
    <row r="62" spans="1:6" ht="15" customHeight="1" x14ac:dyDescent="0.3">
      <c r="A62" s="9">
        <v>12</v>
      </c>
      <c r="B62" s="6" t="s">
        <v>1118</v>
      </c>
      <c r="C62" s="10">
        <v>1490360.7241227899</v>
      </c>
      <c r="D62" s="17">
        <v>2.35753224833424E-2</v>
      </c>
      <c r="E62" s="8" t="s">
        <v>38</v>
      </c>
      <c r="F62" s="8" t="s">
        <v>1972</v>
      </c>
    </row>
    <row r="63" spans="1:6" ht="15" customHeight="1" x14ac:dyDescent="0.3">
      <c r="A63" s="9">
        <v>13</v>
      </c>
      <c r="B63" s="6" t="s">
        <v>1747</v>
      </c>
      <c r="C63" s="10">
        <v>1460000</v>
      </c>
      <c r="D63" s="17">
        <v>2.3095060322351899E-2</v>
      </c>
      <c r="E63" s="8" t="s">
        <v>21</v>
      </c>
      <c r="F63" s="36" t="s">
        <v>1971</v>
      </c>
    </row>
    <row r="64" spans="1:6" ht="15" customHeight="1" x14ac:dyDescent="0.3">
      <c r="A64" s="9">
        <v>14</v>
      </c>
      <c r="B64" s="6" t="s">
        <v>364</v>
      </c>
      <c r="C64" s="10">
        <v>1224885.8</v>
      </c>
      <c r="D64" s="17">
        <v>1.93758982458852E-2</v>
      </c>
      <c r="E64" s="8" t="s">
        <v>21</v>
      </c>
      <c r="F64" s="8" t="s">
        <v>1972</v>
      </c>
    </row>
    <row r="65" spans="1:6" ht="15" customHeight="1" x14ac:dyDescent="0.3">
      <c r="A65" s="9">
        <v>15</v>
      </c>
      <c r="B65" s="6" t="s">
        <v>69</v>
      </c>
      <c r="C65" s="10">
        <v>1088057.19983051</v>
      </c>
      <c r="D65" s="17">
        <v>1.7211470317982799E-2</v>
      </c>
      <c r="E65" s="8" t="s">
        <v>21</v>
      </c>
      <c r="F65" s="8" t="s">
        <v>1972</v>
      </c>
    </row>
    <row r="66" spans="1:6" ht="15" customHeight="1" x14ac:dyDescent="0.3">
      <c r="A66" s="9">
        <v>16</v>
      </c>
      <c r="B66" s="6" t="s">
        <v>786</v>
      </c>
      <c r="C66" s="10">
        <v>954731.06711864402</v>
      </c>
      <c r="D66" s="17">
        <v>1.51024462922798E-2</v>
      </c>
      <c r="E66" s="8" t="s">
        <v>38</v>
      </c>
      <c r="F66" s="8" t="s">
        <v>1972</v>
      </c>
    </row>
    <row r="67" spans="1:6" ht="15" customHeight="1" x14ac:dyDescent="0.3">
      <c r="A67" s="9">
        <v>17</v>
      </c>
      <c r="B67" s="6" t="s">
        <v>462</v>
      </c>
      <c r="C67" s="10">
        <v>910903.46610169497</v>
      </c>
      <c r="D67" s="17">
        <v>1.4409157874971301E-2</v>
      </c>
      <c r="E67" s="8" t="s">
        <v>21</v>
      </c>
      <c r="F67" s="8" t="s">
        <v>1972</v>
      </c>
    </row>
    <row r="68" spans="1:6" ht="15" customHeight="1" x14ac:dyDescent="0.3">
      <c r="A68" s="9">
        <v>18</v>
      </c>
      <c r="B68" s="6" t="s">
        <v>1642</v>
      </c>
      <c r="C68" s="10">
        <v>905597.47</v>
      </c>
      <c r="D68" s="17">
        <v>1.4325224792753E-2</v>
      </c>
      <c r="E68" s="8" t="s">
        <v>38</v>
      </c>
      <c r="F68" s="36" t="s">
        <v>1971</v>
      </c>
    </row>
    <row r="69" spans="1:6" ht="15" customHeight="1" x14ac:dyDescent="0.3">
      <c r="A69" s="9">
        <v>19</v>
      </c>
      <c r="B69" s="6" t="s">
        <v>1655</v>
      </c>
      <c r="C69" s="10">
        <v>853450.001694915</v>
      </c>
      <c r="D69" s="17">
        <v>1.3500328267983201E-2</v>
      </c>
      <c r="E69" s="8" t="s">
        <v>21</v>
      </c>
      <c r="F69" s="36" t="s">
        <v>1971</v>
      </c>
    </row>
    <row r="70" spans="1:6" ht="15" customHeight="1" x14ac:dyDescent="0.3">
      <c r="A70" s="9">
        <v>20</v>
      </c>
      <c r="B70" s="6" t="s">
        <v>675</v>
      </c>
      <c r="C70" s="10">
        <v>817031.34</v>
      </c>
      <c r="D70" s="17">
        <v>1.2924238412706899E-2</v>
      </c>
      <c r="E70" s="8" t="s">
        <v>38</v>
      </c>
      <c r="F70" s="8" t="s">
        <v>1972</v>
      </c>
    </row>
    <row r="71" spans="1:6" ht="15" customHeight="1" x14ac:dyDescent="0.3">
      <c r="A71" s="25"/>
      <c r="B71" s="25" t="s">
        <v>1966</v>
      </c>
      <c r="C71" s="26">
        <v>51627658.281677097</v>
      </c>
      <c r="D71" s="27">
        <v>0.81667389199801799</v>
      </c>
    </row>
  </sheetData>
  <mergeCells count="3">
    <mergeCell ref="A1:D1"/>
    <mergeCell ref="A22:F22"/>
    <mergeCell ref="A48:F4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7"/>
  <sheetViews>
    <sheetView zoomScaleNormal="100" workbookViewId="0">
      <selection sqref="A1:F1"/>
    </sheetView>
  </sheetViews>
  <sheetFormatPr baseColWidth="10" defaultColWidth="8.6640625" defaultRowHeight="14.4" x14ac:dyDescent="0.3"/>
  <cols>
    <col min="1" max="1" width="14" customWidth="1"/>
    <col min="2" max="2" width="46" customWidth="1"/>
    <col min="3" max="6" width="14" customWidth="1"/>
  </cols>
  <sheetData>
    <row r="1" spans="1:6" ht="15" customHeight="1" x14ac:dyDescent="0.3">
      <c r="A1" s="69" t="s">
        <v>1973</v>
      </c>
      <c r="B1" s="69"/>
      <c r="C1" s="69"/>
      <c r="D1" s="69"/>
      <c r="E1" s="69"/>
      <c r="F1" s="69"/>
    </row>
    <row r="3" spans="1:6" ht="15" customHeight="1" x14ac:dyDescent="0.3">
      <c r="A3" s="7" t="s">
        <v>1899</v>
      </c>
      <c r="B3" s="7" t="s">
        <v>1974</v>
      </c>
      <c r="C3" s="7" t="s">
        <v>1958</v>
      </c>
      <c r="D3" s="7" t="s">
        <v>1975</v>
      </c>
      <c r="E3" s="7" t="s">
        <v>1976</v>
      </c>
    </row>
    <row r="4" spans="1:6" ht="15" customHeight="1" x14ac:dyDescent="0.3">
      <c r="A4" s="37" t="s">
        <v>1977</v>
      </c>
      <c r="B4" s="8">
        <v>15</v>
      </c>
      <c r="C4" s="10">
        <v>47185944.936761901</v>
      </c>
      <c r="D4" s="17">
        <v>0.74641249635732299</v>
      </c>
      <c r="E4" s="17">
        <f>IFERROR(SUMPRODUCT(C11:C25,E11:E25)/SUM(C11:C25),0)</f>
        <v>0.15474938598317925</v>
      </c>
    </row>
    <row r="5" spans="1:6" ht="15" customHeight="1" x14ac:dyDescent="0.3">
      <c r="A5" s="38" t="s">
        <v>1978</v>
      </c>
      <c r="B5" s="8">
        <v>23</v>
      </c>
      <c r="C5" s="10">
        <v>12746465.9549153</v>
      </c>
      <c r="D5" s="17">
        <v>0.201630411044913</v>
      </c>
      <c r="E5" s="17">
        <f>IFERROR(SUMPRODUCT(C30:C52,E30:E52)/SUM(C30:C52),0)</f>
        <v>0.16171615489665389</v>
      </c>
    </row>
    <row r="6" spans="1:6" ht="15" customHeight="1" x14ac:dyDescent="0.3">
      <c r="A6" s="39" t="s">
        <v>1979</v>
      </c>
      <c r="B6" s="8">
        <v>35</v>
      </c>
      <c r="C6" s="10">
        <v>3284570.5589830498</v>
      </c>
      <c r="D6" s="17">
        <v>5.1957092597763599E-2</v>
      </c>
      <c r="E6" s="17">
        <f>IFERROR(SUMPRODUCT(C57:C91,E57:E91)/SUM(C57:C91),0)</f>
        <v>0.17162127997473445</v>
      </c>
    </row>
    <row r="7" spans="1:6" ht="15" customHeight="1" x14ac:dyDescent="0.3">
      <c r="A7" s="25" t="s">
        <v>1913</v>
      </c>
      <c r="B7" s="25">
        <v>73</v>
      </c>
      <c r="C7" s="26">
        <v>63216981.450660199</v>
      </c>
      <c r="D7" s="27">
        <v>1</v>
      </c>
      <c r="E7" s="27">
        <f>IFERROR((SUMPRODUCT(C11:C25,E11:E25)+SUMPRODUCT(C30:C52,E30:E52)+SUMPRODUCT(C57:C91,E57:E91))/(SUM(C11:C25)+SUM(C30:C52)+SUM(C57:C91)),0)</f>
        <v>0.15703071302127694</v>
      </c>
    </row>
    <row r="9" spans="1:6" ht="15" customHeight="1" x14ac:dyDescent="0.3">
      <c r="A9" s="71" t="s">
        <v>1980</v>
      </c>
      <c r="B9" s="71"/>
      <c r="C9" s="71"/>
      <c r="D9" s="71"/>
      <c r="E9" s="71"/>
      <c r="F9" s="71"/>
    </row>
    <row r="10" spans="1:6" ht="15" customHeight="1" x14ac:dyDescent="0.3">
      <c r="A10" s="7" t="s">
        <v>1898</v>
      </c>
      <c r="B10" s="7" t="s">
        <v>3</v>
      </c>
      <c r="C10" s="7" t="s">
        <v>1958</v>
      </c>
      <c r="D10" s="7" t="s">
        <v>1981</v>
      </c>
      <c r="E10" s="7" t="s">
        <v>1949</v>
      </c>
      <c r="F10" s="7" t="s">
        <v>1982</v>
      </c>
    </row>
    <row r="11" spans="1:6" ht="15" customHeight="1" x14ac:dyDescent="0.3">
      <c r="A11" s="8">
        <v>1</v>
      </c>
      <c r="B11" s="6" t="s">
        <v>1737</v>
      </c>
      <c r="C11" s="10">
        <v>10141560.130000001</v>
      </c>
      <c r="D11" s="17">
        <v>0.16042461846925299</v>
      </c>
      <c r="E11" s="17">
        <f>IFERROR((SUMIFS('Data Cruda'!$P$2:$P$1801,'Data Cruda'!$D$2:$D$1801,"AGROBERRIES PERU S.A.C.",'Data Cruda'!$A$2:$A$1801,2025)+SUMIFS('Data Cruda'!$P$2:$P$1801,'Data Cruda'!$D$2:$D$1801,"AGROBERRIES PERU S.A.C.",'Data Cruda'!$A$2:$A$1801,2026))/(SUMIFS('Data Cruda'!$K$2:$K$1801,'Data Cruda'!$D$2:$D$1801,"AGROBERRIES PERU S.A.C.",'Data Cruda'!$A$2:$A$1801,2025)+SUMIFS('Data Cruda'!$K$2:$K$1801,'Data Cruda'!$D$2:$D$1801,"AGROBERRIES PERU S.A.C.",'Data Cruda'!$A$2:$A$1801,2026)),0)</f>
        <v>0.13938319848033087</v>
      </c>
      <c r="F11" s="8">
        <v>4</v>
      </c>
    </row>
    <row r="12" spans="1:6" ht="15" customHeight="1" x14ac:dyDescent="0.3">
      <c r="A12" s="8">
        <v>2</v>
      </c>
      <c r="B12" s="6" t="s">
        <v>45</v>
      </c>
      <c r="C12" s="10">
        <v>4485901.0077966098</v>
      </c>
      <c r="D12" s="17">
        <v>7.0960379709015101E-2</v>
      </c>
      <c r="E12" s="17">
        <f>IFERROR((SUMIFS('Data Cruda'!$P$2:$P$1801,'Data Cruda'!$D$2:$D$1801,"DANPER TRUJILLO S.A.C.",'Data Cruda'!$A$2:$A$1801,2025)+SUMIFS('Data Cruda'!$P$2:$P$1801,'Data Cruda'!$D$2:$D$1801,"DANPER TRUJILLO S.A.C.",'Data Cruda'!$A$2:$A$1801,2026))/(SUMIFS('Data Cruda'!$K$2:$K$1801,'Data Cruda'!$D$2:$D$1801,"DANPER TRUJILLO S.A.C.",'Data Cruda'!$A$2:$A$1801,2025)+SUMIFS('Data Cruda'!$K$2:$K$1801,'Data Cruda'!$D$2:$D$1801,"DANPER TRUJILLO S.A.C.",'Data Cruda'!$A$2:$A$1801,2026)),0)</f>
        <v>0.15082002207006287</v>
      </c>
      <c r="F12" s="8">
        <v>4</v>
      </c>
    </row>
    <row r="13" spans="1:6" ht="15" customHeight="1" x14ac:dyDescent="0.3">
      <c r="A13" s="8">
        <v>3</v>
      </c>
      <c r="B13" s="6" t="s">
        <v>40</v>
      </c>
      <c r="C13" s="10">
        <v>4450000</v>
      </c>
      <c r="D13" s="17">
        <v>7.0392478379771306E-2</v>
      </c>
      <c r="E13" s="17">
        <f>IFERROR((SUMIFS('Data Cruda'!$P$2:$P$1801,'Data Cruda'!$D$2:$D$1801,"CORPORACION AGROLATINA S.A.C.",'Data Cruda'!$A$2:$A$1801,2025)+SUMIFS('Data Cruda'!$P$2:$P$1801,'Data Cruda'!$D$2:$D$1801,"CORPORACION AGROLATINA S.A.C.",'Data Cruda'!$A$2:$A$1801,2026))/(SUMIFS('Data Cruda'!$K$2:$K$1801,'Data Cruda'!$D$2:$D$1801,"CORPORACION AGROLATINA S.A.C.",'Data Cruda'!$A$2:$A$1801,2025)+SUMIFS('Data Cruda'!$K$2:$K$1801,'Data Cruda'!$D$2:$D$1801,"CORPORACION AGROLATINA S.A.C.",'Data Cruda'!$A$2:$A$1801,2026)),0)</f>
        <v>0.14905433258426987</v>
      </c>
      <c r="F13" s="8">
        <v>2</v>
      </c>
    </row>
    <row r="14" spans="1:6" ht="15" customHeight="1" x14ac:dyDescent="0.3">
      <c r="A14" s="8">
        <v>4</v>
      </c>
      <c r="B14" s="6" t="s">
        <v>103</v>
      </c>
      <c r="C14" s="10">
        <v>4008997.0406779698</v>
      </c>
      <c r="D14" s="17">
        <v>6.3416457867526102E-2</v>
      </c>
      <c r="E14" s="17">
        <f>IFERROR((SUMIFS('Data Cruda'!$P$2:$P$1801,'Data Cruda'!$D$2:$D$1801,"AGRICOLA HUARMEY S.A.",'Data Cruda'!$A$2:$A$1801,2025)+SUMIFS('Data Cruda'!$P$2:$P$1801,'Data Cruda'!$D$2:$D$1801,"AGRICOLA HUARMEY S.A.",'Data Cruda'!$A$2:$A$1801,2026))/(SUMIFS('Data Cruda'!$K$2:$K$1801,'Data Cruda'!$D$2:$D$1801,"AGRICOLA HUARMEY S.A.",'Data Cruda'!$A$2:$A$1801,2025)+SUMIFS('Data Cruda'!$K$2:$K$1801,'Data Cruda'!$D$2:$D$1801,"AGRICOLA HUARMEY S.A.",'Data Cruda'!$A$2:$A$1801,2026)),0)</f>
        <v>0.16069570854336504</v>
      </c>
      <c r="F14" s="8">
        <v>2</v>
      </c>
    </row>
    <row r="15" spans="1:6" ht="15" customHeight="1" x14ac:dyDescent="0.3">
      <c r="A15" s="8">
        <v>5</v>
      </c>
      <c r="B15" s="6" t="s">
        <v>1658</v>
      </c>
      <c r="C15" s="10">
        <v>3632242.2295882101</v>
      </c>
      <c r="D15" s="17">
        <v>5.7456748902557399E-2</v>
      </c>
      <c r="E15" s="17">
        <f>IFERROR((SUMIFS('Data Cruda'!$P$2:$P$1801,'Data Cruda'!$D$2:$D$1801,"PROSEMBRA SOCIEDAD ANONIMA CERRADA",'Data Cruda'!$A$2:$A$1801,2025)+SUMIFS('Data Cruda'!$P$2:$P$1801,'Data Cruda'!$D$2:$D$1801,"PROSEMBRA SOCIEDAD ANONIMA CERRADA",'Data Cruda'!$A$2:$A$1801,2026))/(SUMIFS('Data Cruda'!$K$2:$K$1801,'Data Cruda'!$D$2:$D$1801,"PROSEMBRA SOCIEDAD ANONIMA CERRADA",'Data Cruda'!$A$2:$A$1801,2025)+SUMIFS('Data Cruda'!$K$2:$K$1801,'Data Cruda'!$D$2:$D$1801,"PROSEMBRA SOCIEDAD ANONIMA CERRADA",'Data Cruda'!$A$2:$A$1801,2026)),0)</f>
        <v>0.17386194369299943</v>
      </c>
      <c r="F15" s="8">
        <v>7</v>
      </c>
    </row>
    <row r="16" spans="1:6" ht="15" customHeight="1" x14ac:dyDescent="0.3">
      <c r="A16" s="8">
        <v>6</v>
      </c>
      <c r="B16" s="6" t="s">
        <v>1007</v>
      </c>
      <c r="C16" s="10">
        <v>3356000.72355932</v>
      </c>
      <c r="D16" s="17">
        <v>5.3087013118122799E-2</v>
      </c>
      <c r="E16" s="17">
        <f>IFERROR((SUMIFS('Data Cruda'!$P$2:$P$1801,'Data Cruda'!$D$2:$D$1801,"AQU ANQA S.A.C.",'Data Cruda'!$A$2:$A$1801,2025)+SUMIFS('Data Cruda'!$P$2:$P$1801,'Data Cruda'!$D$2:$D$1801,"AQU ANQA S.A.C.",'Data Cruda'!$A$2:$A$1801,2026))/(SUMIFS('Data Cruda'!$K$2:$K$1801,'Data Cruda'!$D$2:$D$1801,"AQU ANQA S.A.C.",'Data Cruda'!$A$2:$A$1801,2025)+SUMIFS('Data Cruda'!$K$2:$K$1801,'Data Cruda'!$D$2:$D$1801,"AQU ANQA S.A.C.",'Data Cruda'!$A$2:$A$1801,2026)),0)</f>
        <v>0.18232047231237264</v>
      </c>
      <c r="F16" s="8">
        <v>15</v>
      </c>
    </row>
    <row r="17" spans="1:6" ht="15" customHeight="1" x14ac:dyDescent="0.3">
      <c r="A17" s="8">
        <v>7</v>
      </c>
      <c r="B17" s="6" t="s">
        <v>1003</v>
      </c>
      <c r="C17" s="10">
        <v>3162368.75</v>
      </c>
      <c r="D17" s="17">
        <v>5.0024039070390901E-2</v>
      </c>
      <c r="E17" s="17">
        <f>IFERROR((SUMIFS('Data Cruda'!$P$2:$P$1801,'Data Cruda'!$D$2:$D$1801,"BOMAREA S.R.L.",'Data Cruda'!$A$2:$A$1801,2025)+SUMIFS('Data Cruda'!$P$2:$P$1801,'Data Cruda'!$D$2:$D$1801,"BOMAREA S.R.L.",'Data Cruda'!$A$2:$A$1801,2026))/(SUMIFS('Data Cruda'!$K$2:$K$1801,'Data Cruda'!$D$2:$D$1801,"BOMAREA S.R.L.",'Data Cruda'!$A$2:$A$1801,2025)+SUMIFS('Data Cruda'!$K$2:$K$1801,'Data Cruda'!$D$2:$D$1801,"BOMAREA S.R.L.",'Data Cruda'!$A$2:$A$1801,2026)),0)</f>
        <v>0.14773244897515508</v>
      </c>
      <c r="F17" s="8">
        <v>4</v>
      </c>
    </row>
    <row r="18" spans="1:6" ht="15" customHeight="1" x14ac:dyDescent="0.3">
      <c r="A18" s="8">
        <v>8</v>
      </c>
      <c r="B18" s="6" t="s">
        <v>1622</v>
      </c>
      <c r="C18" s="10">
        <v>2949135.63</v>
      </c>
      <c r="D18" s="17">
        <v>4.6651003612087301E-2</v>
      </c>
      <c r="E18" s="17">
        <f>IFERROR((SUMIFS('Data Cruda'!$P$2:$P$1801,'Data Cruda'!$D$2:$D$1801,"Q PACK S.A.C.",'Data Cruda'!$A$2:$A$1801,2025)+SUMIFS('Data Cruda'!$P$2:$P$1801,'Data Cruda'!$D$2:$D$1801,"Q PACK S.A.C.",'Data Cruda'!$A$2:$A$1801,2026))/(SUMIFS('Data Cruda'!$K$2:$K$1801,'Data Cruda'!$D$2:$D$1801,"Q PACK S.A.C.",'Data Cruda'!$A$2:$A$1801,2025)+SUMIFS('Data Cruda'!$K$2:$K$1801,'Data Cruda'!$D$2:$D$1801,"Q PACK S.A.C.",'Data Cruda'!$A$2:$A$1801,2026)),0)</f>
        <v>0.17957818830461861</v>
      </c>
      <c r="F18" s="8">
        <v>8</v>
      </c>
    </row>
    <row r="19" spans="1:6" ht="15" customHeight="1" x14ac:dyDescent="0.3">
      <c r="A19" s="8">
        <v>9</v>
      </c>
      <c r="B19" s="6" t="s">
        <v>47</v>
      </c>
      <c r="C19" s="10">
        <v>2072732.8</v>
      </c>
      <c r="D19" s="17">
        <v>3.27875952384366E-2</v>
      </c>
      <c r="E19" s="17">
        <f>IFERROR((SUMIFS('Data Cruda'!$P$2:$P$1801,'Data Cruda'!$D$2:$D$1801,"TAL S.A.",'Data Cruda'!$A$2:$A$1801,2025)+SUMIFS('Data Cruda'!$P$2:$P$1801,'Data Cruda'!$D$2:$D$1801,"TAL S.A.",'Data Cruda'!$A$2:$A$1801,2026))/(SUMIFS('Data Cruda'!$K$2:$K$1801,'Data Cruda'!$D$2:$D$1801,"TAL S.A.",'Data Cruda'!$A$2:$A$1801,2025)+SUMIFS('Data Cruda'!$K$2:$K$1801,'Data Cruda'!$D$2:$D$1801,"TAL S.A.",'Data Cruda'!$A$2:$A$1801,2026)),0)</f>
        <v>0.138835488105365</v>
      </c>
      <c r="F19" s="8">
        <v>3</v>
      </c>
    </row>
    <row r="20" spans="1:6" ht="15" customHeight="1" x14ac:dyDescent="0.3">
      <c r="A20" s="8">
        <v>10</v>
      </c>
      <c r="B20" s="6" t="s">
        <v>1868</v>
      </c>
      <c r="C20" s="10">
        <v>2034100.57</v>
      </c>
      <c r="D20" s="17">
        <v>3.2176489976630501E-2</v>
      </c>
      <c r="E20" s="17">
        <f>IFERROR((SUMIFS('Data Cruda'!$P$2:$P$1801,'Data Cruda'!$D$2:$D$1801,"PROCESOS AGROINDUSTRIALES SOCIEDAD ANONIMA",'Data Cruda'!$A$2:$A$1801,2025)+SUMIFS('Data Cruda'!$P$2:$P$1801,'Data Cruda'!$D$2:$D$1801,"PROCESOS AGROINDUSTRIALES SOCIEDAD ANONIMA",'Data Cruda'!$A$2:$A$1801,2026))/(SUMIFS('Data Cruda'!$K$2:$K$1801,'Data Cruda'!$D$2:$D$1801,"PROCESOS AGROINDUSTRIALES SOCIEDAD ANONIMA",'Data Cruda'!$A$2:$A$1801,2025)+SUMIFS('Data Cruda'!$K$2:$K$1801,'Data Cruda'!$D$2:$D$1801,"PROCESOS AGROINDUSTRIALES SOCIEDAD ANONIMA",'Data Cruda'!$A$2:$A$1801,2026)),0)</f>
        <v>0.14012855814695485</v>
      </c>
      <c r="F20" s="8">
        <v>1</v>
      </c>
    </row>
    <row r="21" spans="1:6" ht="15" customHeight="1" x14ac:dyDescent="0.3">
      <c r="A21" s="8">
        <v>11</v>
      </c>
      <c r="B21" s="6" t="s">
        <v>61</v>
      </c>
      <c r="C21" s="10">
        <v>1629602.3311864401</v>
      </c>
      <c r="D21" s="17">
        <v>2.5777920643970002E-2</v>
      </c>
      <c r="E21" s="17">
        <f>IFERROR((SUMIFS('Data Cruda'!$P$2:$P$1801,'Data Cruda'!$D$2:$D$1801,"SOCIEDAD AGRICOLA DROKASA S.A.",'Data Cruda'!$A$2:$A$1801,2025)+SUMIFS('Data Cruda'!$P$2:$P$1801,'Data Cruda'!$D$2:$D$1801,"SOCIEDAD AGRICOLA DROKASA S.A.",'Data Cruda'!$A$2:$A$1801,2026))/(SUMIFS('Data Cruda'!$K$2:$K$1801,'Data Cruda'!$D$2:$D$1801,"SOCIEDAD AGRICOLA DROKASA S.A.",'Data Cruda'!$A$2:$A$1801,2025)+SUMIFS('Data Cruda'!$K$2:$K$1801,'Data Cruda'!$D$2:$D$1801,"SOCIEDAD AGRICOLA DROKASA S.A.",'Data Cruda'!$A$2:$A$1801,2026)),0)</f>
        <v>0.14932791843936088</v>
      </c>
      <c r="F21" s="8">
        <v>6</v>
      </c>
    </row>
    <row r="22" spans="1:6" ht="15" customHeight="1" x14ac:dyDescent="0.3">
      <c r="A22" s="8">
        <v>12</v>
      </c>
      <c r="B22" s="6" t="s">
        <v>1118</v>
      </c>
      <c r="C22" s="10">
        <v>1490360.7241227899</v>
      </c>
      <c r="D22" s="17">
        <v>2.35753224833424E-2</v>
      </c>
      <c r="E22" s="17">
        <f>IFERROR((SUMIFS('Data Cruda'!$P$2:$P$1801,'Data Cruda'!$D$2:$D$1801,"AGRICOLA ALAYA SOCIEDAD ANONIMA CERRADA",'Data Cruda'!$A$2:$A$1801,2025)+SUMIFS('Data Cruda'!$P$2:$P$1801,'Data Cruda'!$D$2:$D$1801,"AGRICOLA ALAYA SOCIEDAD ANONIMA CERRADA",'Data Cruda'!$A$2:$A$1801,2026))/(SUMIFS('Data Cruda'!$K$2:$K$1801,'Data Cruda'!$D$2:$D$1801,"AGRICOLA ALAYA SOCIEDAD ANONIMA CERRADA",'Data Cruda'!$A$2:$A$1801,2025)+SUMIFS('Data Cruda'!$K$2:$K$1801,'Data Cruda'!$D$2:$D$1801,"AGRICOLA ALAYA SOCIEDAD ANONIMA CERRADA",'Data Cruda'!$A$2:$A$1801,2026)),0)</f>
        <v>0.17062135755735899</v>
      </c>
      <c r="F22" s="8">
        <v>1</v>
      </c>
    </row>
    <row r="23" spans="1:6" ht="15" customHeight="1" x14ac:dyDescent="0.3">
      <c r="A23" s="8">
        <v>13</v>
      </c>
      <c r="B23" s="6" t="s">
        <v>1747</v>
      </c>
      <c r="C23" s="10">
        <v>1460000</v>
      </c>
      <c r="D23" s="17">
        <v>2.3095060322351899E-2</v>
      </c>
      <c r="E23" s="17">
        <f>IFERROR((SUMIFS('Data Cruda'!$P$2:$P$1801,'Data Cruda'!$D$2:$D$1801,"TA EXPORT S.A.C.",'Data Cruda'!$A$2:$A$1801,2025)+SUMIFS('Data Cruda'!$P$2:$P$1801,'Data Cruda'!$D$2:$D$1801,"TA EXPORT S.A.C.",'Data Cruda'!$A$2:$A$1801,2026))/(SUMIFS('Data Cruda'!$K$2:$K$1801,'Data Cruda'!$D$2:$D$1801,"TA EXPORT S.A.C.",'Data Cruda'!$A$2:$A$1801,2025)+SUMIFS('Data Cruda'!$K$2:$K$1801,'Data Cruda'!$D$2:$D$1801,"TA EXPORT S.A.C.",'Data Cruda'!$A$2:$A$1801,2026)),0)</f>
        <v>0.16347689726027398</v>
      </c>
      <c r="F23" s="8">
        <v>1</v>
      </c>
    </row>
    <row r="24" spans="1:6" ht="15" customHeight="1" x14ac:dyDescent="0.3">
      <c r="A24" s="8">
        <v>14</v>
      </c>
      <c r="B24" s="6" t="s">
        <v>364</v>
      </c>
      <c r="C24" s="10">
        <v>1224885.8</v>
      </c>
      <c r="D24" s="17">
        <v>1.93758982458852E-2</v>
      </c>
      <c r="E24" s="17">
        <f>IFERROR((SUMIFS('Data Cruda'!$P$2:$P$1801,'Data Cruda'!$D$2:$D$1801,"AGRICOLA PAMPA BAJA S.A.C.",'Data Cruda'!$A$2:$A$1801,2025)+SUMIFS('Data Cruda'!$P$2:$P$1801,'Data Cruda'!$D$2:$D$1801,"AGRICOLA PAMPA BAJA S.A.C.",'Data Cruda'!$A$2:$A$1801,2026))/(SUMIFS('Data Cruda'!$K$2:$K$1801,'Data Cruda'!$D$2:$D$1801,"AGRICOLA PAMPA BAJA S.A.C.",'Data Cruda'!$A$2:$A$1801,2025)+SUMIFS('Data Cruda'!$K$2:$K$1801,'Data Cruda'!$D$2:$D$1801,"AGRICOLA PAMPA BAJA S.A.C.",'Data Cruda'!$A$2:$A$1801,2026)),0)</f>
        <v>0.15406421561912131</v>
      </c>
      <c r="F24" s="8">
        <v>5</v>
      </c>
    </row>
    <row r="25" spans="1:6" ht="15" customHeight="1" x14ac:dyDescent="0.3">
      <c r="A25" s="8">
        <v>15</v>
      </c>
      <c r="B25" s="6" t="s">
        <v>69</v>
      </c>
      <c r="C25" s="10">
        <v>1088057.19983051</v>
      </c>
      <c r="D25" s="17">
        <v>1.7211470317982799E-2</v>
      </c>
      <c r="E25" s="17">
        <f>IFERROR((SUMIFS('Data Cruda'!$P$2:$P$1801,'Data Cruda'!$D$2:$D$1801,"AGROINDUSTRIAS AIB S.A",'Data Cruda'!$A$2:$A$1801,2025)+SUMIFS('Data Cruda'!$P$2:$P$1801,'Data Cruda'!$D$2:$D$1801,"AGROINDUSTRIAS AIB S.A",'Data Cruda'!$A$2:$A$1801,2026))/(SUMIFS('Data Cruda'!$K$2:$K$1801,'Data Cruda'!$D$2:$D$1801,"AGROINDUSTRIAS AIB S.A",'Data Cruda'!$A$2:$A$1801,2025)+SUMIFS('Data Cruda'!$K$2:$K$1801,'Data Cruda'!$D$2:$D$1801,"AGROINDUSTRIAS AIB S.A",'Data Cruda'!$A$2:$A$1801,2026)),0)</f>
        <v>0.15289940641531993</v>
      </c>
      <c r="F25" s="8">
        <v>3</v>
      </c>
    </row>
    <row r="26" spans="1:6" ht="15" customHeight="1" x14ac:dyDescent="0.3">
      <c r="A26" s="25"/>
      <c r="B26" s="25" t="s">
        <v>1983</v>
      </c>
      <c r="C26" s="26">
        <v>47185944.936761901</v>
      </c>
      <c r="D26" s="27">
        <v>0.74641249635732299</v>
      </c>
    </row>
    <row r="28" spans="1:6" ht="15" customHeight="1" x14ac:dyDescent="0.3">
      <c r="A28" s="72" t="s">
        <v>1984</v>
      </c>
      <c r="B28" s="72"/>
      <c r="C28" s="72"/>
      <c r="D28" s="72"/>
      <c r="E28" s="72"/>
      <c r="F28" s="72"/>
    </row>
    <row r="29" spans="1:6" ht="15" customHeight="1" x14ac:dyDescent="0.3">
      <c r="A29" s="7" t="s">
        <v>1898</v>
      </c>
      <c r="B29" s="7" t="s">
        <v>3</v>
      </c>
      <c r="C29" s="7" t="s">
        <v>1958</v>
      </c>
      <c r="D29" s="7" t="s">
        <v>1981</v>
      </c>
      <c r="E29" s="7" t="s">
        <v>1949</v>
      </c>
      <c r="F29" s="7" t="s">
        <v>1982</v>
      </c>
    </row>
    <row r="30" spans="1:6" ht="15" customHeight="1" x14ac:dyDescent="0.3">
      <c r="A30" s="8">
        <v>1</v>
      </c>
      <c r="B30" s="6" t="s">
        <v>786</v>
      </c>
      <c r="C30" s="10">
        <v>954731.06711864402</v>
      </c>
      <c r="D30" s="17">
        <v>1.51024462922798E-2</v>
      </c>
      <c r="E30" s="17">
        <f>IFERROR((SUMIFS('Data Cruda'!$P$2:$P$1801,'Data Cruda'!$D$2:$D$1801,"EL PEDREGAL S.A.",'Data Cruda'!$A$2:$A$1801,2025)+SUMIFS('Data Cruda'!$P$2:$P$1801,'Data Cruda'!$D$2:$D$1801,"EL PEDREGAL S.A.",'Data Cruda'!$A$2:$A$1801,2026))/(SUMIFS('Data Cruda'!$K$2:$K$1801,'Data Cruda'!$D$2:$D$1801,"EL PEDREGAL S.A.",'Data Cruda'!$A$2:$A$1801,2025)+SUMIFS('Data Cruda'!$K$2:$K$1801,'Data Cruda'!$D$2:$D$1801,"EL PEDREGAL S.A.",'Data Cruda'!$A$2:$A$1801,2026)),0)</f>
        <v>0.14383219471890807</v>
      </c>
      <c r="F30" s="8">
        <v>5</v>
      </c>
    </row>
    <row r="31" spans="1:6" ht="15" customHeight="1" x14ac:dyDescent="0.3">
      <c r="A31" s="8">
        <v>2</v>
      </c>
      <c r="B31" s="6" t="s">
        <v>462</v>
      </c>
      <c r="C31" s="10">
        <v>910903.46610169497</v>
      </c>
      <c r="D31" s="17">
        <v>1.4409157874971301E-2</v>
      </c>
      <c r="E31" s="17">
        <f>IFERROR((SUMIFS('Data Cruda'!$P$2:$P$1801,'Data Cruda'!$D$2:$D$1801,"PROCESADORA LARAN SAC",'Data Cruda'!$A$2:$A$1801,2025)+SUMIFS('Data Cruda'!$P$2:$P$1801,'Data Cruda'!$D$2:$D$1801,"PROCESADORA LARAN SAC",'Data Cruda'!$A$2:$A$1801,2026))/(SUMIFS('Data Cruda'!$K$2:$K$1801,'Data Cruda'!$D$2:$D$1801,"PROCESADORA LARAN SAC",'Data Cruda'!$A$2:$A$1801,2025)+SUMIFS('Data Cruda'!$K$2:$K$1801,'Data Cruda'!$D$2:$D$1801,"PROCESADORA LARAN SAC",'Data Cruda'!$A$2:$A$1801,2026)),0)</f>
        <v>0.13679221359564922</v>
      </c>
      <c r="F31" s="8">
        <v>3</v>
      </c>
    </row>
    <row r="32" spans="1:6" ht="15" customHeight="1" x14ac:dyDescent="0.3">
      <c r="A32" s="8">
        <v>3</v>
      </c>
      <c r="B32" s="6" t="s">
        <v>1642</v>
      </c>
      <c r="C32" s="10">
        <v>905597.47</v>
      </c>
      <c r="D32" s="17">
        <v>1.4325224792753E-2</v>
      </c>
      <c r="E32" s="17">
        <f>IFERROR((SUMIFS('Data Cruda'!$P$2:$P$1801,'Data Cruda'!$D$2:$D$1801,"ARA FOODS INDUSTRY S.A.C.",'Data Cruda'!$A$2:$A$1801,2025)+SUMIFS('Data Cruda'!$P$2:$P$1801,'Data Cruda'!$D$2:$D$1801,"ARA FOODS INDUSTRY S.A.C.",'Data Cruda'!$A$2:$A$1801,2026))/(SUMIFS('Data Cruda'!$K$2:$K$1801,'Data Cruda'!$D$2:$D$1801,"ARA FOODS INDUSTRY S.A.C.",'Data Cruda'!$A$2:$A$1801,2025)+SUMIFS('Data Cruda'!$K$2:$K$1801,'Data Cruda'!$D$2:$D$1801,"ARA FOODS INDUSTRY S.A.C.",'Data Cruda'!$A$2:$A$1801,2026)),0)</f>
        <v>0.17152946606619829</v>
      </c>
      <c r="F32" s="8">
        <v>5</v>
      </c>
    </row>
    <row r="33" spans="1:6" ht="15" customHeight="1" x14ac:dyDescent="0.3">
      <c r="A33" s="8">
        <v>4</v>
      </c>
      <c r="B33" s="6" t="s">
        <v>1655</v>
      </c>
      <c r="C33" s="10">
        <v>853450.001694915</v>
      </c>
      <c r="D33" s="17">
        <v>1.3500328267983201E-2</v>
      </c>
      <c r="E33" s="17">
        <f>IFERROR((SUMIFS('Data Cruda'!$P$2:$P$1801,'Data Cruda'!$D$2:$D$1801,"IMBAREX S.A.",'Data Cruda'!$A$2:$A$1801,2025)+SUMIFS('Data Cruda'!$P$2:$P$1801,'Data Cruda'!$D$2:$D$1801,"IMBAREX S.A.",'Data Cruda'!$A$2:$A$1801,2026))/(SUMIFS('Data Cruda'!$K$2:$K$1801,'Data Cruda'!$D$2:$D$1801,"IMBAREX S.A.",'Data Cruda'!$A$2:$A$1801,2025)+SUMIFS('Data Cruda'!$K$2:$K$1801,'Data Cruda'!$D$2:$D$1801,"IMBAREX S.A.",'Data Cruda'!$A$2:$A$1801,2026)),0)</f>
        <v>0.16949981804758593</v>
      </c>
      <c r="F33" s="8">
        <v>3</v>
      </c>
    </row>
    <row r="34" spans="1:6" ht="15" customHeight="1" x14ac:dyDescent="0.3">
      <c r="A34" s="8">
        <v>5</v>
      </c>
      <c r="B34" s="6" t="s">
        <v>675</v>
      </c>
      <c r="C34" s="10">
        <v>817031.34</v>
      </c>
      <c r="D34" s="17">
        <v>1.2924238412706899E-2</v>
      </c>
      <c r="E34" s="17">
        <f>IFERROR((SUMIFS('Data Cruda'!$P$2:$P$1801,'Data Cruda'!$D$2:$D$1801,"AGROVISION PERU S.A.C.",'Data Cruda'!$A$2:$A$1801,2025)+SUMIFS('Data Cruda'!$P$2:$P$1801,'Data Cruda'!$D$2:$D$1801,"AGROVISION PERU S.A.C.",'Data Cruda'!$A$2:$A$1801,2026))/(SUMIFS('Data Cruda'!$K$2:$K$1801,'Data Cruda'!$D$2:$D$1801,"AGROVISION PERU S.A.C.",'Data Cruda'!$A$2:$A$1801,2025)+SUMIFS('Data Cruda'!$K$2:$K$1801,'Data Cruda'!$D$2:$D$1801,"AGROVISION PERU S.A.C.",'Data Cruda'!$A$2:$A$1801,2026)),0)</f>
        <v>0.14029453264301955</v>
      </c>
      <c r="F34" s="8">
        <v>2</v>
      </c>
    </row>
    <row r="35" spans="1:6" ht="15" customHeight="1" x14ac:dyDescent="0.3">
      <c r="A35" s="8">
        <v>6</v>
      </c>
      <c r="B35" s="6" t="s">
        <v>749</v>
      </c>
      <c r="C35" s="10">
        <v>785287.51</v>
      </c>
      <c r="D35" s="17">
        <v>1.24220975437257E-2</v>
      </c>
      <c r="E35" s="17">
        <f>IFERROR((SUMIFS('Data Cruda'!$P$2:$P$1801,'Data Cruda'!$D$2:$D$1801,"AGROCASAGRANDE S.A.C.",'Data Cruda'!$A$2:$A$1801,2025)+SUMIFS('Data Cruda'!$P$2:$P$1801,'Data Cruda'!$D$2:$D$1801,"AGROCASAGRANDE S.A.C.",'Data Cruda'!$A$2:$A$1801,2026))/(SUMIFS('Data Cruda'!$K$2:$K$1801,'Data Cruda'!$D$2:$D$1801,"AGROCASAGRANDE S.A.C.",'Data Cruda'!$A$2:$A$1801,2025)+SUMIFS('Data Cruda'!$K$2:$K$1801,'Data Cruda'!$D$2:$D$1801,"AGROCASAGRANDE S.A.C.",'Data Cruda'!$A$2:$A$1801,2026)),0)</f>
        <v>0.18165272550941217</v>
      </c>
      <c r="F35" s="8">
        <v>8</v>
      </c>
    </row>
    <row r="36" spans="1:6" ht="15" customHeight="1" x14ac:dyDescent="0.3">
      <c r="A36" s="8">
        <v>7</v>
      </c>
      <c r="B36" s="6" t="s">
        <v>816</v>
      </c>
      <c r="C36" s="10">
        <v>721156.89</v>
      </c>
      <c r="D36" s="17">
        <v>1.1407645120842301E-2</v>
      </c>
      <c r="E36" s="17">
        <f>IFERROR((SUMIFS('Data Cruda'!$P$2:$P$1801,'Data Cruda'!$D$2:$D$1801,"PROCESADORA TORRE BLANCA S.A.C",'Data Cruda'!$A$2:$A$1801,2025)+SUMIFS('Data Cruda'!$P$2:$P$1801,'Data Cruda'!$D$2:$D$1801,"PROCESADORA TORRE BLANCA S.A.C",'Data Cruda'!$A$2:$A$1801,2026))/(SUMIFS('Data Cruda'!$K$2:$K$1801,'Data Cruda'!$D$2:$D$1801,"PROCESADORA TORRE BLANCA S.A.C",'Data Cruda'!$A$2:$A$1801,2025)+SUMIFS('Data Cruda'!$K$2:$K$1801,'Data Cruda'!$D$2:$D$1801,"PROCESADORA TORRE BLANCA S.A.C",'Data Cruda'!$A$2:$A$1801,2026)),0)</f>
        <v>0.19493805293879946</v>
      </c>
      <c r="F36" s="8">
        <v>2</v>
      </c>
    </row>
    <row r="37" spans="1:6" ht="15" customHeight="1" x14ac:dyDescent="0.3">
      <c r="A37" s="8">
        <v>8</v>
      </c>
      <c r="B37" s="6" t="s">
        <v>1296</v>
      </c>
      <c r="C37" s="10">
        <v>602333.49</v>
      </c>
      <c r="D37" s="17">
        <v>9.5280330724128604E-3</v>
      </c>
      <c r="E37" s="17">
        <f>IFERROR((SUMIFS('Data Cruda'!$P$2:$P$1801,'Data Cruda'!$D$2:$D$1801,"AGROBUSINESS INTERNATIONAL PERU S.A.C.",'Data Cruda'!$A$2:$A$1801,2025)+SUMIFS('Data Cruda'!$P$2:$P$1801,'Data Cruda'!$D$2:$D$1801,"AGROBUSINESS INTERNATIONAL PERU S.A.C.",'Data Cruda'!$A$2:$A$1801,2026))/(SUMIFS('Data Cruda'!$K$2:$K$1801,'Data Cruda'!$D$2:$D$1801,"AGROBUSINESS INTERNATIONAL PERU S.A.C.",'Data Cruda'!$A$2:$A$1801,2025)+SUMIFS('Data Cruda'!$K$2:$K$1801,'Data Cruda'!$D$2:$D$1801,"AGROBUSINESS INTERNATIONAL PERU S.A.C.",'Data Cruda'!$A$2:$A$1801,2026)),0)</f>
        <v>0.17460277860359383</v>
      </c>
      <c r="F37" s="8">
        <v>3</v>
      </c>
    </row>
    <row r="38" spans="1:6" ht="15" customHeight="1" x14ac:dyDescent="0.3">
      <c r="A38" s="8">
        <v>9</v>
      </c>
      <c r="B38" s="6" t="s">
        <v>360</v>
      </c>
      <c r="C38" s="10">
        <v>550187.52000000002</v>
      </c>
      <c r="D38" s="17">
        <v>8.7031602486337106E-3</v>
      </c>
      <c r="E38" s="17">
        <f>IFERROR((SUMIFS('Data Cruda'!$P$2:$P$1801,'Data Cruda'!$D$2:$D$1801,"SANTA SOFIA DEL SUR S.A.C.",'Data Cruda'!$A$2:$A$1801,2025)+SUMIFS('Data Cruda'!$P$2:$P$1801,'Data Cruda'!$D$2:$D$1801,"SANTA SOFIA DEL SUR S.A.C.",'Data Cruda'!$A$2:$A$1801,2026))/(SUMIFS('Data Cruda'!$K$2:$K$1801,'Data Cruda'!$D$2:$D$1801,"SANTA SOFIA DEL SUR S.A.C.",'Data Cruda'!$A$2:$A$1801,2025)+SUMIFS('Data Cruda'!$K$2:$K$1801,'Data Cruda'!$D$2:$D$1801,"SANTA SOFIA DEL SUR S.A.C.",'Data Cruda'!$A$2:$A$1801,2026)),0)</f>
        <v>0.13309998380188612</v>
      </c>
      <c r="F38" s="8">
        <v>2</v>
      </c>
    </row>
    <row r="39" spans="1:6" ht="15" customHeight="1" x14ac:dyDescent="0.3">
      <c r="A39" s="8">
        <v>10</v>
      </c>
      <c r="B39" s="6" t="s">
        <v>184</v>
      </c>
      <c r="C39" s="10">
        <v>538929.42000000004</v>
      </c>
      <c r="D39" s="17">
        <v>8.5250736057466692E-3</v>
      </c>
      <c r="E39" s="17">
        <f>IFERROR((SUMIFS('Data Cruda'!$P$2:$P$1801,'Data Cruda'!$D$2:$D$1801,"AGRO FLORAL PERU S.A.C.",'Data Cruda'!$A$2:$A$1801,2025)+SUMIFS('Data Cruda'!$P$2:$P$1801,'Data Cruda'!$D$2:$D$1801,"AGRO FLORAL PERU S.A.C.",'Data Cruda'!$A$2:$A$1801,2026))/(SUMIFS('Data Cruda'!$K$2:$K$1801,'Data Cruda'!$D$2:$D$1801,"AGRO FLORAL PERU S.A.C.",'Data Cruda'!$A$2:$A$1801,2025)+SUMIFS('Data Cruda'!$K$2:$K$1801,'Data Cruda'!$D$2:$D$1801,"AGRO FLORAL PERU S.A.C.",'Data Cruda'!$A$2:$A$1801,2026)),0)</f>
        <v>0.17036527714519609</v>
      </c>
      <c r="F39" s="8">
        <v>6</v>
      </c>
    </row>
    <row r="40" spans="1:6" ht="15" customHeight="1" x14ac:dyDescent="0.3">
      <c r="A40" s="8">
        <v>11</v>
      </c>
      <c r="B40" s="6" t="s">
        <v>1598</v>
      </c>
      <c r="C40" s="10">
        <v>508072.36</v>
      </c>
      <c r="D40" s="17">
        <v>8.0369601385751506E-3</v>
      </c>
      <c r="E40" s="17">
        <f>IFERROR((SUMIFS('Data Cruda'!$P$2:$P$1801,'Data Cruda'!$D$2:$D$1801,"AGROINDUSTRIA FRUTOS DE ORO S.A.C.",'Data Cruda'!$A$2:$A$1801,2025)+SUMIFS('Data Cruda'!$P$2:$P$1801,'Data Cruda'!$D$2:$D$1801,"AGROINDUSTRIA FRUTOS DE ORO S.A.C.",'Data Cruda'!$A$2:$A$1801,2026))/(SUMIFS('Data Cruda'!$K$2:$K$1801,'Data Cruda'!$D$2:$D$1801,"AGROINDUSTRIA FRUTOS DE ORO S.A.C.",'Data Cruda'!$A$2:$A$1801,2025)+SUMIFS('Data Cruda'!$K$2:$K$1801,'Data Cruda'!$D$2:$D$1801,"AGROINDUSTRIA FRUTOS DE ORO S.A.C.",'Data Cruda'!$A$2:$A$1801,2026)),0)</f>
        <v>0.16892887855580277</v>
      </c>
      <c r="F40" s="8">
        <v>3</v>
      </c>
    </row>
    <row r="41" spans="1:6" ht="15" customHeight="1" x14ac:dyDescent="0.3">
      <c r="A41" s="8">
        <v>12</v>
      </c>
      <c r="B41" s="6" t="s">
        <v>36</v>
      </c>
      <c r="C41" s="10">
        <v>497385.27</v>
      </c>
      <c r="D41" s="17">
        <v>7.8679060370543206E-3</v>
      </c>
      <c r="E41" s="17">
        <f>IFERROR((SUMIFS('Data Cruda'!$P$2:$P$1801,'Data Cruda'!$D$2:$D$1801,"CAMPOSOL S.A.",'Data Cruda'!$A$2:$A$1801,2025)+SUMIFS('Data Cruda'!$P$2:$P$1801,'Data Cruda'!$D$2:$D$1801,"CAMPOSOL S.A.",'Data Cruda'!$A$2:$A$1801,2026))/(SUMIFS('Data Cruda'!$K$2:$K$1801,'Data Cruda'!$D$2:$D$1801,"CAMPOSOL S.A.",'Data Cruda'!$A$2:$A$1801,2025)+SUMIFS('Data Cruda'!$K$2:$K$1801,'Data Cruda'!$D$2:$D$1801,"CAMPOSOL S.A.",'Data Cruda'!$A$2:$A$1801,2026)),0)</f>
        <v>0.15096729744328799</v>
      </c>
      <c r="F41" s="8">
        <v>1</v>
      </c>
    </row>
    <row r="42" spans="1:6" ht="15" customHeight="1" x14ac:dyDescent="0.3">
      <c r="A42" s="8">
        <v>13</v>
      </c>
      <c r="B42" s="6" t="s">
        <v>30</v>
      </c>
      <c r="C42" s="10">
        <v>460117.04</v>
      </c>
      <c r="D42" s="17">
        <v>7.2783772562616603E-3</v>
      </c>
      <c r="E42" s="17">
        <f>IFERROR((SUMIFS('Data Cruda'!$P$2:$P$1801,'Data Cruda'!$D$2:$D$1801,"SUN FRUITS EXPORTS S.A.",'Data Cruda'!$A$2:$A$1801,2025)+SUMIFS('Data Cruda'!$P$2:$P$1801,'Data Cruda'!$D$2:$D$1801,"SUN FRUITS EXPORTS S.A.",'Data Cruda'!$A$2:$A$1801,2026))/(SUMIFS('Data Cruda'!$K$2:$K$1801,'Data Cruda'!$D$2:$D$1801,"SUN FRUITS EXPORTS S.A.",'Data Cruda'!$A$2:$A$1801,2025)+SUMIFS('Data Cruda'!$K$2:$K$1801,'Data Cruda'!$D$2:$D$1801,"SUN FRUITS EXPORTS S.A.",'Data Cruda'!$A$2:$A$1801,2026)),0)</f>
        <v>0.20032218324276821</v>
      </c>
      <c r="F42" s="8">
        <v>3</v>
      </c>
    </row>
    <row r="43" spans="1:6" ht="15" customHeight="1" x14ac:dyDescent="0.3">
      <c r="A43" s="8">
        <v>14</v>
      </c>
      <c r="B43" s="6" t="s">
        <v>1794</v>
      </c>
      <c r="C43" s="10">
        <v>455000</v>
      </c>
      <c r="D43" s="17">
        <v>7.1974331826507804E-3</v>
      </c>
      <c r="E43" s="17">
        <f>IFERROR((SUMIFS('Data Cruda'!$P$2:$P$1801,'Data Cruda'!$D$2:$D$1801,"ESTANTERIAS METALICAS J.R.M. S.A.C",'Data Cruda'!$A$2:$A$1801,2025)+SUMIFS('Data Cruda'!$P$2:$P$1801,'Data Cruda'!$D$2:$D$1801,"ESTANTERIAS METALICAS J.R.M. S.A.C",'Data Cruda'!$A$2:$A$1801,2026))/(SUMIFS('Data Cruda'!$K$2:$K$1801,'Data Cruda'!$D$2:$D$1801,"ESTANTERIAS METALICAS J.R.M. S.A.C",'Data Cruda'!$A$2:$A$1801,2025)+SUMIFS('Data Cruda'!$K$2:$K$1801,'Data Cruda'!$D$2:$D$1801,"ESTANTERIAS METALICAS J.R.M. S.A.C",'Data Cruda'!$A$2:$A$1801,2026)),0)</f>
        <v>0.14243421978022</v>
      </c>
      <c r="F43" s="8">
        <v>1</v>
      </c>
    </row>
    <row r="44" spans="1:6" ht="15" customHeight="1" x14ac:dyDescent="0.3">
      <c r="A44" s="8">
        <v>15</v>
      </c>
      <c r="B44" s="6" t="s">
        <v>1692</v>
      </c>
      <c r="C44" s="10">
        <v>427469.32</v>
      </c>
      <c r="D44" s="17">
        <v>6.7619381721607998E-3</v>
      </c>
      <c r="E44" s="17">
        <f>IFERROR((SUMIFS('Data Cruda'!$P$2:$P$1801,'Data Cruda'!$D$2:$D$1801,"DELICE S.A.C",'Data Cruda'!$A$2:$A$1801,2025)+SUMIFS('Data Cruda'!$P$2:$P$1801,'Data Cruda'!$D$2:$D$1801,"DELICE S.A.C",'Data Cruda'!$A$2:$A$1801,2026))/(SUMIFS('Data Cruda'!$K$2:$K$1801,'Data Cruda'!$D$2:$D$1801,"DELICE S.A.C",'Data Cruda'!$A$2:$A$1801,2025)+SUMIFS('Data Cruda'!$K$2:$K$1801,'Data Cruda'!$D$2:$D$1801,"DELICE S.A.C",'Data Cruda'!$A$2:$A$1801,2026)),0)</f>
        <v>0.14045859478289577</v>
      </c>
      <c r="F44" s="8">
        <v>4</v>
      </c>
    </row>
    <row r="45" spans="1:6" ht="15" customHeight="1" x14ac:dyDescent="0.3">
      <c r="A45" s="8">
        <v>16</v>
      </c>
      <c r="B45" s="6" t="s">
        <v>155</v>
      </c>
      <c r="C45" s="10">
        <v>407039.67</v>
      </c>
      <c r="D45" s="17">
        <v>6.4387710494796099E-3</v>
      </c>
      <c r="E45" s="17">
        <f>IFERROR((SUMIFS('Data Cruda'!$P$2:$P$1801,'Data Cruda'!$D$2:$D$1801,"VIRU S.A.",'Data Cruda'!$A$2:$A$1801,2025)+SUMIFS('Data Cruda'!$P$2:$P$1801,'Data Cruda'!$D$2:$D$1801,"VIRU S.A.",'Data Cruda'!$A$2:$A$1801,2026))/(SUMIFS('Data Cruda'!$K$2:$K$1801,'Data Cruda'!$D$2:$D$1801,"VIRU S.A.",'Data Cruda'!$A$2:$A$1801,2025)+SUMIFS('Data Cruda'!$K$2:$K$1801,'Data Cruda'!$D$2:$D$1801,"VIRU S.A.",'Data Cruda'!$A$2:$A$1801,2026)),0)</f>
        <v>0.16478352097720619</v>
      </c>
      <c r="F45" s="8">
        <v>2</v>
      </c>
    </row>
    <row r="46" spans="1:6" ht="15" customHeight="1" x14ac:dyDescent="0.3">
      <c r="A46" s="8">
        <v>17</v>
      </c>
      <c r="B46" s="6" t="s">
        <v>1618</v>
      </c>
      <c r="C46" s="10">
        <v>402750.71999999997</v>
      </c>
      <c r="D46" s="17">
        <v>6.3709261460758101E-3</v>
      </c>
      <c r="E46" s="17">
        <f>IFERROR((SUMIFS('Data Cruda'!$P$2:$P$1801,'Data Cruda'!$D$2:$D$1801,"BERRY HARVEST S.A.",'Data Cruda'!$A$2:$A$1801,2025)+SUMIFS('Data Cruda'!$P$2:$P$1801,'Data Cruda'!$D$2:$D$1801,"BERRY HARVEST S.A.",'Data Cruda'!$A$2:$A$1801,2026))/(SUMIFS('Data Cruda'!$K$2:$K$1801,'Data Cruda'!$D$2:$D$1801,"BERRY HARVEST S.A.",'Data Cruda'!$A$2:$A$1801,2025)+SUMIFS('Data Cruda'!$K$2:$K$1801,'Data Cruda'!$D$2:$D$1801,"BERRY HARVEST S.A.",'Data Cruda'!$A$2:$A$1801,2026)),0)</f>
        <v>0.18555774152309421</v>
      </c>
      <c r="F46" s="8">
        <v>6</v>
      </c>
    </row>
    <row r="47" spans="1:6" ht="15" customHeight="1" x14ac:dyDescent="0.3">
      <c r="A47" s="8">
        <v>18</v>
      </c>
      <c r="B47" s="6" t="s">
        <v>769</v>
      </c>
      <c r="C47" s="10">
        <v>390950.55</v>
      </c>
      <c r="D47" s="17">
        <v>6.1842647502100504E-3</v>
      </c>
      <c r="E47" s="17">
        <f>IFERROR((SUMIFS('Data Cruda'!$P$2:$P$1801,'Data Cruda'!$D$2:$D$1801,"AGRICOLA 2M S.A.C.",'Data Cruda'!$A$2:$A$1801,2025)+SUMIFS('Data Cruda'!$P$2:$P$1801,'Data Cruda'!$D$2:$D$1801,"AGRICOLA 2M S.A.C.",'Data Cruda'!$A$2:$A$1801,2026))/(SUMIFS('Data Cruda'!$K$2:$K$1801,'Data Cruda'!$D$2:$D$1801,"AGRICOLA 2M S.A.C.",'Data Cruda'!$A$2:$A$1801,2025)+SUMIFS('Data Cruda'!$K$2:$K$1801,'Data Cruda'!$D$2:$D$1801,"AGRICOLA 2M S.A.C.",'Data Cruda'!$A$2:$A$1801,2026)),0)</f>
        <v>0.16107095769528931</v>
      </c>
      <c r="F47" s="8">
        <v>4</v>
      </c>
    </row>
    <row r="48" spans="1:6" ht="15" customHeight="1" x14ac:dyDescent="0.3">
      <c r="A48" s="8">
        <v>19</v>
      </c>
      <c r="B48" s="6" t="s">
        <v>844</v>
      </c>
      <c r="C48" s="10">
        <v>379901.83</v>
      </c>
      <c r="D48" s="17">
        <v>6.0094901920697899E-3</v>
      </c>
      <c r="E48" s="17">
        <f>IFERROR((SUMIFS('Data Cruda'!$P$2:$P$1801,'Data Cruda'!$D$2:$D$1801,"QALI FRUITS S.A.C.",'Data Cruda'!$A$2:$A$1801,2025)+SUMIFS('Data Cruda'!$P$2:$P$1801,'Data Cruda'!$D$2:$D$1801,"QALI FRUITS S.A.C.",'Data Cruda'!$A$2:$A$1801,2026))/(SUMIFS('Data Cruda'!$K$2:$K$1801,'Data Cruda'!$D$2:$D$1801,"QALI FRUITS S.A.C.",'Data Cruda'!$A$2:$A$1801,2025)+SUMIFS('Data Cruda'!$K$2:$K$1801,'Data Cruda'!$D$2:$D$1801,"QALI FRUITS S.A.C.",'Data Cruda'!$A$2:$A$1801,2026)),0)</f>
        <v>0.153824423535944</v>
      </c>
      <c r="F48" s="8">
        <v>1</v>
      </c>
    </row>
    <row r="49" spans="1:6" ht="15" customHeight="1" x14ac:dyDescent="0.3">
      <c r="A49" s="8">
        <v>20</v>
      </c>
      <c r="B49" s="6" t="s">
        <v>1569</v>
      </c>
      <c r="C49" s="10">
        <v>321860.28000000003</v>
      </c>
      <c r="D49" s="17">
        <v>5.0913579328555397E-3</v>
      </c>
      <c r="E49" s="17">
        <f>IFERROR((SUMIFS('Data Cruda'!$P$2:$P$1801,'Data Cruda'!$D$2:$D$1801,"DIAMOND BRIDGE SAC",'Data Cruda'!$A$2:$A$1801,2025)+SUMIFS('Data Cruda'!$P$2:$P$1801,'Data Cruda'!$D$2:$D$1801,"DIAMOND BRIDGE SAC",'Data Cruda'!$A$2:$A$1801,2026))/(SUMIFS('Data Cruda'!$K$2:$K$1801,'Data Cruda'!$D$2:$D$1801,"DIAMOND BRIDGE SAC",'Data Cruda'!$A$2:$A$1801,2025)+SUMIFS('Data Cruda'!$K$2:$K$1801,'Data Cruda'!$D$2:$D$1801,"DIAMOND BRIDGE SAC",'Data Cruda'!$A$2:$A$1801,2026)),0)</f>
        <v>0.1651831471718104</v>
      </c>
      <c r="F49" s="8">
        <v>5</v>
      </c>
    </row>
    <row r="50" spans="1:6" ht="15" customHeight="1" x14ac:dyDescent="0.3">
      <c r="A50" s="8">
        <v>21</v>
      </c>
      <c r="B50" s="6" t="s">
        <v>1694</v>
      </c>
      <c r="C50" s="10">
        <v>317796.61</v>
      </c>
      <c r="D50" s="17">
        <v>5.02707662889654E-3</v>
      </c>
      <c r="E50" s="17">
        <f>IFERROR((SUMIFS('Data Cruda'!$P$2:$P$1801,'Data Cruda'!$D$2:$D$1801,"LIMONES PIURANOS SOCIEDAD ANONIMA CERRADA",'Data Cruda'!$A$2:$A$1801,2025)+SUMIFS('Data Cruda'!$P$2:$P$1801,'Data Cruda'!$D$2:$D$1801,"LIMONES PIURANOS SOCIEDAD ANONIMA CERRADA",'Data Cruda'!$A$2:$A$1801,2026))/(SUMIFS('Data Cruda'!$K$2:$K$1801,'Data Cruda'!$D$2:$D$1801,"LIMONES PIURANOS SOCIEDAD ANONIMA CERRADA",'Data Cruda'!$A$2:$A$1801,2025)+SUMIFS('Data Cruda'!$K$2:$K$1801,'Data Cruda'!$D$2:$D$1801,"LIMONES PIURANOS SOCIEDAD ANONIMA CERRADA",'Data Cruda'!$A$2:$A$1801,2026)),0)</f>
        <v>0.17076041182440493</v>
      </c>
      <c r="F50" s="8">
        <v>1</v>
      </c>
    </row>
    <row r="51" spans="1:6" ht="15" customHeight="1" x14ac:dyDescent="0.3">
      <c r="A51" s="8">
        <v>22</v>
      </c>
      <c r="B51" s="6" t="s">
        <v>1384</v>
      </c>
      <c r="C51" s="10">
        <v>282000.84999999998</v>
      </c>
      <c r="D51" s="17">
        <v>4.4608401655510397E-3</v>
      </c>
      <c r="E51" s="17">
        <f>IFERROR((SUMIFS('Data Cruda'!$P$2:$P$1801,'Data Cruda'!$D$2:$D$1801,"SOCIEDAD AGRICOLA 3P S.A.C.",'Data Cruda'!$A$2:$A$1801,2025)+SUMIFS('Data Cruda'!$P$2:$P$1801,'Data Cruda'!$D$2:$D$1801,"SOCIEDAD AGRICOLA 3P S.A.C.",'Data Cruda'!$A$2:$A$1801,2026))/(SUMIFS('Data Cruda'!$K$2:$K$1801,'Data Cruda'!$D$2:$D$1801,"SOCIEDAD AGRICOLA 3P S.A.C.",'Data Cruda'!$A$2:$A$1801,2025)+SUMIFS('Data Cruda'!$K$2:$K$1801,'Data Cruda'!$D$2:$D$1801,"SOCIEDAD AGRICOLA 3P S.A.C.",'Data Cruda'!$A$2:$A$1801,2026)),0)</f>
        <v>0.16068062915413198</v>
      </c>
      <c r="F51" s="8">
        <v>5</v>
      </c>
    </row>
    <row r="52" spans="1:6" ht="15" customHeight="1" x14ac:dyDescent="0.3">
      <c r="A52" s="8">
        <v>23</v>
      </c>
      <c r="B52" s="6" t="s">
        <v>1525</v>
      </c>
      <c r="C52" s="10">
        <v>256513.28</v>
      </c>
      <c r="D52" s="17">
        <v>4.0576641610166799E-3</v>
      </c>
      <c r="E52" s="17">
        <f>IFERROR((SUMIFS('Data Cruda'!$P$2:$P$1801,'Data Cruda'!$D$2:$D$1801,"AGRICOLA GANADERA LAS CANELAS SAC",'Data Cruda'!$A$2:$A$1801,2025)+SUMIFS('Data Cruda'!$P$2:$P$1801,'Data Cruda'!$D$2:$D$1801,"AGRICOLA GANADERA LAS CANELAS SAC",'Data Cruda'!$A$2:$A$1801,2026))/(SUMIFS('Data Cruda'!$K$2:$K$1801,'Data Cruda'!$D$2:$D$1801,"AGRICOLA GANADERA LAS CANELAS SAC",'Data Cruda'!$A$2:$A$1801,2025)+SUMIFS('Data Cruda'!$K$2:$K$1801,'Data Cruda'!$D$2:$D$1801,"AGRICOLA GANADERA LAS CANELAS SAC",'Data Cruda'!$A$2:$A$1801,2026)),0)</f>
        <v>0.14587639673080474</v>
      </c>
      <c r="F52" s="8">
        <v>4</v>
      </c>
    </row>
    <row r="53" spans="1:6" ht="15" customHeight="1" x14ac:dyDescent="0.3">
      <c r="A53" s="25"/>
      <c r="B53" s="25" t="s">
        <v>1985</v>
      </c>
      <c r="C53" s="26">
        <v>12746465.9549153</v>
      </c>
      <c r="D53" s="27">
        <v>0.201630411044913</v>
      </c>
    </row>
    <row r="55" spans="1:6" ht="15" customHeight="1" x14ac:dyDescent="0.3">
      <c r="A55" s="73" t="s">
        <v>1986</v>
      </c>
      <c r="B55" s="73"/>
      <c r="C55" s="73"/>
      <c r="D55" s="73"/>
      <c r="E55" s="73"/>
      <c r="F55" s="73"/>
    </row>
    <row r="56" spans="1:6" ht="15" customHeight="1" x14ac:dyDescent="0.3">
      <c r="A56" s="7" t="s">
        <v>1898</v>
      </c>
      <c r="B56" s="7" t="s">
        <v>3</v>
      </c>
      <c r="C56" s="7" t="s">
        <v>1958</v>
      </c>
      <c r="D56" s="7" t="s">
        <v>1981</v>
      </c>
      <c r="E56" s="7" t="s">
        <v>1949</v>
      </c>
      <c r="F56" s="7" t="s">
        <v>1982</v>
      </c>
    </row>
    <row r="57" spans="1:6" ht="15" customHeight="1" x14ac:dyDescent="0.3">
      <c r="A57" s="8">
        <v>1</v>
      </c>
      <c r="B57" s="6" t="s">
        <v>763</v>
      </c>
      <c r="C57" s="10">
        <v>232667.897627119</v>
      </c>
      <c r="D57" s="17">
        <v>3.6804651580637799E-3</v>
      </c>
      <c r="E57" s="17">
        <f>IFERROR((SUMIFS('Data Cruda'!$P$2:$P$1801,'Data Cruda'!$D$2:$D$1801,"CONSORCIO AGRICOLA MOQUEGUA S.A.C.",'Data Cruda'!$A$2:$A$1801,2025)+SUMIFS('Data Cruda'!$P$2:$P$1801,'Data Cruda'!$D$2:$D$1801,"CONSORCIO AGRICOLA MOQUEGUA S.A.C.",'Data Cruda'!$A$2:$A$1801,2026))/(SUMIFS('Data Cruda'!$K$2:$K$1801,'Data Cruda'!$D$2:$D$1801,"CONSORCIO AGRICOLA MOQUEGUA S.A.C.",'Data Cruda'!$A$2:$A$1801,2025)+SUMIFS('Data Cruda'!$K$2:$K$1801,'Data Cruda'!$D$2:$D$1801,"CONSORCIO AGRICOLA MOQUEGUA S.A.C.",'Data Cruda'!$A$2:$A$1801,2026)),0)</f>
        <v>0.15369864241998482</v>
      </c>
      <c r="F57" s="8">
        <v>2</v>
      </c>
    </row>
    <row r="58" spans="1:6" ht="15" customHeight="1" x14ac:dyDescent="0.3">
      <c r="A58" s="8">
        <v>2</v>
      </c>
      <c r="B58" s="6" t="s">
        <v>679</v>
      </c>
      <c r="C58" s="10">
        <v>227719.49</v>
      </c>
      <c r="D58" s="17">
        <v>3.6021886014556302E-3</v>
      </c>
      <c r="E58" s="17">
        <f>IFERROR((SUMIFS('Data Cruda'!$P$2:$P$1801,'Data Cruda'!$D$2:$D$1801,"T &amp; T FRUITS S.A.",'Data Cruda'!$A$2:$A$1801,2025)+SUMIFS('Data Cruda'!$P$2:$P$1801,'Data Cruda'!$D$2:$D$1801,"T &amp; T FRUITS S.A.",'Data Cruda'!$A$2:$A$1801,2026))/(SUMIFS('Data Cruda'!$K$2:$K$1801,'Data Cruda'!$D$2:$D$1801,"T &amp; T FRUITS S.A.",'Data Cruda'!$A$2:$A$1801,2025)+SUMIFS('Data Cruda'!$K$2:$K$1801,'Data Cruda'!$D$2:$D$1801,"T &amp; T FRUITS S.A.",'Data Cruda'!$A$2:$A$1801,2026)),0)</f>
        <v>0.13892170582324814</v>
      </c>
      <c r="F58" s="8">
        <v>1</v>
      </c>
    </row>
    <row r="59" spans="1:6" ht="15" customHeight="1" x14ac:dyDescent="0.3">
      <c r="A59" s="8">
        <v>3</v>
      </c>
      <c r="B59" s="6" t="s">
        <v>1647</v>
      </c>
      <c r="C59" s="10">
        <v>226880.03</v>
      </c>
      <c r="D59" s="17">
        <v>3.58890957451166E-3</v>
      </c>
      <c r="E59" s="17">
        <f>IFERROR((SUMIFS('Data Cruda'!$P$2:$P$1801,'Data Cruda'!$D$2:$D$1801,"SAN EFISIO S.A.C.",'Data Cruda'!$A$2:$A$1801,2025)+SUMIFS('Data Cruda'!$P$2:$P$1801,'Data Cruda'!$D$2:$D$1801,"SAN EFISIO S.A.C.",'Data Cruda'!$A$2:$A$1801,2026))/(SUMIFS('Data Cruda'!$K$2:$K$1801,'Data Cruda'!$D$2:$D$1801,"SAN EFISIO S.A.C.",'Data Cruda'!$A$2:$A$1801,2025)+SUMIFS('Data Cruda'!$K$2:$K$1801,'Data Cruda'!$D$2:$D$1801,"SAN EFISIO S.A.C.",'Data Cruda'!$A$2:$A$1801,2026)),0)</f>
        <v>0.19791984336391397</v>
      </c>
      <c r="F59" s="8">
        <v>1</v>
      </c>
    </row>
    <row r="60" spans="1:6" ht="15" customHeight="1" x14ac:dyDescent="0.3">
      <c r="A60" s="8">
        <v>4</v>
      </c>
      <c r="B60" s="6" t="s">
        <v>1627</v>
      </c>
      <c r="C60" s="10">
        <v>222254</v>
      </c>
      <c r="D60" s="17">
        <v>3.5157325595095998E-3</v>
      </c>
      <c r="E60" s="17">
        <f>IFERROR((SUMIFS('Data Cruda'!$P$2:$P$1801,'Data Cruda'!$D$2:$D$1801,"UNIÓN DE CERVECERÍAS PERUANAS BACKUS Y JOHNSTON SAC",'Data Cruda'!$A$2:$A$1801,2025)+SUMIFS('Data Cruda'!$P$2:$P$1801,'Data Cruda'!$D$2:$D$1801,"UNIÓN DE CERVECERÍAS PERUANAS BACKUS Y JOHNSTON SAC",'Data Cruda'!$A$2:$A$1801,2026))/(SUMIFS('Data Cruda'!$K$2:$K$1801,'Data Cruda'!$D$2:$D$1801,"UNIÓN DE CERVECERÍAS PERUANAS BACKUS Y JOHNSTON SAC",'Data Cruda'!$A$2:$A$1801,2025)+SUMIFS('Data Cruda'!$K$2:$K$1801,'Data Cruda'!$D$2:$D$1801,"UNIÓN DE CERVECERÍAS PERUANAS BACKUS Y JOHNSTON SAC",'Data Cruda'!$A$2:$A$1801,2026)),0)</f>
        <v>0.12469998290244495</v>
      </c>
      <c r="F60" s="8">
        <v>1</v>
      </c>
    </row>
    <row r="61" spans="1:6" ht="15" customHeight="1" x14ac:dyDescent="0.3">
      <c r="A61" s="8">
        <v>5</v>
      </c>
      <c r="B61" s="6" t="s">
        <v>566</v>
      </c>
      <c r="C61" s="10">
        <v>216754.9</v>
      </c>
      <c r="D61" s="17">
        <v>3.42874485662011E-3</v>
      </c>
      <c r="E61" s="17">
        <f>IFERROR((SUMIFS('Data Cruda'!$P$2:$P$1801,'Data Cruda'!$D$2:$D$1801,"VIVEROS EL TAMBO S.A.C.",'Data Cruda'!$A$2:$A$1801,2025)+SUMIFS('Data Cruda'!$P$2:$P$1801,'Data Cruda'!$D$2:$D$1801,"VIVEROS EL TAMBO S.A.C.",'Data Cruda'!$A$2:$A$1801,2026))/(SUMIFS('Data Cruda'!$K$2:$K$1801,'Data Cruda'!$D$2:$D$1801,"VIVEROS EL TAMBO S.A.C.",'Data Cruda'!$A$2:$A$1801,2025)+SUMIFS('Data Cruda'!$K$2:$K$1801,'Data Cruda'!$D$2:$D$1801,"VIVEROS EL TAMBO S.A.C.",'Data Cruda'!$A$2:$A$1801,2026)),0)</f>
        <v>0.19515784879603598</v>
      </c>
      <c r="F61" s="8">
        <v>1</v>
      </c>
    </row>
    <row r="62" spans="1:6" ht="15" customHeight="1" x14ac:dyDescent="0.3">
      <c r="A62" s="8">
        <v>6</v>
      </c>
      <c r="B62" s="6" t="s">
        <v>1797</v>
      </c>
      <c r="C62" s="10">
        <v>206089.67</v>
      </c>
      <c r="D62" s="17">
        <v>3.2600365482627399E-3</v>
      </c>
      <c r="E62" s="17">
        <f>IFERROR((SUMIFS('Data Cruda'!$P$2:$P$1801,'Data Cruda'!$D$2:$D$1801,"UNIVERSIDAD FEDERICO HENRIQUEZ Y CARVAJAL",'Data Cruda'!$A$2:$A$1801,2025)+SUMIFS('Data Cruda'!$P$2:$P$1801,'Data Cruda'!$D$2:$D$1801,"UNIVERSIDAD FEDERICO HENRIQUEZ Y CARVAJAL",'Data Cruda'!$A$2:$A$1801,2026))/(SUMIFS('Data Cruda'!$K$2:$K$1801,'Data Cruda'!$D$2:$D$1801,"UNIVERSIDAD FEDERICO HENRIQUEZ Y CARVAJAL",'Data Cruda'!$A$2:$A$1801,2025)+SUMIFS('Data Cruda'!$K$2:$K$1801,'Data Cruda'!$D$2:$D$1801,"UNIVERSIDAD FEDERICO HENRIQUEZ Y CARVAJAL",'Data Cruda'!$A$2:$A$1801,2026)),0)</f>
        <v>0.37198210856468394</v>
      </c>
      <c r="F62" s="8">
        <v>1</v>
      </c>
    </row>
    <row r="63" spans="1:6" ht="15" customHeight="1" x14ac:dyDescent="0.3">
      <c r="A63" s="8">
        <v>7</v>
      </c>
      <c r="B63" s="6" t="s">
        <v>1743</v>
      </c>
      <c r="C63" s="10">
        <v>203678.39</v>
      </c>
      <c r="D63" s="17">
        <v>3.2218936324722798E-3</v>
      </c>
      <c r="E63" s="17">
        <f>IFERROR((SUMIFS('Data Cruda'!$P$2:$P$1801,'Data Cruda'!$D$2:$D$1801,"ARCA CONTINENTAL LINDLEY S.A.",'Data Cruda'!$A$2:$A$1801,2025)+SUMIFS('Data Cruda'!$P$2:$P$1801,'Data Cruda'!$D$2:$D$1801,"ARCA CONTINENTAL LINDLEY S.A.",'Data Cruda'!$A$2:$A$1801,2026))/(SUMIFS('Data Cruda'!$K$2:$K$1801,'Data Cruda'!$D$2:$D$1801,"ARCA CONTINENTAL LINDLEY S.A.",'Data Cruda'!$A$2:$A$1801,2025)+SUMIFS('Data Cruda'!$K$2:$K$1801,'Data Cruda'!$D$2:$D$1801,"ARCA CONTINENTAL LINDLEY S.A.",'Data Cruda'!$A$2:$A$1801,2026)),0)</f>
        <v>0.21300256742995707</v>
      </c>
      <c r="F63" s="8">
        <v>1</v>
      </c>
    </row>
    <row r="64" spans="1:6" ht="15" customHeight="1" x14ac:dyDescent="0.3">
      <c r="A64" s="8">
        <v>8</v>
      </c>
      <c r="B64" s="6" t="s">
        <v>470</v>
      </c>
      <c r="C64" s="10">
        <v>194358.88135593201</v>
      </c>
      <c r="D64" s="17">
        <v>3.0744726637671901E-3</v>
      </c>
      <c r="E64" s="17">
        <f>IFERROR((SUMIFS('Data Cruda'!$P$2:$P$1801,'Data Cruda'!$D$2:$D$1801,"EMPRESA AGRICOLA SAN JUAN S.A",'Data Cruda'!$A$2:$A$1801,2025)+SUMIFS('Data Cruda'!$P$2:$P$1801,'Data Cruda'!$D$2:$D$1801,"EMPRESA AGRICOLA SAN JUAN S.A",'Data Cruda'!$A$2:$A$1801,2026))/(SUMIFS('Data Cruda'!$K$2:$K$1801,'Data Cruda'!$D$2:$D$1801,"EMPRESA AGRICOLA SAN JUAN S.A",'Data Cruda'!$A$2:$A$1801,2025)+SUMIFS('Data Cruda'!$K$2:$K$1801,'Data Cruda'!$D$2:$D$1801,"EMPRESA AGRICOLA SAN JUAN S.A",'Data Cruda'!$A$2:$A$1801,2026)),0)</f>
        <v>0.18937786502585624</v>
      </c>
      <c r="F64" s="8">
        <v>1</v>
      </c>
    </row>
    <row r="65" spans="1:6" ht="15" customHeight="1" x14ac:dyDescent="0.3">
      <c r="A65" s="8">
        <v>9</v>
      </c>
      <c r="B65" s="6" t="s">
        <v>1566</v>
      </c>
      <c r="C65" s="10">
        <v>189851.72</v>
      </c>
      <c r="D65" s="17">
        <v>3.0031759765084E-3</v>
      </c>
      <c r="E65" s="17">
        <f>IFERROR((SUMIFS('Data Cruda'!$P$2:$P$1801,'Data Cruda'!$D$2:$D$1801,"DISTRIBUIDORA EXCLUSIVA DE PRODUCTOS DE CALIDAD SAC",'Data Cruda'!$A$2:$A$1801,2025)+SUMIFS('Data Cruda'!$P$2:$P$1801,'Data Cruda'!$D$2:$D$1801,"DISTRIBUIDORA EXCLUSIVA DE PRODUCTOS DE CALIDAD SAC",'Data Cruda'!$A$2:$A$1801,2026))/(SUMIFS('Data Cruda'!$K$2:$K$1801,'Data Cruda'!$D$2:$D$1801,"DISTRIBUIDORA EXCLUSIVA DE PRODUCTOS DE CALIDAD SAC",'Data Cruda'!$A$2:$A$1801,2025)+SUMIFS('Data Cruda'!$K$2:$K$1801,'Data Cruda'!$D$2:$D$1801,"DISTRIBUIDORA EXCLUSIVA DE PRODUCTOS DE CALIDAD SAC",'Data Cruda'!$A$2:$A$1801,2026)),0)</f>
        <v>0</v>
      </c>
      <c r="F65" s="8">
        <v>1</v>
      </c>
    </row>
    <row r="66" spans="1:6" ht="15" customHeight="1" x14ac:dyDescent="0.3">
      <c r="A66" s="8">
        <v>10</v>
      </c>
      <c r="B66" s="6" t="s">
        <v>1522</v>
      </c>
      <c r="C66" s="10">
        <v>175587.99</v>
      </c>
      <c r="D66" s="17">
        <v>2.7775446718702299E-3</v>
      </c>
      <c r="E66" s="17">
        <f>IFERROR((SUMIFS('Data Cruda'!$P$2:$P$1801,'Data Cruda'!$D$2:$D$1801,"FUSION FOODS S.A.C.",'Data Cruda'!$A$2:$A$1801,2025)+SUMIFS('Data Cruda'!$P$2:$P$1801,'Data Cruda'!$D$2:$D$1801,"FUSION FOODS S.A.C.",'Data Cruda'!$A$2:$A$1801,2026))/(SUMIFS('Data Cruda'!$K$2:$K$1801,'Data Cruda'!$D$2:$D$1801,"FUSION FOODS S.A.C.",'Data Cruda'!$A$2:$A$1801,2025)+SUMIFS('Data Cruda'!$K$2:$K$1801,'Data Cruda'!$D$2:$D$1801,"FUSION FOODS S.A.C.",'Data Cruda'!$A$2:$A$1801,2026)),0)</f>
        <v>9.4202285703025579E-2</v>
      </c>
      <c r="F66" s="8">
        <v>3</v>
      </c>
    </row>
    <row r="67" spans="1:6" ht="15" customHeight="1" x14ac:dyDescent="0.3">
      <c r="A67" s="8">
        <v>11</v>
      </c>
      <c r="B67" s="6" t="s">
        <v>1563</v>
      </c>
      <c r="C67" s="10">
        <v>117308</v>
      </c>
      <c r="D67" s="17">
        <v>1.8556406412975799E-3</v>
      </c>
      <c r="E67" s="17">
        <f>IFERROR((SUMIFS('Data Cruda'!$P$2:$P$1801,'Data Cruda'!$D$2:$D$1801,"AUSTRAL GROUP S.A.A.",'Data Cruda'!$A$2:$A$1801,2025)+SUMIFS('Data Cruda'!$P$2:$P$1801,'Data Cruda'!$D$2:$D$1801,"AUSTRAL GROUP S.A.A.",'Data Cruda'!$A$2:$A$1801,2026))/(SUMIFS('Data Cruda'!$K$2:$K$1801,'Data Cruda'!$D$2:$D$1801,"AUSTRAL GROUP S.A.A.",'Data Cruda'!$A$2:$A$1801,2025)+SUMIFS('Data Cruda'!$K$2:$K$1801,'Data Cruda'!$D$2:$D$1801,"AUSTRAL GROUP S.A.A.",'Data Cruda'!$A$2:$A$1801,2026)),0)</f>
        <v>0</v>
      </c>
      <c r="F67" s="8">
        <v>1</v>
      </c>
    </row>
    <row r="68" spans="1:6" ht="15" customHeight="1" x14ac:dyDescent="0.3">
      <c r="A68" s="8">
        <v>12</v>
      </c>
      <c r="B68" s="6" t="s">
        <v>1801</v>
      </c>
      <c r="C68" s="10">
        <v>110710</v>
      </c>
      <c r="D68" s="17">
        <v>1.7512699508819101E-3</v>
      </c>
      <c r="E68" s="17">
        <f>IFERROR((SUMIFS('Data Cruda'!$P$2:$P$1801,'Data Cruda'!$D$2:$D$1801,"REITER PERUVIAN BERRY S.A.",'Data Cruda'!$A$2:$A$1801,2025)+SUMIFS('Data Cruda'!$P$2:$P$1801,'Data Cruda'!$D$2:$D$1801,"REITER PERUVIAN BERRY S.A.",'Data Cruda'!$A$2:$A$1801,2026))/(SUMIFS('Data Cruda'!$K$2:$K$1801,'Data Cruda'!$D$2:$D$1801,"REITER PERUVIAN BERRY S.A.",'Data Cruda'!$A$2:$A$1801,2025)+SUMIFS('Data Cruda'!$K$2:$K$1801,'Data Cruda'!$D$2:$D$1801,"REITER PERUVIAN BERRY S.A.",'Data Cruda'!$A$2:$A$1801,2026)),0)</f>
        <v>0.14169352362026916</v>
      </c>
      <c r="F68" s="8">
        <v>1</v>
      </c>
    </row>
    <row r="69" spans="1:6" ht="15" customHeight="1" x14ac:dyDescent="0.3">
      <c r="A69" s="8">
        <v>13</v>
      </c>
      <c r="B69" s="6" t="s">
        <v>1861</v>
      </c>
      <c r="C69" s="10">
        <v>106047.18</v>
      </c>
      <c r="D69" s="17">
        <v>1.67751097199679E-3</v>
      </c>
      <c r="E69" s="17">
        <f>IFERROR((SUMIFS('Data Cruda'!$P$2:$P$1801,'Data Cruda'!$D$2:$D$1801,"AGRICOLA HUARMEY S.A.C.",'Data Cruda'!$A$2:$A$1801,2025)+SUMIFS('Data Cruda'!$P$2:$P$1801,'Data Cruda'!$D$2:$D$1801,"AGRICOLA HUARMEY S.A.C.",'Data Cruda'!$A$2:$A$1801,2026))/(SUMIFS('Data Cruda'!$K$2:$K$1801,'Data Cruda'!$D$2:$D$1801,"AGRICOLA HUARMEY S.A.C.",'Data Cruda'!$A$2:$A$1801,2025)+SUMIFS('Data Cruda'!$K$2:$K$1801,'Data Cruda'!$D$2:$D$1801,"AGRICOLA HUARMEY S.A.C.",'Data Cruda'!$A$2:$A$1801,2026)),0)</f>
        <v>0.17593716306270485</v>
      </c>
      <c r="F69" s="8">
        <v>2</v>
      </c>
    </row>
    <row r="70" spans="1:6" ht="15" customHeight="1" x14ac:dyDescent="0.3">
      <c r="A70" s="8">
        <v>14</v>
      </c>
      <c r="B70" s="6" t="s">
        <v>1809</v>
      </c>
      <c r="C70" s="10">
        <v>101933.16</v>
      </c>
      <c r="D70" s="17">
        <v>1.6124332048273601E-3</v>
      </c>
      <c r="E70" s="17">
        <f>IFERROR((SUMIFS('Data Cruda'!$P$2:$P$1801,'Data Cruda'!$D$2:$D$1801,"INGENIERIA EN CARTONES Y PAPELES S.A.C",'Data Cruda'!$A$2:$A$1801,2025)+SUMIFS('Data Cruda'!$P$2:$P$1801,'Data Cruda'!$D$2:$D$1801,"INGENIERIA EN CARTONES Y PAPELES S.A.C",'Data Cruda'!$A$2:$A$1801,2026))/(SUMIFS('Data Cruda'!$K$2:$K$1801,'Data Cruda'!$D$2:$D$1801,"INGENIERIA EN CARTONES Y PAPELES S.A.C",'Data Cruda'!$A$2:$A$1801,2025)+SUMIFS('Data Cruda'!$K$2:$K$1801,'Data Cruda'!$D$2:$D$1801,"INGENIERIA EN CARTONES Y PAPELES S.A.C",'Data Cruda'!$A$2:$A$1801,2026)),0)</f>
        <v>0.2003336303907384</v>
      </c>
      <c r="F70" s="8">
        <v>1</v>
      </c>
    </row>
    <row r="71" spans="1:6" ht="15" customHeight="1" x14ac:dyDescent="0.3">
      <c r="A71" s="8">
        <v>15</v>
      </c>
      <c r="B71" s="6" t="s">
        <v>1651</v>
      </c>
      <c r="C71" s="10">
        <v>99000</v>
      </c>
      <c r="D71" s="17">
        <v>1.56603491226907E-3</v>
      </c>
      <c r="E71" s="17">
        <f>IFERROR((SUMIFS('Data Cruda'!$P$2:$P$1801,'Data Cruda'!$D$2:$D$1801,"IN VITRO LAB PERU S.A.C",'Data Cruda'!$A$2:$A$1801,2025)+SUMIFS('Data Cruda'!$P$2:$P$1801,'Data Cruda'!$D$2:$D$1801,"IN VITRO LAB PERU S.A.C",'Data Cruda'!$A$2:$A$1801,2026))/(SUMIFS('Data Cruda'!$K$2:$K$1801,'Data Cruda'!$D$2:$D$1801,"IN VITRO LAB PERU S.A.C",'Data Cruda'!$A$2:$A$1801,2025)+SUMIFS('Data Cruda'!$K$2:$K$1801,'Data Cruda'!$D$2:$D$1801,"IN VITRO LAB PERU S.A.C",'Data Cruda'!$A$2:$A$1801,2026)),0)</f>
        <v>0.3</v>
      </c>
      <c r="F71" s="8">
        <v>1</v>
      </c>
    </row>
    <row r="72" spans="1:6" ht="15" customHeight="1" x14ac:dyDescent="0.3">
      <c r="A72" s="8">
        <v>16</v>
      </c>
      <c r="B72" s="6" t="s">
        <v>1621</v>
      </c>
      <c r="C72" s="10">
        <v>96847.02</v>
      </c>
      <c r="D72" s="17">
        <v>1.53197792393152E-3</v>
      </c>
      <c r="E72" s="17">
        <f>IFERROR((SUMIFS('Data Cruda'!$P$2:$P$1801,'Data Cruda'!$D$2:$D$1801,"QBERRIES SAC",'Data Cruda'!$A$2:$A$1801,2025)+SUMIFS('Data Cruda'!$P$2:$P$1801,'Data Cruda'!$D$2:$D$1801,"QBERRIES SAC",'Data Cruda'!$A$2:$A$1801,2026))/(SUMIFS('Data Cruda'!$K$2:$K$1801,'Data Cruda'!$D$2:$D$1801,"QBERRIES SAC",'Data Cruda'!$A$2:$A$1801,2025)+SUMIFS('Data Cruda'!$K$2:$K$1801,'Data Cruda'!$D$2:$D$1801,"QBERRIES SAC",'Data Cruda'!$A$2:$A$1801,2026)),0)</f>
        <v>0.3</v>
      </c>
      <c r="F72" s="8">
        <v>2</v>
      </c>
    </row>
    <row r="73" spans="1:6" ht="15" customHeight="1" x14ac:dyDescent="0.3">
      <c r="A73" s="8">
        <v>17</v>
      </c>
      <c r="B73" s="6" t="s">
        <v>832</v>
      </c>
      <c r="C73" s="10">
        <v>77696.990000000005</v>
      </c>
      <c r="D73" s="17">
        <v>1.2290525143254601E-3</v>
      </c>
      <c r="E73" s="17">
        <f>IFERROR((SUMIFS('Data Cruda'!$P$2:$P$1801,'Data Cruda'!$D$2:$D$1801,"SMART PACKING S.A.C.",'Data Cruda'!$A$2:$A$1801,2025)+SUMIFS('Data Cruda'!$P$2:$P$1801,'Data Cruda'!$D$2:$D$1801,"SMART PACKING S.A.C.",'Data Cruda'!$A$2:$A$1801,2026))/(SUMIFS('Data Cruda'!$K$2:$K$1801,'Data Cruda'!$D$2:$D$1801,"SMART PACKING S.A.C.",'Data Cruda'!$A$2:$A$1801,2025)+SUMIFS('Data Cruda'!$K$2:$K$1801,'Data Cruda'!$D$2:$D$1801,"SMART PACKING S.A.C.",'Data Cruda'!$A$2:$A$1801,2026)),0)</f>
        <v>0.14254606259521768</v>
      </c>
      <c r="F73" s="8">
        <v>3</v>
      </c>
    </row>
    <row r="74" spans="1:6" ht="15" customHeight="1" x14ac:dyDescent="0.3">
      <c r="A74" s="8">
        <v>18</v>
      </c>
      <c r="B74" s="6" t="s">
        <v>1767</v>
      </c>
      <c r="C74" s="10">
        <v>61715.57</v>
      </c>
      <c r="D74" s="17">
        <v>9.7624987121803695E-4</v>
      </c>
      <c r="E74" s="17">
        <f>IFERROR((SUMIFS('Data Cruda'!$P$2:$P$1801,'Data Cruda'!$D$2:$D$1801,"FLORISERT S.A.C.",'Data Cruda'!$A$2:$A$1801,2025)+SUMIFS('Data Cruda'!$P$2:$P$1801,'Data Cruda'!$D$2:$D$1801,"FLORISERT S.A.C.",'Data Cruda'!$A$2:$A$1801,2026))/(SUMIFS('Data Cruda'!$K$2:$K$1801,'Data Cruda'!$D$2:$D$1801,"FLORISERT S.A.C.",'Data Cruda'!$A$2:$A$1801,2025)+SUMIFS('Data Cruda'!$K$2:$K$1801,'Data Cruda'!$D$2:$D$1801,"FLORISERT S.A.C.",'Data Cruda'!$A$2:$A$1801,2026)),0)</f>
        <v>0.16841860165919231</v>
      </c>
      <c r="F74" s="8">
        <v>1</v>
      </c>
    </row>
    <row r="75" spans="1:6" ht="15" customHeight="1" x14ac:dyDescent="0.3">
      <c r="A75" s="8">
        <v>19</v>
      </c>
      <c r="B75" s="6" t="s">
        <v>746</v>
      </c>
      <c r="C75" s="10">
        <v>50827.6</v>
      </c>
      <c r="D75" s="17">
        <v>8.0401814249340801E-4</v>
      </c>
      <c r="E75" s="17">
        <f>IFERROR((SUMIFS('Data Cruda'!$P$2:$P$1801,'Data Cruda'!$D$2:$D$1801,"LOS OLIVOS DE VILLACURI S.A.C.",'Data Cruda'!$A$2:$A$1801,2025)+SUMIFS('Data Cruda'!$P$2:$P$1801,'Data Cruda'!$D$2:$D$1801,"LOS OLIVOS DE VILLACURI S.A.C.",'Data Cruda'!$A$2:$A$1801,2026))/(SUMIFS('Data Cruda'!$K$2:$K$1801,'Data Cruda'!$D$2:$D$1801,"LOS OLIVOS DE VILLACURI S.A.C.",'Data Cruda'!$A$2:$A$1801,2025)+SUMIFS('Data Cruda'!$K$2:$K$1801,'Data Cruda'!$D$2:$D$1801,"LOS OLIVOS DE VILLACURI S.A.C.",'Data Cruda'!$A$2:$A$1801,2026)),0)</f>
        <v>0.24678481769747146</v>
      </c>
      <c r="F75" s="8">
        <v>4</v>
      </c>
    </row>
    <row r="76" spans="1:6" ht="15" customHeight="1" x14ac:dyDescent="0.3">
      <c r="A76" s="8">
        <v>20</v>
      </c>
      <c r="B76" s="6" t="s">
        <v>791</v>
      </c>
      <c r="C76" s="10">
        <v>48530.23</v>
      </c>
      <c r="D76" s="17">
        <v>7.6767711596411898E-4</v>
      </c>
      <c r="E76" s="17">
        <f>IFERROR((SUMIFS('Data Cruda'!$P$2:$P$1801,'Data Cruda'!$D$2:$D$1801,"FAMILY FARMS PERÚ S.R.L.",'Data Cruda'!$A$2:$A$1801,2025)+SUMIFS('Data Cruda'!$P$2:$P$1801,'Data Cruda'!$D$2:$D$1801,"FAMILY FARMS PERÚ S.R.L.",'Data Cruda'!$A$2:$A$1801,2026))/(SUMIFS('Data Cruda'!$K$2:$K$1801,'Data Cruda'!$D$2:$D$1801,"FAMILY FARMS PERÚ S.R.L.",'Data Cruda'!$A$2:$A$1801,2025)+SUMIFS('Data Cruda'!$K$2:$K$1801,'Data Cruda'!$D$2:$D$1801,"FAMILY FARMS PERÚ S.R.L.",'Data Cruda'!$A$2:$A$1801,2026)),0)</f>
        <v>0.13226353965353202</v>
      </c>
      <c r="F76" s="8">
        <v>1</v>
      </c>
    </row>
    <row r="77" spans="1:6" ht="15" customHeight="1" x14ac:dyDescent="0.3">
      <c r="A77" s="8">
        <v>21</v>
      </c>
      <c r="B77" s="6" t="s">
        <v>1580</v>
      </c>
      <c r="C77" s="10">
        <v>43600.44</v>
      </c>
      <c r="D77" s="17">
        <v>6.8969506293225103E-4</v>
      </c>
      <c r="E77" s="17">
        <f>IFERROR((SUMIFS('Data Cruda'!$P$2:$P$1801,'Data Cruda'!$D$2:$D$1801,"ALZA PERU PACKING S.A.C.",'Data Cruda'!$A$2:$A$1801,2025)+SUMIFS('Data Cruda'!$P$2:$P$1801,'Data Cruda'!$D$2:$D$1801,"ALZA PERU PACKING S.A.C.",'Data Cruda'!$A$2:$A$1801,2026))/(SUMIFS('Data Cruda'!$K$2:$K$1801,'Data Cruda'!$D$2:$D$1801,"ALZA PERU PACKING S.A.C.",'Data Cruda'!$A$2:$A$1801,2025)+SUMIFS('Data Cruda'!$K$2:$K$1801,'Data Cruda'!$D$2:$D$1801,"ALZA PERU PACKING S.A.C.",'Data Cruda'!$A$2:$A$1801,2026)),0)</f>
        <v>0.15000000000000002</v>
      </c>
      <c r="F77" s="8">
        <v>5</v>
      </c>
    </row>
    <row r="78" spans="1:6" ht="15" customHeight="1" x14ac:dyDescent="0.3">
      <c r="A78" s="8">
        <v>22</v>
      </c>
      <c r="B78" s="6" t="s">
        <v>1757</v>
      </c>
      <c r="C78" s="10">
        <v>43470</v>
      </c>
      <c r="D78" s="17">
        <v>6.8763169329632797E-4</v>
      </c>
      <c r="E78" s="17">
        <f>IFERROR((SUMIFS('Data Cruda'!$P$2:$P$1801,'Data Cruda'!$D$2:$D$1801,"VITAFOODS PERU S.A.C.",'Data Cruda'!$A$2:$A$1801,2025)+SUMIFS('Data Cruda'!$P$2:$P$1801,'Data Cruda'!$D$2:$D$1801,"VITAFOODS PERU S.A.C.",'Data Cruda'!$A$2:$A$1801,2026))/(SUMIFS('Data Cruda'!$K$2:$K$1801,'Data Cruda'!$D$2:$D$1801,"VITAFOODS PERU S.A.C.",'Data Cruda'!$A$2:$A$1801,2025)+SUMIFS('Data Cruda'!$K$2:$K$1801,'Data Cruda'!$D$2:$D$1801,"VITAFOODS PERU S.A.C.",'Data Cruda'!$A$2:$A$1801,2026)),0)</f>
        <v>0.27075339314469749</v>
      </c>
      <c r="F78" s="8">
        <v>2</v>
      </c>
    </row>
    <row r="79" spans="1:6" ht="15" customHeight="1" x14ac:dyDescent="0.3">
      <c r="A79" s="8">
        <v>23</v>
      </c>
      <c r="B79" s="6" t="s">
        <v>1318</v>
      </c>
      <c r="C79" s="10">
        <v>37571.15</v>
      </c>
      <c r="D79" s="17">
        <v>5.9432053125351597E-4</v>
      </c>
      <c r="E79" s="17">
        <f>IFERROR((SUMIFS('Data Cruda'!$P$2:$P$1801,'Data Cruda'!$D$2:$D$1801,"EL ROCIO S.A.",'Data Cruda'!$A$2:$A$1801,2025)+SUMIFS('Data Cruda'!$P$2:$P$1801,'Data Cruda'!$D$2:$D$1801,"EL ROCIO S.A.",'Data Cruda'!$A$2:$A$1801,2026))/(SUMIFS('Data Cruda'!$K$2:$K$1801,'Data Cruda'!$D$2:$D$1801,"EL ROCIO S.A.",'Data Cruda'!$A$2:$A$1801,2025)+SUMIFS('Data Cruda'!$K$2:$K$1801,'Data Cruda'!$D$2:$D$1801,"EL ROCIO S.A.",'Data Cruda'!$A$2:$A$1801,2026)),0)</f>
        <v>5.6551143630152387E-2</v>
      </c>
      <c r="F79" s="8">
        <v>4</v>
      </c>
    </row>
    <row r="80" spans="1:6" ht="15" customHeight="1" x14ac:dyDescent="0.3">
      <c r="A80" s="8">
        <v>24</v>
      </c>
      <c r="B80" s="6" t="s">
        <v>1269</v>
      </c>
      <c r="C80" s="10">
        <v>36347.870000000003</v>
      </c>
      <c r="D80" s="17">
        <v>5.7497003441027796E-4</v>
      </c>
      <c r="E80" s="17">
        <f>IFERROR((SUMIFS('Data Cruda'!$P$2:$P$1801,'Data Cruda'!$D$2:$D$1801,"PACKING DEL CARMEN S.A.C.",'Data Cruda'!$A$2:$A$1801,2025)+SUMIFS('Data Cruda'!$P$2:$P$1801,'Data Cruda'!$D$2:$D$1801,"PACKING DEL CARMEN S.A.C.",'Data Cruda'!$A$2:$A$1801,2026))/(SUMIFS('Data Cruda'!$K$2:$K$1801,'Data Cruda'!$D$2:$D$1801,"PACKING DEL CARMEN S.A.C.",'Data Cruda'!$A$2:$A$1801,2025)+SUMIFS('Data Cruda'!$K$2:$K$1801,'Data Cruda'!$D$2:$D$1801,"PACKING DEL CARMEN S.A.C.",'Data Cruda'!$A$2:$A$1801,2026)),0)</f>
        <v>0.17642326771830094</v>
      </c>
      <c r="F80" s="8">
        <v>1</v>
      </c>
    </row>
    <row r="81" spans="1:6" ht="15" customHeight="1" x14ac:dyDescent="0.3">
      <c r="A81" s="8">
        <v>25</v>
      </c>
      <c r="B81" s="6" t="s">
        <v>767</v>
      </c>
      <c r="C81" s="10">
        <v>34403.050000000003</v>
      </c>
      <c r="D81" s="17">
        <v>5.4420583220745895E-4</v>
      </c>
      <c r="E81" s="17">
        <f>IFERROR((SUMIFS('Data Cruda'!$P$2:$P$1801,'Data Cruda'!$D$2:$D$1801,"ARA EXPORT S.A.C.",'Data Cruda'!$A$2:$A$1801,2025)+SUMIFS('Data Cruda'!$P$2:$P$1801,'Data Cruda'!$D$2:$D$1801,"ARA EXPORT S.A.C.",'Data Cruda'!$A$2:$A$1801,2026))/(SUMIFS('Data Cruda'!$K$2:$K$1801,'Data Cruda'!$D$2:$D$1801,"ARA EXPORT S.A.C.",'Data Cruda'!$A$2:$A$1801,2025)+SUMIFS('Data Cruda'!$K$2:$K$1801,'Data Cruda'!$D$2:$D$1801,"ARA EXPORT S.A.C.",'Data Cruda'!$A$2:$A$1801,2026)),0)</f>
        <v>0.15388606533432411</v>
      </c>
      <c r="F81" s="8">
        <v>1</v>
      </c>
    </row>
    <row r="82" spans="1:6" ht="15" customHeight="1" x14ac:dyDescent="0.3">
      <c r="A82" s="8">
        <v>26</v>
      </c>
      <c r="B82" s="6" t="s">
        <v>1689</v>
      </c>
      <c r="C82" s="10">
        <v>33598.01</v>
      </c>
      <c r="D82" s="17">
        <v>5.3147127921985204E-4</v>
      </c>
      <c r="E82" s="17">
        <f>IFERROR((SUMIFS('Data Cruda'!$P$2:$P$1801,'Data Cruda'!$D$2:$D$1801,"UVICA S.A.C.",'Data Cruda'!$A$2:$A$1801,2025)+SUMIFS('Data Cruda'!$P$2:$P$1801,'Data Cruda'!$D$2:$D$1801,"UVICA S.A.C.",'Data Cruda'!$A$2:$A$1801,2026))/(SUMIFS('Data Cruda'!$K$2:$K$1801,'Data Cruda'!$D$2:$D$1801,"UVICA S.A.C.",'Data Cruda'!$A$2:$A$1801,2025)+SUMIFS('Data Cruda'!$K$2:$K$1801,'Data Cruda'!$D$2:$D$1801,"UVICA S.A.C.",'Data Cruda'!$A$2:$A$1801,2026)),0)</f>
        <v>0.15714710484341129</v>
      </c>
      <c r="F82" s="8">
        <v>3</v>
      </c>
    </row>
    <row r="83" spans="1:6" ht="15" customHeight="1" x14ac:dyDescent="0.3">
      <c r="A83" s="8">
        <v>27</v>
      </c>
      <c r="B83" s="6" t="s">
        <v>1537</v>
      </c>
      <c r="C83" s="10">
        <v>25500</v>
      </c>
      <c r="D83" s="17">
        <v>4.0337262891779099E-4</v>
      </c>
      <c r="E83" s="17">
        <f>IFERROR((SUMIFS('Data Cruda'!$P$2:$P$1801,'Data Cruda'!$D$2:$D$1801,"QUELEN FRUIT PERU S.A.C.",'Data Cruda'!$A$2:$A$1801,2025)+SUMIFS('Data Cruda'!$P$2:$P$1801,'Data Cruda'!$D$2:$D$1801,"QUELEN FRUIT PERU S.A.C.",'Data Cruda'!$A$2:$A$1801,2026))/(SUMIFS('Data Cruda'!$K$2:$K$1801,'Data Cruda'!$D$2:$D$1801,"QUELEN FRUIT PERU S.A.C.",'Data Cruda'!$A$2:$A$1801,2025)+SUMIFS('Data Cruda'!$K$2:$K$1801,'Data Cruda'!$D$2:$D$1801,"QUELEN FRUIT PERU S.A.C.",'Data Cruda'!$A$2:$A$1801,2026)),0)</f>
        <v>0.15</v>
      </c>
      <c r="F83" s="8">
        <v>1</v>
      </c>
    </row>
    <row r="84" spans="1:6" ht="15" customHeight="1" x14ac:dyDescent="0.3">
      <c r="A84" s="8">
        <v>28</v>
      </c>
      <c r="B84" s="6" t="s">
        <v>1842</v>
      </c>
      <c r="C84" s="10">
        <v>17671.66</v>
      </c>
      <c r="D84" s="17">
        <v>2.7953976280554403E-4</v>
      </c>
      <c r="E84" s="17">
        <f>IFERROR((SUMIFS('Data Cruda'!$P$2:$P$1801,'Data Cruda'!$D$2:$D$1801,"TAL S A",'Data Cruda'!$A$2:$A$1801,2025)+SUMIFS('Data Cruda'!$P$2:$P$1801,'Data Cruda'!$D$2:$D$1801,"TAL S A",'Data Cruda'!$A$2:$A$1801,2026))/(SUMIFS('Data Cruda'!$K$2:$K$1801,'Data Cruda'!$D$2:$D$1801,"TAL S A",'Data Cruda'!$A$2:$A$1801,2025)+SUMIFS('Data Cruda'!$K$2:$K$1801,'Data Cruda'!$D$2:$D$1801,"TAL S A",'Data Cruda'!$A$2:$A$1801,2026)),0)</f>
        <v>0.24999971706110177</v>
      </c>
      <c r="F84" s="8">
        <v>1</v>
      </c>
    </row>
    <row r="85" spans="1:6" ht="15" customHeight="1" x14ac:dyDescent="0.3">
      <c r="A85" s="8">
        <v>29</v>
      </c>
      <c r="B85" s="6" t="s">
        <v>1449</v>
      </c>
      <c r="C85" s="10">
        <v>15941.32</v>
      </c>
      <c r="D85" s="17">
        <v>2.5216831987528499E-4</v>
      </c>
      <c r="E85" s="17">
        <f>IFERROR((SUMIFS('Data Cruda'!$P$2:$P$1801,'Data Cruda'!$D$2:$D$1801,"EL PARQUE ALAYA PACKING S.A.C.",'Data Cruda'!$A$2:$A$1801,2025)+SUMIFS('Data Cruda'!$P$2:$P$1801,'Data Cruda'!$D$2:$D$1801,"EL PARQUE ALAYA PACKING S.A.C.",'Data Cruda'!$A$2:$A$1801,2026))/(SUMIFS('Data Cruda'!$K$2:$K$1801,'Data Cruda'!$D$2:$D$1801,"EL PARQUE ALAYA PACKING S.A.C.",'Data Cruda'!$A$2:$A$1801,2025)+SUMIFS('Data Cruda'!$K$2:$K$1801,'Data Cruda'!$D$2:$D$1801,"EL PARQUE ALAYA PACKING S.A.C.",'Data Cruda'!$A$2:$A$1801,2026)),0)</f>
        <v>0.13555464666665057</v>
      </c>
      <c r="F85" s="8">
        <v>2</v>
      </c>
    </row>
    <row r="86" spans="1:6" ht="15" customHeight="1" x14ac:dyDescent="0.3">
      <c r="A86" s="8">
        <v>30</v>
      </c>
      <c r="B86" s="6" t="s">
        <v>906</v>
      </c>
      <c r="C86" s="10">
        <v>10000</v>
      </c>
      <c r="D86" s="17">
        <v>1.5818534467364301E-4</v>
      </c>
      <c r="E86" s="17">
        <f>IFERROR((SUMIFS('Data Cruda'!$P$2:$P$1801,'Data Cruda'!$D$2:$D$1801,"WESTFALIA FRUIT PERU S.A.C.",'Data Cruda'!$A$2:$A$1801,2025)+SUMIFS('Data Cruda'!$P$2:$P$1801,'Data Cruda'!$D$2:$D$1801,"WESTFALIA FRUIT PERU S.A.C.",'Data Cruda'!$A$2:$A$1801,2026))/(SUMIFS('Data Cruda'!$K$2:$K$1801,'Data Cruda'!$D$2:$D$1801,"WESTFALIA FRUIT PERU S.A.C.",'Data Cruda'!$A$2:$A$1801,2025)+SUMIFS('Data Cruda'!$K$2:$K$1801,'Data Cruda'!$D$2:$D$1801,"WESTFALIA FRUIT PERU S.A.C.",'Data Cruda'!$A$2:$A$1801,2026)),0)</f>
        <v>0.3</v>
      </c>
      <c r="F86" s="8">
        <v>1</v>
      </c>
    </row>
    <row r="87" spans="1:6" ht="15" customHeight="1" x14ac:dyDescent="0.3">
      <c r="A87" s="8">
        <v>31</v>
      </c>
      <c r="B87" s="6" t="s">
        <v>205</v>
      </c>
      <c r="C87" s="10">
        <v>6840.69</v>
      </c>
      <c r="D87" s="17">
        <v>1.08209690545555E-4</v>
      </c>
      <c r="E87" s="17">
        <f>IFERROR((SUMIFS('Data Cruda'!$P$2:$P$1801,'Data Cruda'!$D$2:$D$1801,"CIA.DE EXP.Y NEGOCIOS GNRLES.S.A.(COEXA)",'Data Cruda'!$A$2:$A$1801,2025)+SUMIFS('Data Cruda'!$P$2:$P$1801,'Data Cruda'!$D$2:$D$1801,"CIA.DE EXP.Y NEGOCIOS GNRLES.S.A.(COEXA)",'Data Cruda'!$A$2:$A$1801,2026))/(SUMIFS('Data Cruda'!$K$2:$K$1801,'Data Cruda'!$D$2:$D$1801,"CIA.DE EXP.Y NEGOCIOS GNRLES.S.A.(COEXA)",'Data Cruda'!$A$2:$A$1801,2025)+SUMIFS('Data Cruda'!$K$2:$K$1801,'Data Cruda'!$D$2:$D$1801,"CIA.DE EXP.Y NEGOCIOS GNRLES.S.A.(COEXA)",'Data Cruda'!$A$2:$A$1801,2026)),0)</f>
        <v>8.064829717470022E-2</v>
      </c>
      <c r="F87" s="8">
        <v>1</v>
      </c>
    </row>
    <row r="88" spans="1:6" ht="15" customHeight="1" x14ac:dyDescent="0.3">
      <c r="A88" s="8">
        <v>32</v>
      </c>
      <c r="B88" s="6" t="s">
        <v>531</v>
      </c>
      <c r="C88" s="10">
        <v>4392.3900000000003</v>
      </c>
      <c r="D88" s="17">
        <v>6.94811726091065E-5</v>
      </c>
      <c r="E88" s="17">
        <f>IFERROR((SUMIFS('Data Cruda'!$P$2:$P$1801,'Data Cruda'!$D$2:$D$1801,"AVOCADO PACKING COMPANY S.A.C.",'Data Cruda'!$A$2:$A$1801,2025)+SUMIFS('Data Cruda'!$P$2:$P$1801,'Data Cruda'!$D$2:$D$1801,"AVOCADO PACKING COMPANY S.A.C.",'Data Cruda'!$A$2:$A$1801,2026))/(SUMIFS('Data Cruda'!$K$2:$K$1801,'Data Cruda'!$D$2:$D$1801,"AVOCADO PACKING COMPANY S.A.C.",'Data Cruda'!$A$2:$A$1801,2025)+SUMIFS('Data Cruda'!$K$2:$K$1801,'Data Cruda'!$D$2:$D$1801,"AVOCADO PACKING COMPANY S.A.C.",'Data Cruda'!$A$2:$A$1801,2026)),0)</f>
        <v>0.19856843313093783</v>
      </c>
      <c r="F88" s="8">
        <v>3</v>
      </c>
    </row>
    <row r="89" spans="1:6" ht="15" customHeight="1" x14ac:dyDescent="0.3">
      <c r="A89" s="8">
        <v>33</v>
      </c>
      <c r="B89" s="6" t="s">
        <v>1356</v>
      </c>
      <c r="C89" s="10">
        <v>4265.26</v>
      </c>
      <c r="D89" s="17">
        <v>6.7470162322270401E-5</v>
      </c>
      <c r="E89" s="17">
        <f>IFERROR((SUMIFS('Data Cruda'!$P$2:$P$1801,'Data Cruda'!$D$2:$D$1801,"AGRICOLA BLUE GOLD S.A.C.",'Data Cruda'!$A$2:$A$1801,2025)+SUMIFS('Data Cruda'!$P$2:$P$1801,'Data Cruda'!$D$2:$D$1801,"AGRICOLA BLUE GOLD S.A.C.",'Data Cruda'!$A$2:$A$1801,2026))/(SUMIFS('Data Cruda'!$K$2:$K$1801,'Data Cruda'!$D$2:$D$1801,"AGRICOLA BLUE GOLD S.A.C.",'Data Cruda'!$A$2:$A$1801,2025)+SUMIFS('Data Cruda'!$K$2:$K$1801,'Data Cruda'!$D$2:$D$1801,"AGRICOLA BLUE GOLD S.A.C.",'Data Cruda'!$A$2:$A$1801,2026)),0)</f>
        <v>0.25209717578764246</v>
      </c>
      <c r="F89" s="8">
        <v>1</v>
      </c>
    </row>
    <row r="90" spans="1:6" ht="15" customHeight="1" x14ac:dyDescent="0.3">
      <c r="A90" s="8">
        <v>34</v>
      </c>
      <c r="B90" s="6" t="s">
        <v>1877</v>
      </c>
      <c r="C90" s="10">
        <v>2310</v>
      </c>
      <c r="D90" s="17">
        <v>3.65408146196116E-5</v>
      </c>
      <c r="E90" s="17">
        <f>IFERROR((SUMIFS('Data Cruda'!$P$2:$P$1801,'Data Cruda'!$D$2:$D$1801,"AUSTRAL GROUP S.A.A",'Data Cruda'!$A$2:$A$1801,2025)+SUMIFS('Data Cruda'!$P$2:$P$1801,'Data Cruda'!$D$2:$D$1801,"AUSTRAL GROUP S.A.A",'Data Cruda'!$A$2:$A$1801,2026))/(SUMIFS('Data Cruda'!$K$2:$K$1801,'Data Cruda'!$D$2:$D$1801,"AUSTRAL GROUP S.A.A",'Data Cruda'!$A$2:$A$1801,2025)+SUMIFS('Data Cruda'!$K$2:$K$1801,'Data Cruda'!$D$2:$D$1801,"AUSTRAL GROUP S.A.A",'Data Cruda'!$A$2:$A$1801,2026)),0)</f>
        <v>0.12941991341991299</v>
      </c>
      <c r="F90" s="8">
        <v>1</v>
      </c>
    </row>
    <row r="91" spans="1:6" ht="15" customHeight="1" x14ac:dyDescent="0.3">
      <c r="A91" s="8">
        <v>35</v>
      </c>
      <c r="B91" s="6" t="s">
        <v>1589</v>
      </c>
      <c r="C91" s="10">
        <v>2200</v>
      </c>
      <c r="D91" s="17">
        <v>3.4800775828201601E-5</v>
      </c>
      <c r="E91" s="17">
        <f>IFERROR((SUMIFS('Data Cruda'!$P$2:$P$1801,'Data Cruda'!$D$2:$D$1801,"STEELSER S.A.C.",'Data Cruda'!$A$2:$A$1801,2025)+SUMIFS('Data Cruda'!$P$2:$P$1801,'Data Cruda'!$D$2:$D$1801,"STEELSER S.A.C.",'Data Cruda'!$A$2:$A$1801,2026))/(SUMIFS('Data Cruda'!$K$2:$K$1801,'Data Cruda'!$D$2:$D$1801,"STEELSER S.A.C.",'Data Cruda'!$A$2:$A$1801,2025)+SUMIFS('Data Cruda'!$K$2:$K$1801,'Data Cruda'!$D$2:$D$1801,"STEELSER S.A.C.",'Data Cruda'!$A$2:$A$1801,2026)),0)</f>
        <v>0.19003181818181819</v>
      </c>
      <c r="F91" s="8">
        <v>1</v>
      </c>
    </row>
    <row r="92" spans="1:6" ht="15" customHeight="1" x14ac:dyDescent="0.3">
      <c r="A92" s="25"/>
      <c r="B92" s="25" t="s">
        <v>1987</v>
      </c>
      <c r="C92" s="26">
        <v>3284570.5589830498</v>
      </c>
      <c r="D92" s="27">
        <v>5.1957092597763599E-2</v>
      </c>
    </row>
    <row r="94" spans="1:6" ht="15" customHeight="1" x14ac:dyDescent="0.3">
      <c r="A94" s="69" t="s">
        <v>1988</v>
      </c>
      <c r="B94" s="69"/>
      <c r="C94" s="69"/>
      <c r="D94" s="69"/>
      <c r="E94" s="69"/>
      <c r="F94" s="69"/>
    </row>
    <row r="96" spans="1:6" ht="15" customHeight="1" x14ac:dyDescent="0.3">
      <c r="A96" s="7" t="s">
        <v>1899</v>
      </c>
      <c r="B96" s="7" t="s">
        <v>1974</v>
      </c>
      <c r="C96" s="7" t="s">
        <v>1958</v>
      </c>
      <c r="D96" s="7" t="s">
        <v>1975</v>
      </c>
    </row>
    <row r="97" spans="1:6" ht="15" customHeight="1" x14ac:dyDescent="0.3">
      <c r="A97" s="37" t="s">
        <v>1977</v>
      </c>
      <c r="B97" s="8">
        <v>60</v>
      </c>
      <c r="C97" s="10">
        <v>216041409.405141</v>
      </c>
      <c r="D97" s="17">
        <v>0.84779434673175802</v>
      </c>
    </row>
    <row r="98" spans="1:6" ht="15" customHeight="1" x14ac:dyDescent="0.3">
      <c r="A98" s="38" t="s">
        <v>1978</v>
      </c>
      <c r="B98" s="8">
        <v>55</v>
      </c>
      <c r="C98" s="10">
        <v>30087478.554264098</v>
      </c>
      <c r="D98" s="17">
        <v>0.11806993064872701</v>
      </c>
    </row>
    <row r="99" spans="1:6" ht="15" customHeight="1" x14ac:dyDescent="0.3">
      <c r="A99" s="39" t="s">
        <v>1979</v>
      </c>
      <c r="B99" s="8">
        <v>140</v>
      </c>
      <c r="C99" s="10">
        <v>8698724.7015889101</v>
      </c>
      <c r="D99" s="17">
        <v>3.4135722619515099E-2</v>
      </c>
    </row>
    <row r="100" spans="1:6" ht="15" customHeight="1" x14ac:dyDescent="0.3">
      <c r="A100" s="25" t="s">
        <v>1913</v>
      </c>
      <c r="B100" s="25">
        <v>255</v>
      </c>
      <c r="C100" s="26">
        <v>254827612.66099399</v>
      </c>
      <c r="D100" s="27">
        <v>1</v>
      </c>
    </row>
    <row r="102" spans="1:6" ht="15" customHeight="1" x14ac:dyDescent="0.3">
      <c r="A102" s="71" t="s">
        <v>1989</v>
      </c>
      <c r="B102" s="71"/>
      <c r="C102" s="71"/>
      <c r="D102" s="71"/>
      <c r="E102" s="71"/>
      <c r="F102" s="71"/>
    </row>
    <row r="103" spans="1:6" ht="15" customHeight="1" x14ac:dyDescent="0.3">
      <c r="A103" s="7" t="s">
        <v>1898</v>
      </c>
      <c r="B103" s="7" t="s">
        <v>3</v>
      </c>
      <c r="C103" s="7" t="s">
        <v>1958</v>
      </c>
      <c r="D103" s="7" t="s">
        <v>1981</v>
      </c>
      <c r="E103" s="7" t="s">
        <v>1964</v>
      </c>
      <c r="F103" s="7" t="s">
        <v>1982</v>
      </c>
    </row>
    <row r="104" spans="1:6" ht="15" customHeight="1" x14ac:dyDescent="0.3">
      <c r="A104" s="8">
        <v>1</v>
      </c>
      <c r="B104" s="6" t="s">
        <v>40</v>
      </c>
      <c r="C104" s="10">
        <v>14074373.949999999</v>
      </c>
      <c r="D104" s="17">
        <v>5.5230961052575002E-2</v>
      </c>
      <c r="E104" s="8">
        <v>10</v>
      </c>
      <c r="F104" s="8">
        <v>30</v>
      </c>
    </row>
    <row r="105" spans="1:6" ht="15" customHeight="1" x14ac:dyDescent="0.3">
      <c r="A105" s="8">
        <v>2</v>
      </c>
      <c r="B105" s="6" t="s">
        <v>675</v>
      </c>
      <c r="C105" s="10">
        <v>12027997.43</v>
      </c>
      <c r="D105" s="17">
        <v>4.7200526286769698E-2</v>
      </c>
      <c r="E105" s="8">
        <v>9</v>
      </c>
      <c r="F105" s="8">
        <v>61</v>
      </c>
    </row>
    <row r="106" spans="1:6" ht="15" customHeight="1" x14ac:dyDescent="0.3">
      <c r="A106" s="8">
        <v>3</v>
      </c>
      <c r="B106" s="6" t="s">
        <v>45</v>
      </c>
      <c r="C106" s="10">
        <v>11318012.8477966</v>
      </c>
      <c r="D106" s="17">
        <v>4.4414389514582903E-2</v>
      </c>
      <c r="E106" s="8">
        <v>12</v>
      </c>
      <c r="F106" s="8">
        <v>53</v>
      </c>
    </row>
    <row r="107" spans="1:6" ht="15" customHeight="1" x14ac:dyDescent="0.3">
      <c r="A107" s="8">
        <v>4</v>
      </c>
      <c r="B107" s="6" t="s">
        <v>155</v>
      </c>
      <c r="C107" s="10">
        <v>10204952.91</v>
      </c>
      <c r="D107" s="17">
        <v>4.0046495760159298E-2</v>
      </c>
      <c r="E107" s="8">
        <v>10</v>
      </c>
      <c r="F107" s="8">
        <v>79</v>
      </c>
    </row>
    <row r="108" spans="1:6" ht="15" customHeight="1" x14ac:dyDescent="0.3">
      <c r="A108" s="8">
        <v>5</v>
      </c>
      <c r="B108" s="6" t="s">
        <v>1737</v>
      </c>
      <c r="C108" s="10">
        <v>10141560.130000001</v>
      </c>
      <c r="D108" s="17">
        <v>3.9797728449042502E-2</v>
      </c>
      <c r="E108" s="8">
        <v>1</v>
      </c>
      <c r="F108" s="8">
        <v>4</v>
      </c>
    </row>
    <row r="109" spans="1:6" ht="15" customHeight="1" x14ac:dyDescent="0.3">
      <c r="A109" s="8">
        <v>6</v>
      </c>
      <c r="B109" s="6" t="s">
        <v>61</v>
      </c>
      <c r="C109" s="10">
        <v>10047517.0211864</v>
      </c>
      <c r="D109" s="17">
        <v>3.9428682458180202E-2</v>
      </c>
      <c r="E109" s="8">
        <v>12</v>
      </c>
      <c r="F109" s="8">
        <v>54</v>
      </c>
    </row>
    <row r="110" spans="1:6" ht="15" customHeight="1" x14ac:dyDescent="0.3">
      <c r="A110" s="8">
        <v>7</v>
      </c>
      <c r="B110" s="6" t="s">
        <v>47</v>
      </c>
      <c r="C110" s="10">
        <v>7592460.3899999997</v>
      </c>
      <c r="D110" s="17">
        <v>2.9794496407657901E-2</v>
      </c>
      <c r="E110" s="8">
        <v>10</v>
      </c>
      <c r="F110" s="8">
        <v>46</v>
      </c>
    </row>
    <row r="111" spans="1:6" ht="15" customHeight="1" x14ac:dyDescent="0.3">
      <c r="A111" s="8">
        <v>8</v>
      </c>
      <c r="B111" s="6" t="s">
        <v>1007</v>
      </c>
      <c r="C111" s="10">
        <v>7494665.73271186</v>
      </c>
      <c r="D111" s="17">
        <v>2.9410728509560301E-2</v>
      </c>
      <c r="E111" s="8">
        <v>5</v>
      </c>
      <c r="F111" s="8">
        <v>30</v>
      </c>
    </row>
    <row r="112" spans="1:6" ht="15" customHeight="1" x14ac:dyDescent="0.3">
      <c r="A112" s="8">
        <v>9</v>
      </c>
      <c r="B112" s="6" t="s">
        <v>746</v>
      </c>
      <c r="C112" s="10">
        <v>6191500.5817002198</v>
      </c>
      <c r="D112" s="17">
        <v>2.4296819787489099E-2</v>
      </c>
      <c r="E112" s="8">
        <v>8</v>
      </c>
      <c r="F112" s="8">
        <v>35</v>
      </c>
    </row>
    <row r="113" spans="1:6" ht="15" customHeight="1" x14ac:dyDescent="0.3">
      <c r="A113" s="8">
        <v>10</v>
      </c>
      <c r="B113" s="6" t="s">
        <v>1118</v>
      </c>
      <c r="C113" s="10">
        <v>5993440.8619194003</v>
      </c>
      <c r="D113" s="17">
        <v>2.3519589574041599E-2</v>
      </c>
      <c r="E113" s="8">
        <v>4</v>
      </c>
      <c r="F113" s="8">
        <v>15</v>
      </c>
    </row>
    <row r="114" spans="1:6" ht="15" customHeight="1" x14ac:dyDescent="0.3">
      <c r="A114" s="8">
        <v>11</v>
      </c>
      <c r="B114" s="6" t="s">
        <v>1003</v>
      </c>
      <c r="C114" s="10">
        <v>5621736.3899999997</v>
      </c>
      <c r="D114" s="17">
        <v>2.2060938888435199E-2</v>
      </c>
      <c r="E114" s="8">
        <v>2</v>
      </c>
      <c r="F114" s="8">
        <v>7</v>
      </c>
    </row>
    <row r="115" spans="1:6" ht="15" customHeight="1" x14ac:dyDescent="0.3">
      <c r="A115" s="8">
        <v>12</v>
      </c>
      <c r="B115" s="6" t="s">
        <v>749</v>
      </c>
      <c r="C115" s="10">
        <v>5187381.9406779697</v>
      </c>
      <c r="D115" s="17">
        <v>2.03564358136453E-2</v>
      </c>
      <c r="E115" s="8">
        <v>6</v>
      </c>
      <c r="F115" s="8">
        <v>23</v>
      </c>
    </row>
    <row r="116" spans="1:6" ht="15" customHeight="1" x14ac:dyDescent="0.3">
      <c r="A116" s="8">
        <v>13</v>
      </c>
      <c r="B116" s="6" t="s">
        <v>485</v>
      </c>
      <c r="C116" s="10">
        <v>5033322.59</v>
      </c>
      <c r="D116" s="17">
        <v>1.97518727952611E-2</v>
      </c>
      <c r="E116" s="8">
        <v>7</v>
      </c>
      <c r="F116" s="8">
        <v>23</v>
      </c>
    </row>
    <row r="117" spans="1:6" ht="15" customHeight="1" x14ac:dyDescent="0.3">
      <c r="A117" s="8">
        <v>14</v>
      </c>
      <c r="B117" s="6" t="s">
        <v>69</v>
      </c>
      <c r="C117" s="10">
        <v>4637686.0698305098</v>
      </c>
      <c r="D117" s="17">
        <v>1.8199307451034302E-2</v>
      </c>
      <c r="E117" s="8">
        <v>10</v>
      </c>
      <c r="F117" s="8">
        <v>41</v>
      </c>
    </row>
    <row r="118" spans="1:6" ht="15" customHeight="1" x14ac:dyDescent="0.3">
      <c r="A118" s="8">
        <v>15</v>
      </c>
      <c r="B118" s="6" t="s">
        <v>779</v>
      </c>
      <c r="C118" s="10">
        <v>4364401.95</v>
      </c>
      <c r="D118" s="17">
        <v>1.7126880028523899E-2</v>
      </c>
      <c r="E118" s="8">
        <v>4</v>
      </c>
      <c r="F118" s="8">
        <v>13</v>
      </c>
    </row>
    <row r="119" spans="1:6" ht="15" customHeight="1" x14ac:dyDescent="0.3">
      <c r="A119" s="8">
        <v>16</v>
      </c>
      <c r="B119" s="6" t="s">
        <v>786</v>
      </c>
      <c r="C119" s="10">
        <v>4160486.5079660998</v>
      </c>
      <c r="D119" s="17">
        <v>1.63266706638301E-2</v>
      </c>
      <c r="E119" s="8">
        <v>6</v>
      </c>
      <c r="F119" s="8">
        <v>43</v>
      </c>
    </row>
    <row r="120" spans="1:6" ht="15" customHeight="1" x14ac:dyDescent="0.3">
      <c r="A120" s="8">
        <v>17</v>
      </c>
      <c r="B120" s="6" t="s">
        <v>103</v>
      </c>
      <c r="C120" s="10">
        <v>4147334.4406779702</v>
      </c>
      <c r="D120" s="17">
        <v>1.62750590384227E-2</v>
      </c>
      <c r="E120" s="8">
        <v>8</v>
      </c>
      <c r="F120" s="8">
        <v>15</v>
      </c>
    </row>
    <row r="121" spans="1:6" ht="15" customHeight="1" x14ac:dyDescent="0.3">
      <c r="A121" s="8">
        <v>18</v>
      </c>
      <c r="B121" s="6" t="s">
        <v>36</v>
      </c>
      <c r="C121" s="10">
        <v>4010894.81</v>
      </c>
      <c r="D121" s="17">
        <v>1.5739639704335499E-2</v>
      </c>
      <c r="E121" s="8">
        <v>8</v>
      </c>
      <c r="F121" s="8">
        <v>40</v>
      </c>
    </row>
    <row r="122" spans="1:6" ht="15" customHeight="1" x14ac:dyDescent="0.3">
      <c r="A122" s="8">
        <v>19</v>
      </c>
      <c r="B122" s="6" t="s">
        <v>30</v>
      </c>
      <c r="C122" s="10">
        <v>3930939.6130508501</v>
      </c>
      <c r="D122" s="17">
        <v>1.54258778003007E-2</v>
      </c>
      <c r="E122" s="8">
        <v>10</v>
      </c>
      <c r="F122" s="8">
        <v>38</v>
      </c>
    </row>
    <row r="123" spans="1:6" ht="15" customHeight="1" x14ac:dyDescent="0.3">
      <c r="A123" s="8">
        <v>20</v>
      </c>
      <c r="B123" s="6" t="s">
        <v>1658</v>
      </c>
      <c r="C123" s="10">
        <v>3632242.2295882101</v>
      </c>
      <c r="D123" s="17">
        <v>1.4253723101900701E-2</v>
      </c>
      <c r="E123" s="8">
        <v>2</v>
      </c>
      <c r="F123" s="8">
        <v>7</v>
      </c>
    </row>
    <row r="124" spans="1:6" ht="15" customHeight="1" x14ac:dyDescent="0.3">
      <c r="A124" s="8">
        <v>21</v>
      </c>
      <c r="B124" s="6" t="s">
        <v>1622</v>
      </c>
      <c r="C124" s="10">
        <v>2949135.63</v>
      </c>
      <c r="D124" s="17">
        <v>1.15730614873489E-2</v>
      </c>
      <c r="E124" s="8">
        <v>2</v>
      </c>
      <c r="F124" s="8">
        <v>8</v>
      </c>
    </row>
    <row r="125" spans="1:6" ht="15" customHeight="1" x14ac:dyDescent="0.3">
      <c r="A125" s="8">
        <v>22</v>
      </c>
      <c r="B125" s="6" t="s">
        <v>776</v>
      </c>
      <c r="C125" s="10">
        <v>2885382.34</v>
      </c>
      <c r="D125" s="17">
        <v>1.1322879455133999E-2</v>
      </c>
      <c r="E125" s="8">
        <v>4</v>
      </c>
      <c r="F125" s="8">
        <v>14</v>
      </c>
    </row>
    <row r="126" spans="1:6" ht="15" customHeight="1" x14ac:dyDescent="0.3">
      <c r="A126" s="8">
        <v>23</v>
      </c>
      <c r="B126" s="6" t="s">
        <v>844</v>
      </c>
      <c r="C126" s="10">
        <v>2884827.6895424002</v>
      </c>
      <c r="D126" s="17">
        <v>1.13207028838754E-2</v>
      </c>
      <c r="E126" s="8">
        <v>5</v>
      </c>
      <c r="F126" s="8">
        <v>16</v>
      </c>
    </row>
    <row r="127" spans="1:6" ht="15" customHeight="1" x14ac:dyDescent="0.3">
      <c r="A127" s="8">
        <v>24</v>
      </c>
      <c r="B127" s="6" t="s">
        <v>768</v>
      </c>
      <c r="C127" s="10">
        <v>2873188.46</v>
      </c>
      <c r="D127" s="17">
        <v>1.12750279688972E-2</v>
      </c>
      <c r="E127" s="8">
        <v>4</v>
      </c>
      <c r="F127" s="8">
        <v>9</v>
      </c>
    </row>
    <row r="128" spans="1:6" ht="15" customHeight="1" x14ac:dyDescent="0.3">
      <c r="A128" s="8">
        <v>25</v>
      </c>
      <c r="B128" s="6" t="s">
        <v>279</v>
      </c>
      <c r="C128" s="10">
        <v>2871269.83</v>
      </c>
      <c r="D128" s="17">
        <v>1.12674988397735E-2</v>
      </c>
      <c r="E128" s="8">
        <v>6</v>
      </c>
      <c r="F128" s="8">
        <v>28</v>
      </c>
    </row>
    <row r="129" spans="1:6" ht="15" customHeight="1" x14ac:dyDescent="0.3">
      <c r="A129" s="8">
        <v>26</v>
      </c>
      <c r="B129" s="6" t="s">
        <v>364</v>
      </c>
      <c r="C129" s="10">
        <v>2741927.26</v>
      </c>
      <c r="D129" s="17">
        <v>1.0759929943886E-2</v>
      </c>
      <c r="E129" s="8">
        <v>9</v>
      </c>
      <c r="F129" s="8">
        <v>25</v>
      </c>
    </row>
    <row r="130" spans="1:6" ht="15" customHeight="1" x14ac:dyDescent="0.3">
      <c r="A130" s="8">
        <v>27</v>
      </c>
      <c r="B130" s="6" t="s">
        <v>56</v>
      </c>
      <c r="C130" s="10">
        <v>2735880.6628813599</v>
      </c>
      <c r="D130" s="17">
        <v>1.07362017573857E-2</v>
      </c>
      <c r="E130" s="8">
        <v>7</v>
      </c>
      <c r="F130" s="8">
        <v>38</v>
      </c>
    </row>
    <row r="131" spans="1:6" ht="15" customHeight="1" x14ac:dyDescent="0.3">
      <c r="A131" s="8">
        <v>28</v>
      </c>
      <c r="B131" s="6" t="s">
        <v>767</v>
      </c>
      <c r="C131" s="10">
        <v>2718760.55</v>
      </c>
      <c r="D131" s="17">
        <v>1.0669018642092199E-2</v>
      </c>
      <c r="E131" s="8">
        <v>5</v>
      </c>
      <c r="F131" s="8">
        <v>16</v>
      </c>
    </row>
    <row r="132" spans="1:6" ht="15" customHeight="1" x14ac:dyDescent="0.3">
      <c r="A132" s="8">
        <v>29</v>
      </c>
      <c r="B132" s="6" t="s">
        <v>301</v>
      </c>
      <c r="C132" s="10">
        <v>2711344.59</v>
      </c>
      <c r="D132" s="17">
        <v>1.06399167723123E-2</v>
      </c>
      <c r="E132" s="8">
        <v>6</v>
      </c>
      <c r="F132" s="8">
        <v>23</v>
      </c>
    </row>
    <row r="133" spans="1:6" ht="15" customHeight="1" x14ac:dyDescent="0.3">
      <c r="A133" s="8">
        <v>30</v>
      </c>
      <c r="B133" s="6" t="s">
        <v>179</v>
      </c>
      <c r="C133" s="10">
        <v>2704088.07</v>
      </c>
      <c r="D133" s="17">
        <v>1.0611440580410501E-2</v>
      </c>
      <c r="E133" s="8">
        <v>3</v>
      </c>
      <c r="F133" s="8">
        <v>6</v>
      </c>
    </row>
    <row r="134" spans="1:6" ht="15" customHeight="1" x14ac:dyDescent="0.3">
      <c r="A134" s="8">
        <v>31</v>
      </c>
      <c r="B134" s="6" t="s">
        <v>775</v>
      </c>
      <c r="C134" s="10">
        <v>2569816.94</v>
      </c>
      <c r="D134" s="17">
        <v>1.00845309233373E-2</v>
      </c>
      <c r="E134" s="8">
        <v>2</v>
      </c>
      <c r="F134" s="8">
        <v>17</v>
      </c>
    </row>
    <row r="135" spans="1:6" ht="15" customHeight="1" x14ac:dyDescent="0.3">
      <c r="A135" s="8">
        <v>32</v>
      </c>
      <c r="B135" s="6" t="s">
        <v>973</v>
      </c>
      <c r="C135" s="10">
        <v>2301930.77</v>
      </c>
      <c r="D135" s="17">
        <v>9.0332862516839703E-3</v>
      </c>
      <c r="E135" s="8">
        <v>2</v>
      </c>
      <c r="F135" s="8">
        <v>16</v>
      </c>
    </row>
    <row r="136" spans="1:6" ht="15" customHeight="1" x14ac:dyDescent="0.3">
      <c r="A136" s="8">
        <v>33</v>
      </c>
      <c r="B136" s="6" t="s">
        <v>762</v>
      </c>
      <c r="C136" s="10">
        <v>2265510.29</v>
      </c>
      <c r="D136" s="17">
        <v>8.8903642205128402E-3</v>
      </c>
      <c r="E136" s="8">
        <v>3</v>
      </c>
      <c r="F136" s="8">
        <v>7</v>
      </c>
    </row>
    <row r="137" spans="1:6" ht="15" customHeight="1" x14ac:dyDescent="0.3">
      <c r="A137" s="8">
        <v>34</v>
      </c>
      <c r="B137" s="6" t="s">
        <v>791</v>
      </c>
      <c r="C137" s="10">
        <v>2264624.1823728802</v>
      </c>
      <c r="D137" s="17">
        <v>8.8868869378986599E-3</v>
      </c>
      <c r="E137" s="8">
        <v>5</v>
      </c>
      <c r="F137" s="8">
        <v>11</v>
      </c>
    </row>
    <row r="138" spans="1:6" ht="15" customHeight="1" x14ac:dyDescent="0.3">
      <c r="A138" s="8">
        <v>35</v>
      </c>
      <c r="B138" s="6" t="s">
        <v>1868</v>
      </c>
      <c r="C138" s="10">
        <v>2034100.57</v>
      </c>
      <c r="D138" s="17">
        <v>7.9822612187088193E-3</v>
      </c>
      <c r="E138" s="8">
        <v>1</v>
      </c>
      <c r="F138" s="8">
        <v>1</v>
      </c>
    </row>
    <row r="139" spans="1:6" ht="15" customHeight="1" x14ac:dyDescent="0.3">
      <c r="A139" s="8">
        <v>36</v>
      </c>
      <c r="B139" s="6" t="s">
        <v>145</v>
      </c>
      <c r="C139" s="10">
        <v>2018002.91</v>
      </c>
      <c r="D139" s="17">
        <v>7.9190904350095806E-3</v>
      </c>
      <c r="E139" s="8">
        <v>2</v>
      </c>
      <c r="F139" s="8">
        <v>7</v>
      </c>
    </row>
    <row r="140" spans="1:6" ht="15" customHeight="1" x14ac:dyDescent="0.3">
      <c r="A140" s="8">
        <v>37</v>
      </c>
      <c r="B140" s="6" t="s">
        <v>283</v>
      </c>
      <c r="C140" s="10">
        <v>1993290.82</v>
      </c>
      <c r="D140" s="17">
        <v>7.8221147197723405E-3</v>
      </c>
      <c r="E140" s="8">
        <v>8</v>
      </c>
      <c r="F140" s="8">
        <v>24</v>
      </c>
    </row>
    <row r="141" spans="1:6" ht="15" customHeight="1" x14ac:dyDescent="0.3">
      <c r="A141" s="8">
        <v>38</v>
      </c>
      <c r="B141" s="6" t="s">
        <v>816</v>
      </c>
      <c r="C141" s="10">
        <v>1973732.3378139699</v>
      </c>
      <c r="D141" s="17">
        <v>7.7453629031940903E-3</v>
      </c>
      <c r="E141" s="8">
        <v>5</v>
      </c>
      <c r="F141" s="8">
        <v>19</v>
      </c>
    </row>
    <row r="142" spans="1:6" ht="15" customHeight="1" x14ac:dyDescent="0.3">
      <c r="A142" s="8">
        <v>39</v>
      </c>
      <c r="B142" s="6" t="s">
        <v>358</v>
      </c>
      <c r="C142" s="10">
        <v>1961355.09</v>
      </c>
      <c r="D142" s="17">
        <v>7.69679184103672E-3</v>
      </c>
      <c r="E142" s="8">
        <v>4</v>
      </c>
      <c r="F142" s="8">
        <v>11</v>
      </c>
    </row>
    <row r="143" spans="1:6" ht="15" customHeight="1" x14ac:dyDescent="0.3">
      <c r="A143" s="8">
        <v>40</v>
      </c>
      <c r="B143" s="6" t="s">
        <v>184</v>
      </c>
      <c r="C143" s="10">
        <v>1826899.4</v>
      </c>
      <c r="D143" s="17">
        <v>7.1691579296408198E-3</v>
      </c>
      <c r="E143" s="8">
        <v>9</v>
      </c>
      <c r="F143" s="8">
        <v>16</v>
      </c>
    </row>
    <row r="144" spans="1:6" ht="15" customHeight="1" x14ac:dyDescent="0.3">
      <c r="A144" s="8">
        <v>41</v>
      </c>
      <c r="B144" s="6" t="s">
        <v>462</v>
      </c>
      <c r="C144" s="10">
        <v>1766113.6261016999</v>
      </c>
      <c r="D144" s="17">
        <v>6.93062108795573E-3</v>
      </c>
      <c r="E144" s="8">
        <v>7</v>
      </c>
      <c r="F144" s="8">
        <v>16</v>
      </c>
    </row>
    <row r="145" spans="1:6" ht="15" customHeight="1" x14ac:dyDescent="0.3">
      <c r="A145" s="8">
        <v>42</v>
      </c>
      <c r="B145" s="6" t="s">
        <v>1384</v>
      </c>
      <c r="C145" s="10">
        <v>1755523.6503389799</v>
      </c>
      <c r="D145" s="17">
        <v>6.8890636772335201E-3</v>
      </c>
      <c r="E145" s="8">
        <v>3</v>
      </c>
      <c r="F145" s="8">
        <v>9</v>
      </c>
    </row>
    <row r="146" spans="1:6" ht="15" customHeight="1" x14ac:dyDescent="0.3">
      <c r="A146" s="8">
        <v>43</v>
      </c>
      <c r="B146" s="6" t="s">
        <v>1296</v>
      </c>
      <c r="C146" s="10">
        <v>1719775.43</v>
      </c>
      <c r="D146" s="17">
        <v>6.7487797418872399E-3</v>
      </c>
      <c r="E146" s="8">
        <v>3</v>
      </c>
      <c r="F146" s="8">
        <v>7</v>
      </c>
    </row>
    <row r="147" spans="1:6" ht="15" customHeight="1" x14ac:dyDescent="0.3">
      <c r="A147" s="8">
        <v>44</v>
      </c>
      <c r="B147" s="6" t="s">
        <v>142</v>
      </c>
      <c r="C147" s="10">
        <v>1678267.72</v>
      </c>
      <c r="D147" s="17">
        <v>6.5858942933027503E-3</v>
      </c>
      <c r="E147" s="8">
        <v>3</v>
      </c>
      <c r="F147" s="8">
        <v>6</v>
      </c>
    </row>
    <row r="148" spans="1:6" ht="15" customHeight="1" x14ac:dyDescent="0.3">
      <c r="A148" s="8">
        <v>45</v>
      </c>
      <c r="B148" s="6" t="s">
        <v>32</v>
      </c>
      <c r="C148" s="10">
        <v>1592990.17</v>
      </c>
      <c r="D148" s="17">
        <v>6.2512462969200001E-3</v>
      </c>
      <c r="E148" s="8">
        <v>5</v>
      </c>
      <c r="F148" s="8">
        <v>9</v>
      </c>
    </row>
    <row r="149" spans="1:6" ht="15" customHeight="1" x14ac:dyDescent="0.3">
      <c r="A149" s="8">
        <v>46</v>
      </c>
      <c r="B149" s="6" t="s">
        <v>769</v>
      </c>
      <c r="C149" s="10">
        <v>1555565.62</v>
      </c>
      <c r="D149" s="17">
        <v>6.10438407265317E-3</v>
      </c>
      <c r="E149" s="8">
        <v>5</v>
      </c>
      <c r="F149" s="8">
        <v>12</v>
      </c>
    </row>
    <row r="150" spans="1:6" ht="15" customHeight="1" x14ac:dyDescent="0.3">
      <c r="A150" s="8">
        <v>47</v>
      </c>
      <c r="B150" s="6" t="s">
        <v>1747</v>
      </c>
      <c r="C150" s="10">
        <v>1460000</v>
      </c>
      <c r="D150" s="17">
        <v>5.7293634106375E-3</v>
      </c>
      <c r="E150" s="8">
        <v>1</v>
      </c>
      <c r="F150" s="8">
        <v>1</v>
      </c>
    </row>
    <row r="151" spans="1:6" ht="15" customHeight="1" x14ac:dyDescent="0.3">
      <c r="A151" s="8">
        <v>48</v>
      </c>
      <c r="B151" s="6" t="s">
        <v>28</v>
      </c>
      <c r="C151" s="10">
        <v>1359656.32</v>
      </c>
      <c r="D151" s="17">
        <v>5.3355925827739898E-3</v>
      </c>
      <c r="E151" s="8">
        <v>4</v>
      </c>
      <c r="F151" s="8">
        <v>10</v>
      </c>
    </row>
    <row r="152" spans="1:6" ht="15" customHeight="1" x14ac:dyDescent="0.3">
      <c r="A152" s="8">
        <v>49</v>
      </c>
      <c r="B152" s="6" t="s">
        <v>1183</v>
      </c>
      <c r="C152" s="10">
        <v>1307823.4277966099</v>
      </c>
      <c r="D152" s="17">
        <v>5.13218883204959E-3</v>
      </c>
      <c r="E152" s="8">
        <v>2</v>
      </c>
      <c r="F152" s="8">
        <v>3</v>
      </c>
    </row>
    <row r="153" spans="1:6" ht="15" customHeight="1" x14ac:dyDescent="0.3">
      <c r="A153" s="8">
        <v>50</v>
      </c>
      <c r="B153" s="6" t="s">
        <v>750</v>
      </c>
      <c r="C153" s="10">
        <v>1254976.3899999999</v>
      </c>
      <c r="D153" s="17">
        <v>4.9248053493698204E-3</v>
      </c>
      <c r="E153" s="8">
        <v>5</v>
      </c>
      <c r="F153" s="8">
        <v>10</v>
      </c>
    </row>
    <row r="154" spans="1:6" ht="15" customHeight="1" x14ac:dyDescent="0.3">
      <c r="A154" s="8">
        <v>51</v>
      </c>
      <c r="B154" s="6" t="s">
        <v>53</v>
      </c>
      <c r="C154" s="10">
        <v>1247702.24</v>
      </c>
      <c r="D154" s="17">
        <v>4.89625997344277E-3</v>
      </c>
      <c r="E154" s="8">
        <v>7</v>
      </c>
      <c r="F154" s="8">
        <v>33</v>
      </c>
    </row>
    <row r="155" spans="1:6" ht="15" customHeight="1" x14ac:dyDescent="0.3">
      <c r="A155" s="8">
        <v>52</v>
      </c>
      <c r="B155" s="6" t="s">
        <v>1318</v>
      </c>
      <c r="C155" s="10">
        <v>1202340.83</v>
      </c>
      <c r="D155" s="17">
        <v>4.7182517524092596E-3</v>
      </c>
      <c r="E155" s="8">
        <v>3</v>
      </c>
      <c r="F155" s="8">
        <v>6</v>
      </c>
    </row>
    <row r="156" spans="1:6" ht="15" customHeight="1" x14ac:dyDescent="0.3">
      <c r="A156" s="8">
        <v>53</v>
      </c>
      <c r="B156" s="6" t="s">
        <v>292</v>
      </c>
      <c r="C156" s="10">
        <v>1186780.55</v>
      </c>
      <c r="D156" s="17">
        <v>4.6571897668672901E-3</v>
      </c>
      <c r="E156" s="8">
        <v>5</v>
      </c>
      <c r="F156" s="8">
        <v>13</v>
      </c>
    </row>
    <row r="157" spans="1:6" ht="15" customHeight="1" x14ac:dyDescent="0.3">
      <c r="A157" s="8">
        <v>54</v>
      </c>
      <c r="B157" s="6" t="s">
        <v>773</v>
      </c>
      <c r="C157" s="10">
        <v>1159375.3400000001</v>
      </c>
      <c r="D157" s="17">
        <v>4.5496456521858901E-3</v>
      </c>
      <c r="E157" s="8">
        <v>4</v>
      </c>
      <c r="F157" s="8">
        <v>16</v>
      </c>
    </row>
    <row r="158" spans="1:6" ht="15" customHeight="1" x14ac:dyDescent="0.3">
      <c r="A158" s="8">
        <v>55</v>
      </c>
      <c r="B158" s="6" t="s">
        <v>531</v>
      </c>
      <c r="C158" s="10">
        <v>1152693.23491525</v>
      </c>
      <c r="D158" s="17">
        <v>4.5234235916526196E-3</v>
      </c>
      <c r="E158" s="8">
        <v>7</v>
      </c>
      <c r="F158" s="8">
        <v>12</v>
      </c>
    </row>
    <row r="159" spans="1:6" ht="15" customHeight="1" x14ac:dyDescent="0.3">
      <c r="A159" s="8">
        <v>56</v>
      </c>
      <c r="B159" s="6" t="s">
        <v>163</v>
      </c>
      <c r="C159" s="10">
        <v>1139346.01</v>
      </c>
      <c r="D159" s="17">
        <v>4.4710461244861803E-3</v>
      </c>
      <c r="E159" s="8">
        <v>1</v>
      </c>
      <c r="F159" s="8">
        <v>3</v>
      </c>
    </row>
    <row r="160" spans="1:6" ht="15" customHeight="1" x14ac:dyDescent="0.3">
      <c r="A160" s="8">
        <v>57</v>
      </c>
      <c r="B160" s="6" t="s">
        <v>1299</v>
      </c>
      <c r="C160" s="10">
        <v>1136822.71474576</v>
      </c>
      <c r="D160" s="17">
        <v>4.4611441549629897E-3</v>
      </c>
      <c r="E160" s="8">
        <v>2</v>
      </c>
      <c r="F160" s="8">
        <v>3</v>
      </c>
    </row>
    <row r="161" spans="1:6" ht="15" customHeight="1" x14ac:dyDescent="0.3">
      <c r="A161" s="8">
        <v>58</v>
      </c>
      <c r="B161" s="6" t="s">
        <v>174</v>
      </c>
      <c r="C161" s="10">
        <v>1099603.3500000001</v>
      </c>
      <c r="D161" s="17">
        <v>4.3150871230852204E-3</v>
      </c>
      <c r="E161" s="8">
        <v>2</v>
      </c>
      <c r="F161" s="8">
        <v>7</v>
      </c>
    </row>
    <row r="162" spans="1:6" ht="15" customHeight="1" x14ac:dyDescent="0.3">
      <c r="A162" s="8">
        <v>59</v>
      </c>
      <c r="B162" s="6" t="s">
        <v>782</v>
      </c>
      <c r="C162" s="10">
        <v>1093912.07</v>
      </c>
      <c r="D162" s="17">
        <v>4.2927532796662501E-3</v>
      </c>
      <c r="E162" s="8">
        <v>3</v>
      </c>
      <c r="F162" s="8">
        <v>5</v>
      </c>
    </row>
    <row r="163" spans="1:6" ht="15" customHeight="1" x14ac:dyDescent="0.3">
      <c r="A163" s="8">
        <v>60</v>
      </c>
      <c r="B163" s="6" t="s">
        <v>205</v>
      </c>
      <c r="C163" s="10">
        <v>1074163.9215254199</v>
      </c>
      <c r="D163" s="17">
        <v>4.2152571705579801E-3</v>
      </c>
      <c r="E163" s="8">
        <v>11</v>
      </c>
      <c r="F163" s="8">
        <v>35</v>
      </c>
    </row>
    <row r="164" spans="1:6" ht="15" customHeight="1" x14ac:dyDescent="0.3">
      <c r="A164" s="25"/>
      <c r="B164" s="25" t="s">
        <v>1983</v>
      </c>
      <c r="C164" s="26">
        <v>216041409.40514001</v>
      </c>
      <c r="D164" s="27">
        <v>0.84779434673175802</v>
      </c>
    </row>
    <row r="166" spans="1:6" ht="15" customHeight="1" x14ac:dyDescent="0.3">
      <c r="A166" s="72" t="s">
        <v>1990</v>
      </c>
      <c r="B166" s="72"/>
      <c r="C166" s="72"/>
      <c r="D166" s="72"/>
      <c r="E166" s="72"/>
      <c r="F166" s="72"/>
    </row>
    <row r="167" spans="1:6" ht="15" customHeight="1" x14ac:dyDescent="0.3">
      <c r="A167" s="7" t="s">
        <v>1898</v>
      </c>
      <c r="B167" s="7" t="s">
        <v>3</v>
      </c>
      <c r="C167" s="7" t="s">
        <v>1958</v>
      </c>
      <c r="D167" s="7" t="s">
        <v>1981</v>
      </c>
      <c r="E167" s="7" t="s">
        <v>1964</v>
      </c>
      <c r="F167" s="7" t="s">
        <v>1982</v>
      </c>
    </row>
    <row r="168" spans="1:6" ht="15" customHeight="1" x14ac:dyDescent="0.3">
      <c r="A168" s="8">
        <v>1</v>
      </c>
      <c r="B168" s="6" t="s">
        <v>906</v>
      </c>
      <c r="C168" s="10">
        <v>951540.78</v>
      </c>
      <c r="D168" s="17">
        <v>3.7340568004530601E-3</v>
      </c>
      <c r="E168" s="8">
        <v>4</v>
      </c>
      <c r="F168" s="8">
        <v>4</v>
      </c>
    </row>
    <row r="169" spans="1:6" ht="15" customHeight="1" x14ac:dyDescent="0.3">
      <c r="A169" s="8">
        <v>2</v>
      </c>
      <c r="B169" s="6" t="s">
        <v>864</v>
      </c>
      <c r="C169" s="10">
        <v>942780.75</v>
      </c>
      <c r="D169" s="17">
        <v>3.6996805022625899E-3</v>
      </c>
      <c r="E169" s="8">
        <v>3</v>
      </c>
      <c r="F169" s="8">
        <v>7</v>
      </c>
    </row>
    <row r="170" spans="1:6" ht="15" customHeight="1" x14ac:dyDescent="0.3">
      <c r="A170" s="8">
        <v>3</v>
      </c>
      <c r="B170" s="6" t="s">
        <v>763</v>
      </c>
      <c r="C170" s="10">
        <v>922191.41762711899</v>
      </c>
      <c r="D170" s="17">
        <v>3.6188834012032402E-3</v>
      </c>
      <c r="E170" s="8">
        <v>4</v>
      </c>
      <c r="F170" s="8">
        <v>9</v>
      </c>
    </row>
    <row r="171" spans="1:6" ht="15" customHeight="1" x14ac:dyDescent="0.3">
      <c r="A171" s="8">
        <v>4</v>
      </c>
      <c r="B171" s="6" t="s">
        <v>1642</v>
      </c>
      <c r="C171" s="10">
        <v>905597.47</v>
      </c>
      <c r="D171" s="17">
        <v>3.55376507492047E-3</v>
      </c>
      <c r="E171" s="8">
        <v>2</v>
      </c>
      <c r="F171" s="8">
        <v>5</v>
      </c>
    </row>
    <row r="172" spans="1:6" ht="15" customHeight="1" x14ac:dyDescent="0.3">
      <c r="A172" s="8">
        <v>5</v>
      </c>
      <c r="B172" s="6" t="s">
        <v>308</v>
      </c>
      <c r="C172" s="10">
        <v>879888.57</v>
      </c>
      <c r="D172" s="17">
        <v>3.45287765643572E-3</v>
      </c>
      <c r="E172" s="8">
        <v>3</v>
      </c>
      <c r="F172" s="8">
        <v>6</v>
      </c>
    </row>
    <row r="173" spans="1:6" ht="15" customHeight="1" x14ac:dyDescent="0.3">
      <c r="A173" s="8">
        <v>6</v>
      </c>
      <c r="B173" s="6" t="s">
        <v>596</v>
      </c>
      <c r="C173" s="10">
        <v>867748.92</v>
      </c>
      <c r="D173" s="17">
        <v>3.4052389807316501E-3</v>
      </c>
      <c r="E173" s="8">
        <v>4</v>
      </c>
      <c r="F173" s="8">
        <v>6</v>
      </c>
    </row>
    <row r="174" spans="1:6" ht="15" customHeight="1" x14ac:dyDescent="0.3">
      <c r="A174" s="8">
        <v>7</v>
      </c>
      <c r="B174" s="6" t="s">
        <v>1655</v>
      </c>
      <c r="C174" s="10">
        <v>853450.001694915</v>
      </c>
      <c r="D174" s="17">
        <v>3.34912685788997E-3</v>
      </c>
      <c r="E174" s="8">
        <v>2</v>
      </c>
      <c r="F174" s="8">
        <v>3</v>
      </c>
    </row>
    <row r="175" spans="1:6" ht="15" customHeight="1" x14ac:dyDescent="0.3">
      <c r="A175" s="8">
        <v>8</v>
      </c>
      <c r="B175" s="6" t="s">
        <v>87</v>
      </c>
      <c r="C175" s="10">
        <v>849823</v>
      </c>
      <c r="D175" s="17">
        <v>3.33489369980698E-3</v>
      </c>
      <c r="E175" s="8">
        <v>1</v>
      </c>
      <c r="F175" s="8">
        <v>5</v>
      </c>
    </row>
    <row r="176" spans="1:6" ht="15" customHeight="1" x14ac:dyDescent="0.3">
      <c r="A176" s="8">
        <v>9</v>
      </c>
      <c r="B176" s="6" t="s">
        <v>470</v>
      </c>
      <c r="C176" s="10">
        <v>791661.93135593203</v>
      </c>
      <c r="D176" s="17">
        <v>3.1066567829488301E-3</v>
      </c>
      <c r="E176" s="8">
        <v>2</v>
      </c>
      <c r="F176" s="8">
        <v>2</v>
      </c>
    </row>
    <row r="177" spans="1:6" ht="15" customHeight="1" x14ac:dyDescent="0.3">
      <c r="A177" s="8">
        <v>10</v>
      </c>
      <c r="B177" s="6" t="s">
        <v>118</v>
      </c>
      <c r="C177" s="10">
        <v>781612.62</v>
      </c>
      <c r="D177" s="17">
        <v>3.0672210591236402E-3</v>
      </c>
      <c r="E177" s="8">
        <v>3</v>
      </c>
      <c r="F177" s="8">
        <v>6</v>
      </c>
    </row>
    <row r="178" spans="1:6" ht="15" customHeight="1" x14ac:dyDescent="0.3">
      <c r="A178" s="8">
        <v>11</v>
      </c>
      <c r="B178" s="6" t="s">
        <v>832</v>
      </c>
      <c r="C178" s="10">
        <v>753929.85748441098</v>
      </c>
      <c r="D178" s="17">
        <v>2.9585877668892699E-3</v>
      </c>
      <c r="E178" s="8">
        <v>4</v>
      </c>
      <c r="F178" s="8">
        <v>12</v>
      </c>
    </row>
    <row r="179" spans="1:6" ht="15" customHeight="1" x14ac:dyDescent="0.3">
      <c r="A179" s="8">
        <v>12</v>
      </c>
      <c r="B179" s="6" t="s">
        <v>83</v>
      </c>
      <c r="C179" s="10">
        <v>740260.91</v>
      </c>
      <c r="D179" s="17">
        <v>2.90494778909535E-3</v>
      </c>
      <c r="E179" s="8">
        <v>5</v>
      </c>
      <c r="F179" s="8">
        <v>13</v>
      </c>
    </row>
    <row r="180" spans="1:6" ht="15" customHeight="1" x14ac:dyDescent="0.3">
      <c r="A180" s="8">
        <v>13</v>
      </c>
      <c r="B180" s="6" t="s">
        <v>743</v>
      </c>
      <c r="C180" s="10">
        <v>720025</v>
      </c>
      <c r="D180" s="17">
        <v>2.8255375957152501E-3</v>
      </c>
      <c r="E180" s="8">
        <v>3</v>
      </c>
      <c r="F180" s="8">
        <v>6</v>
      </c>
    </row>
    <row r="181" spans="1:6" ht="15" customHeight="1" x14ac:dyDescent="0.3">
      <c r="A181" s="8">
        <v>14</v>
      </c>
      <c r="B181" s="6" t="s">
        <v>745</v>
      </c>
      <c r="C181" s="10">
        <v>719334.92</v>
      </c>
      <c r="D181" s="17">
        <v>2.82282956893277E-3</v>
      </c>
      <c r="E181" s="8">
        <v>4</v>
      </c>
      <c r="F181" s="8">
        <v>5</v>
      </c>
    </row>
    <row r="182" spans="1:6" ht="15" customHeight="1" x14ac:dyDescent="0.3">
      <c r="A182" s="8">
        <v>15</v>
      </c>
      <c r="B182" s="6" t="s">
        <v>369</v>
      </c>
      <c r="C182" s="10">
        <v>713076.8</v>
      </c>
      <c r="D182" s="17">
        <v>2.7982713197907301E-3</v>
      </c>
      <c r="E182" s="8">
        <v>2</v>
      </c>
      <c r="F182" s="8">
        <v>3</v>
      </c>
    </row>
    <row r="183" spans="1:6" ht="15" customHeight="1" x14ac:dyDescent="0.3">
      <c r="A183" s="8">
        <v>16</v>
      </c>
      <c r="B183" s="6" t="s">
        <v>360</v>
      </c>
      <c r="C183" s="10">
        <v>687964.8</v>
      </c>
      <c r="D183" s="17">
        <v>2.6997262691277699E-3</v>
      </c>
      <c r="E183" s="8">
        <v>5</v>
      </c>
      <c r="F183" s="8">
        <v>10</v>
      </c>
    </row>
    <row r="184" spans="1:6" ht="15" customHeight="1" x14ac:dyDescent="0.3">
      <c r="A184" s="8">
        <v>17</v>
      </c>
      <c r="B184" s="6" t="s">
        <v>644</v>
      </c>
      <c r="C184" s="10">
        <v>673472.03</v>
      </c>
      <c r="D184" s="17">
        <v>2.6428534292943602E-3</v>
      </c>
      <c r="E184" s="8">
        <v>4</v>
      </c>
      <c r="F184" s="8">
        <v>4</v>
      </c>
    </row>
    <row r="185" spans="1:6" ht="15" customHeight="1" x14ac:dyDescent="0.3">
      <c r="A185" s="8">
        <v>18</v>
      </c>
      <c r="B185" s="6" t="s">
        <v>59</v>
      </c>
      <c r="C185" s="10">
        <v>659818.91</v>
      </c>
      <c r="D185" s="17">
        <v>2.5892755620552802E-3</v>
      </c>
      <c r="E185" s="8">
        <v>4</v>
      </c>
      <c r="F185" s="8">
        <v>10</v>
      </c>
    </row>
    <row r="186" spans="1:6" ht="15" customHeight="1" x14ac:dyDescent="0.3">
      <c r="A186" s="8">
        <v>19</v>
      </c>
      <c r="B186" s="6" t="s">
        <v>134</v>
      </c>
      <c r="C186" s="10">
        <v>658880.75</v>
      </c>
      <c r="D186" s="17">
        <v>2.5855940143995801E-3</v>
      </c>
      <c r="E186" s="8">
        <v>6</v>
      </c>
      <c r="F186" s="8">
        <v>9</v>
      </c>
    </row>
    <row r="187" spans="1:6" ht="15" customHeight="1" x14ac:dyDescent="0.3">
      <c r="A187" s="8">
        <v>20</v>
      </c>
      <c r="B187" s="6" t="s">
        <v>161</v>
      </c>
      <c r="C187" s="10">
        <v>651804.44999999995</v>
      </c>
      <c r="D187" s="17">
        <v>2.55782504569911E-3</v>
      </c>
      <c r="E187" s="8">
        <v>1</v>
      </c>
      <c r="F187" s="8">
        <v>2</v>
      </c>
    </row>
    <row r="188" spans="1:6" ht="15" customHeight="1" x14ac:dyDescent="0.3">
      <c r="A188" s="8">
        <v>21</v>
      </c>
      <c r="B188" s="6" t="s">
        <v>322</v>
      </c>
      <c r="C188" s="10">
        <v>650479.98</v>
      </c>
      <c r="D188" s="17">
        <v>2.5526275320302801E-3</v>
      </c>
      <c r="E188" s="8">
        <v>3</v>
      </c>
      <c r="F188" s="8">
        <v>4</v>
      </c>
    </row>
    <row r="189" spans="1:6" ht="15" customHeight="1" x14ac:dyDescent="0.3">
      <c r="A189" s="8">
        <v>22</v>
      </c>
      <c r="B189" s="6" t="s">
        <v>232</v>
      </c>
      <c r="C189" s="10">
        <v>628356.76</v>
      </c>
      <c r="D189" s="17">
        <v>2.4658111161443299E-3</v>
      </c>
      <c r="E189" s="8">
        <v>5</v>
      </c>
      <c r="F189" s="8">
        <v>14</v>
      </c>
    </row>
    <row r="190" spans="1:6" ht="15" customHeight="1" x14ac:dyDescent="0.3">
      <c r="A190" s="8">
        <v>23</v>
      </c>
      <c r="B190" s="6" t="s">
        <v>1233</v>
      </c>
      <c r="C190" s="10">
        <v>576750.25</v>
      </c>
      <c r="D190" s="17">
        <v>2.2632957393328998E-3</v>
      </c>
      <c r="E190" s="8">
        <v>2</v>
      </c>
      <c r="F190" s="8">
        <v>7</v>
      </c>
    </row>
    <row r="191" spans="1:6" ht="15" customHeight="1" x14ac:dyDescent="0.3">
      <c r="A191" s="8">
        <v>24</v>
      </c>
      <c r="B191" s="6" t="s">
        <v>628</v>
      </c>
      <c r="C191" s="10">
        <v>560874.80000000005</v>
      </c>
      <c r="D191" s="17">
        <v>2.2009969568963202E-3</v>
      </c>
      <c r="E191" s="8">
        <v>1</v>
      </c>
      <c r="F191" s="8">
        <v>1</v>
      </c>
    </row>
    <row r="192" spans="1:6" ht="15" customHeight="1" x14ac:dyDescent="0.3">
      <c r="A192" s="8">
        <v>25</v>
      </c>
      <c r="B192" s="6" t="s">
        <v>520</v>
      </c>
      <c r="C192" s="10">
        <v>556849.48</v>
      </c>
      <c r="D192" s="17">
        <v>2.1852007095510399E-3</v>
      </c>
      <c r="E192" s="8">
        <v>4</v>
      </c>
      <c r="F192" s="8">
        <v>7</v>
      </c>
    </row>
    <row r="193" spans="1:6" ht="15" customHeight="1" x14ac:dyDescent="0.3">
      <c r="A193" s="8">
        <v>26</v>
      </c>
      <c r="B193" s="6" t="s">
        <v>577</v>
      </c>
      <c r="C193" s="10">
        <v>542532.56999999995</v>
      </c>
      <c r="D193" s="17">
        <v>2.1290179833131002E-3</v>
      </c>
      <c r="E193" s="8">
        <v>2</v>
      </c>
      <c r="F193" s="8">
        <v>4</v>
      </c>
    </row>
    <row r="194" spans="1:6" ht="15" customHeight="1" x14ac:dyDescent="0.3">
      <c r="A194" s="8">
        <v>27</v>
      </c>
      <c r="B194" s="6" t="s">
        <v>601</v>
      </c>
      <c r="C194" s="10">
        <v>540667.94999999995</v>
      </c>
      <c r="D194" s="17">
        <v>2.1217008013934102E-3</v>
      </c>
      <c r="E194" s="8">
        <v>5</v>
      </c>
      <c r="F194" s="8">
        <v>7</v>
      </c>
    </row>
    <row r="195" spans="1:6" ht="15" customHeight="1" x14ac:dyDescent="0.3">
      <c r="A195" s="8">
        <v>28</v>
      </c>
      <c r="B195" s="6" t="s">
        <v>1206</v>
      </c>
      <c r="C195" s="10">
        <v>517370</v>
      </c>
      <c r="D195" s="17">
        <v>2.0302744847681699E-3</v>
      </c>
      <c r="E195" s="8">
        <v>1</v>
      </c>
      <c r="F195" s="8">
        <v>1</v>
      </c>
    </row>
    <row r="196" spans="1:6" ht="15" customHeight="1" x14ac:dyDescent="0.3">
      <c r="A196" s="8">
        <v>29</v>
      </c>
      <c r="B196" s="6" t="s">
        <v>1598</v>
      </c>
      <c r="C196" s="10">
        <v>508072.36</v>
      </c>
      <c r="D196" s="17">
        <v>1.9937884858494798E-3</v>
      </c>
      <c r="E196" s="8">
        <v>2</v>
      </c>
      <c r="F196" s="8">
        <v>3</v>
      </c>
    </row>
    <row r="197" spans="1:6" ht="15" customHeight="1" x14ac:dyDescent="0.3">
      <c r="A197" s="8">
        <v>30</v>
      </c>
      <c r="B197" s="6" t="s">
        <v>774</v>
      </c>
      <c r="C197" s="10">
        <v>484147.6</v>
      </c>
      <c r="D197" s="17">
        <v>1.8999024279369599E-3</v>
      </c>
      <c r="E197" s="8">
        <v>2</v>
      </c>
      <c r="F197" s="8">
        <v>5</v>
      </c>
    </row>
    <row r="198" spans="1:6" ht="15" customHeight="1" x14ac:dyDescent="0.3">
      <c r="A198" s="8">
        <v>31</v>
      </c>
      <c r="B198" s="6" t="s">
        <v>1794</v>
      </c>
      <c r="C198" s="10">
        <v>455000</v>
      </c>
      <c r="D198" s="17">
        <v>1.7855207889315499E-3</v>
      </c>
      <c r="E198" s="8">
        <v>1</v>
      </c>
      <c r="F198" s="8">
        <v>1</v>
      </c>
    </row>
    <row r="199" spans="1:6" ht="15" customHeight="1" x14ac:dyDescent="0.3">
      <c r="A199" s="8">
        <v>32</v>
      </c>
      <c r="B199" s="6" t="s">
        <v>988</v>
      </c>
      <c r="C199" s="10">
        <v>444506.02</v>
      </c>
      <c r="D199" s="17">
        <v>1.7443400868466399E-3</v>
      </c>
      <c r="E199" s="8">
        <v>1</v>
      </c>
      <c r="F199" s="8">
        <v>2</v>
      </c>
    </row>
    <row r="200" spans="1:6" ht="15" customHeight="1" x14ac:dyDescent="0.3">
      <c r="A200" s="8">
        <v>33</v>
      </c>
      <c r="B200" s="6" t="s">
        <v>188</v>
      </c>
      <c r="C200" s="10">
        <v>442274.17</v>
      </c>
      <c r="D200" s="17">
        <v>1.73558181306032E-3</v>
      </c>
      <c r="E200" s="8">
        <v>2</v>
      </c>
      <c r="F200" s="8">
        <v>10</v>
      </c>
    </row>
    <row r="201" spans="1:6" ht="15" customHeight="1" x14ac:dyDescent="0.3">
      <c r="A201" s="8">
        <v>34</v>
      </c>
      <c r="B201" s="6" t="s">
        <v>679</v>
      </c>
      <c r="C201" s="10">
        <v>441999.18</v>
      </c>
      <c r="D201" s="17">
        <v>1.7345026913861499E-3</v>
      </c>
      <c r="E201" s="8">
        <v>4</v>
      </c>
      <c r="F201" s="8">
        <v>4</v>
      </c>
    </row>
    <row r="202" spans="1:6" ht="15" customHeight="1" x14ac:dyDescent="0.3">
      <c r="A202" s="8">
        <v>35</v>
      </c>
      <c r="B202" s="6" t="s">
        <v>1692</v>
      </c>
      <c r="C202" s="10">
        <v>427469.32</v>
      </c>
      <c r="D202" s="17">
        <v>1.67748430217678E-3</v>
      </c>
      <c r="E202" s="8">
        <v>2</v>
      </c>
      <c r="F202" s="8">
        <v>4</v>
      </c>
    </row>
    <row r="203" spans="1:6" ht="15" customHeight="1" x14ac:dyDescent="0.3">
      <c r="A203" s="8">
        <v>36</v>
      </c>
      <c r="B203" s="6" t="s">
        <v>499</v>
      </c>
      <c r="C203" s="10">
        <v>422186.27</v>
      </c>
      <c r="D203" s="17">
        <v>1.6567524437065199E-3</v>
      </c>
      <c r="E203" s="8">
        <v>1</v>
      </c>
      <c r="F203" s="8">
        <v>1</v>
      </c>
    </row>
    <row r="204" spans="1:6" ht="15" customHeight="1" x14ac:dyDescent="0.3">
      <c r="A204" s="8">
        <v>37</v>
      </c>
      <c r="B204" s="6" t="s">
        <v>1618</v>
      </c>
      <c r="C204" s="10">
        <v>402750.71999999997</v>
      </c>
      <c r="D204" s="17">
        <v>1.58048304025747E-3</v>
      </c>
      <c r="E204" s="8">
        <v>2</v>
      </c>
      <c r="F204" s="8">
        <v>6</v>
      </c>
    </row>
    <row r="205" spans="1:6" ht="15" customHeight="1" x14ac:dyDescent="0.3">
      <c r="A205" s="8">
        <v>38</v>
      </c>
      <c r="B205" s="6" t="s">
        <v>845</v>
      </c>
      <c r="C205" s="10">
        <v>396722.58</v>
      </c>
      <c r="D205" s="17">
        <v>1.5568272835792499E-3</v>
      </c>
      <c r="E205" s="8">
        <v>1</v>
      </c>
      <c r="F205" s="8">
        <v>2</v>
      </c>
    </row>
    <row r="206" spans="1:6" ht="15" customHeight="1" x14ac:dyDescent="0.3">
      <c r="A206" s="8">
        <v>39</v>
      </c>
      <c r="B206" s="6" t="s">
        <v>517</v>
      </c>
      <c r="C206" s="10">
        <v>392413.84</v>
      </c>
      <c r="D206" s="17">
        <v>1.53991883337244E-3</v>
      </c>
      <c r="E206" s="8">
        <v>4</v>
      </c>
      <c r="F206" s="8">
        <v>4</v>
      </c>
    </row>
    <row r="207" spans="1:6" ht="15" customHeight="1" x14ac:dyDescent="0.3">
      <c r="A207" s="8">
        <v>40</v>
      </c>
      <c r="B207" s="6" t="s">
        <v>604</v>
      </c>
      <c r="C207" s="10">
        <v>380207.77</v>
      </c>
      <c r="D207" s="17">
        <v>1.4920195108754E-3</v>
      </c>
      <c r="E207" s="8">
        <v>2</v>
      </c>
      <c r="F207" s="8">
        <v>3</v>
      </c>
    </row>
    <row r="208" spans="1:6" ht="15" customHeight="1" x14ac:dyDescent="0.3">
      <c r="A208" s="8">
        <v>41</v>
      </c>
      <c r="B208" s="6" t="s">
        <v>566</v>
      </c>
      <c r="C208" s="10">
        <v>363646.66</v>
      </c>
      <c r="D208" s="17">
        <v>1.4270300467154301E-3</v>
      </c>
      <c r="E208" s="8">
        <v>3</v>
      </c>
      <c r="F208" s="8">
        <v>5</v>
      </c>
    </row>
    <row r="209" spans="1:6" ht="15" customHeight="1" x14ac:dyDescent="0.3">
      <c r="A209" s="8">
        <v>42</v>
      </c>
      <c r="B209" s="6" t="s">
        <v>685</v>
      </c>
      <c r="C209" s="10">
        <v>355018.42</v>
      </c>
      <c r="D209" s="17">
        <v>1.3931709216783101E-3</v>
      </c>
      <c r="E209" s="8">
        <v>2</v>
      </c>
      <c r="F209" s="8">
        <v>3</v>
      </c>
    </row>
    <row r="210" spans="1:6" ht="15" customHeight="1" x14ac:dyDescent="0.3">
      <c r="A210" s="8">
        <v>43</v>
      </c>
      <c r="B210" s="6" t="s">
        <v>662</v>
      </c>
      <c r="C210" s="10">
        <v>326510.61</v>
      </c>
      <c r="D210" s="17">
        <v>1.28129996035543E-3</v>
      </c>
      <c r="E210" s="8">
        <v>4</v>
      </c>
      <c r="F210" s="8">
        <v>7</v>
      </c>
    </row>
    <row r="211" spans="1:6" ht="15" customHeight="1" x14ac:dyDescent="0.3">
      <c r="A211" s="8">
        <v>44</v>
      </c>
      <c r="B211" s="6" t="s">
        <v>617</v>
      </c>
      <c r="C211" s="10">
        <v>324818.42</v>
      </c>
      <c r="D211" s="17">
        <v>1.27465943195143E-3</v>
      </c>
      <c r="E211" s="8">
        <v>3</v>
      </c>
      <c r="F211" s="8">
        <v>5</v>
      </c>
    </row>
    <row r="212" spans="1:6" ht="15" customHeight="1" x14ac:dyDescent="0.3">
      <c r="A212" s="8">
        <v>45</v>
      </c>
      <c r="B212" s="6" t="s">
        <v>1569</v>
      </c>
      <c r="C212" s="10">
        <v>321860.28000000003</v>
      </c>
      <c r="D212" s="17">
        <v>1.2630510353216001E-3</v>
      </c>
      <c r="E212" s="8">
        <v>1</v>
      </c>
      <c r="F212" s="8">
        <v>5</v>
      </c>
    </row>
    <row r="213" spans="1:6" ht="15" customHeight="1" x14ac:dyDescent="0.3">
      <c r="A213" s="8">
        <v>46</v>
      </c>
      <c r="B213" s="6" t="s">
        <v>253</v>
      </c>
      <c r="C213" s="10">
        <v>319060.38</v>
      </c>
      <c r="D213" s="17">
        <v>1.2520636075041801E-3</v>
      </c>
      <c r="E213" s="8">
        <v>2</v>
      </c>
      <c r="F213" s="8">
        <v>3</v>
      </c>
    </row>
    <row r="214" spans="1:6" ht="15" customHeight="1" x14ac:dyDescent="0.3">
      <c r="A214" s="8">
        <v>47</v>
      </c>
      <c r="B214" s="6" t="s">
        <v>1694</v>
      </c>
      <c r="C214" s="10">
        <v>317796.61</v>
      </c>
      <c r="D214" s="17">
        <v>1.24710429408126E-3</v>
      </c>
      <c r="E214" s="8">
        <v>1</v>
      </c>
      <c r="F214" s="8">
        <v>1</v>
      </c>
    </row>
    <row r="215" spans="1:6" ht="15" customHeight="1" x14ac:dyDescent="0.3">
      <c r="A215" s="8">
        <v>48</v>
      </c>
      <c r="B215" s="6" t="s">
        <v>700</v>
      </c>
      <c r="C215" s="10">
        <v>313498.46000000002</v>
      </c>
      <c r="D215" s="17">
        <v>1.2302374013802801E-3</v>
      </c>
      <c r="E215" s="8">
        <v>3</v>
      </c>
      <c r="F215" s="8">
        <v>6</v>
      </c>
    </row>
    <row r="216" spans="1:6" ht="15" customHeight="1" x14ac:dyDescent="0.3">
      <c r="A216" s="8">
        <v>49</v>
      </c>
      <c r="B216" s="6" t="s">
        <v>747</v>
      </c>
      <c r="C216" s="10">
        <v>305254.75</v>
      </c>
      <c r="D216" s="17">
        <v>1.19788725724198E-3</v>
      </c>
      <c r="E216" s="8">
        <v>4</v>
      </c>
      <c r="F216" s="8">
        <v>8</v>
      </c>
    </row>
    <row r="217" spans="1:6" ht="15" customHeight="1" x14ac:dyDescent="0.3">
      <c r="A217" s="8">
        <v>50</v>
      </c>
      <c r="B217" s="6" t="s">
        <v>1026</v>
      </c>
      <c r="C217" s="10">
        <v>299123.56</v>
      </c>
      <c r="D217" s="17">
        <v>1.1738271095367301E-3</v>
      </c>
      <c r="E217" s="8">
        <v>3</v>
      </c>
      <c r="F217" s="8">
        <v>4</v>
      </c>
    </row>
    <row r="218" spans="1:6" ht="15" customHeight="1" x14ac:dyDescent="0.3">
      <c r="A218" s="8">
        <v>51</v>
      </c>
      <c r="B218" s="6" t="s">
        <v>1323</v>
      </c>
      <c r="C218" s="10">
        <v>294669.89610169502</v>
      </c>
      <c r="D218" s="17">
        <v>1.1563499458502799E-3</v>
      </c>
      <c r="E218" s="8">
        <v>1</v>
      </c>
      <c r="F218" s="8">
        <v>2</v>
      </c>
    </row>
    <row r="219" spans="1:6" ht="15" customHeight="1" x14ac:dyDescent="0.3">
      <c r="A219" s="8">
        <v>52</v>
      </c>
      <c r="B219" s="6" t="s">
        <v>265</v>
      </c>
      <c r="C219" s="10">
        <v>270242.73</v>
      </c>
      <c r="D219" s="17">
        <v>1.0604923351046501E-3</v>
      </c>
      <c r="E219" s="8">
        <v>1</v>
      </c>
      <c r="F219" s="8">
        <v>3</v>
      </c>
    </row>
    <row r="220" spans="1:6" ht="15" customHeight="1" x14ac:dyDescent="0.3">
      <c r="A220" s="8">
        <v>53</v>
      </c>
      <c r="B220" s="6" t="s">
        <v>534</v>
      </c>
      <c r="C220" s="10">
        <v>263687.33</v>
      </c>
      <c r="D220" s="17">
        <v>1.03476749339089E-3</v>
      </c>
      <c r="E220" s="8">
        <v>5</v>
      </c>
      <c r="F220" s="8">
        <v>12</v>
      </c>
    </row>
    <row r="221" spans="1:6" ht="15" customHeight="1" x14ac:dyDescent="0.3">
      <c r="A221" s="8">
        <v>54</v>
      </c>
      <c r="B221" s="6" t="s">
        <v>753</v>
      </c>
      <c r="C221" s="10">
        <v>259281.66</v>
      </c>
      <c r="D221" s="17">
        <v>1.0174786683927099E-3</v>
      </c>
      <c r="E221" s="8">
        <v>1</v>
      </c>
      <c r="F221" s="8">
        <v>1</v>
      </c>
    </row>
    <row r="222" spans="1:6" ht="15" customHeight="1" x14ac:dyDescent="0.3">
      <c r="A222" s="8">
        <v>55</v>
      </c>
      <c r="B222" s="6" t="s">
        <v>1525</v>
      </c>
      <c r="C222" s="10">
        <v>256513.28</v>
      </c>
      <c r="D222" s="17">
        <v>1.00661493203741E-3</v>
      </c>
      <c r="E222" s="8">
        <v>1</v>
      </c>
      <c r="F222" s="8">
        <v>4</v>
      </c>
    </row>
    <row r="223" spans="1:6" ht="15" customHeight="1" x14ac:dyDescent="0.3">
      <c r="A223" s="25"/>
      <c r="B223" s="25" t="s">
        <v>1985</v>
      </c>
      <c r="C223" s="26">
        <v>30087478.554264098</v>
      </c>
      <c r="D223" s="27">
        <v>0.11806993064872701</v>
      </c>
    </row>
    <row r="225" spans="1:6" ht="15" customHeight="1" x14ac:dyDescent="0.3">
      <c r="A225" s="73" t="s">
        <v>1991</v>
      </c>
      <c r="B225" s="73"/>
      <c r="C225" s="73"/>
      <c r="D225" s="73"/>
      <c r="E225" s="73"/>
      <c r="F225" s="73"/>
    </row>
    <row r="226" spans="1:6" ht="15" customHeight="1" x14ac:dyDescent="0.3">
      <c r="A226" s="7" t="s">
        <v>1898</v>
      </c>
      <c r="B226" s="7" t="s">
        <v>3</v>
      </c>
      <c r="C226" s="7" t="s">
        <v>1958</v>
      </c>
      <c r="D226" s="7" t="s">
        <v>1981</v>
      </c>
      <c r="E226" s="7" t="s">
        <v>1964</v>
      </c>
      <c r="F226" s="7" t="s">
        <v>1982</v>
      </c>
    </row>
    <row r="227" spans="1:6" ht="15" customHeight="1" x14ac:dyDescent="0.3">
      <c r="A227" s="8">
        <v>1</v>
      </c>
      <c r="B227" s="6" t="s">
        <v>451</v>
      </c>
      <c r="C227" s="10">
        <v>236149.65</v>
      </c>
      <c r="D227" s="17">
        <v>9.2670353708551405E-4</v>
      </c>
      <c r="E227" s="8">
        <v>2</v>
      </c>
      <c r="F227" s="8">
        <v>3</v>
      </c>
    </row>
    <row r="228" spans="1:6" ht="15" customHeight="1" x14ac:dyDescent="0.3">
      <c r="A228" s="8">
        <v>2</v>
      </c>
      <c r="B228" s="6" t="s">
        <v>483</v>
      </c>
      <c r="C228" s="10">
        <v>233721.13</v>
      </c>
      <c r="D228" s="17">
        <v>9.1717348665400602E-4</v>
      </c>
      <c r="E228" s="8">
        <v>1</v>
      </c>
      <c r="F228" s="8">
        <v>1</v>
      </c>
    </row>
    <row r="229" spans="1:6" ht="15" customHeight="1" x14ac:dyDescent="0.3">
      <c r="A229" s="8">
        <v>3</v>
      </c>
      <c r="B229" s="6" t="s">
        <v>1647</v>
      </c>
      <c r="C229" s="10">
        <v>226880.03</v>
      </c>
      <c r="D229" s="17">
        <v>8.9032749485365599E-4</v>
      </c>
      <c r="E229" s="8">
        <v>1</v>
      </c>
      <c r="F229" s="8">
        <v>1</v>
      </c>
    </row>
    <row r="230" spans="1:6" ht="15" customHeight="1" x14ac:dyDescent="0.3">
      <c r="A230" s="8">
        <v>4</v>
      </c>
      <c r="B230" s="6" t="s">
        <v>937</v>
      </c>
      <c r="C230" s="10">
        <v>224920.99</v>
      </c>
      <c r="D230" s="17">
        <v>8.8263978793860396E-4</v>
      </c>
      <c r="E230" s="8">
        <v>2</v>
      </c>
      <c r="F230" s="8">
        <v>2</v>
      </c>
    </row>
    <row r="231" spans="1:6" ht="15" customHeight="1" x14ac:dyDescent="0.3">
      <c r="A231" s="8">
        <v>5</v>
      </c>
      <c r="B231" s="6" t="s">
        <v>1627</v>
      </c>
      <c r="C231" s="10">
        <v>222254</v>
      </c>
      <c r="D231" s="17">
        <v>8.7217392840262102E-4</v>
      </c>
      <c r="E231" s="8">
        <v>1</v>
      </c>
      <c r="F231" s="8">
        <v>1</v>
      </c>
    </row>
    <row r="232" spans="1:6" ht="15" customHeight="1" x14ac:dyDescent="0.3">
      <c r="A232" s="8">
        <v>6</v>
      </c>
      <c r="B232" s="6" t="s">
        <v>761</v>
      </c>
      <c r="C232" s="10">
        <v>208816.66</v>
      </c>
      <c r="D232" s="17">
        <v>8.1944282968186995E-4</v>
      </c>
      <c r="E232" s="8">
        <v>2</v>
      </c>
      <c r="F232" s="8">
        <v>6</v>
      </c>
    </row>
    <row r="233" spans="1:6" ht="15" customHeight="1" x14ac:dyDescent="0.3">
      <c r="A233" s="8">
        <v>7</v>
      </c>
      <c r="B233" s="6" t="s">
        <v>464</v>
      </c>
      <c r="C233" s="10">
        <v>206903.27</v>
      </c>
      <c r="D233" s="17">
        <v>8.1193426347893902E-4</v>
      </c>
      <c r="E233" s="8">
        <v>2</v>
      </c>
      <c r="F233" s="8">
        <v>4</v>
      </c>
    </row>
    <row r="234" spans="1:6" ht="15" customHeight="1" x14ac:dyDescent="0.3">
      <c r="A234" s="8">
        <v>8</v>
      </c>
      <c r="B234" s="6" t="s">
        <v>1797</v>
      </c>
      <c r="C234" s="10">
        <v>206089.67</v>
      </c>
      <c r="D234" s="17">
        <v>8.0874151685503802E-4</v>
      </c>
      <c r="E234" s="8">
        <v>1</v>
      </c>
      <c r="F234" s="8">
        <v>1</v>
      </c>
    </row>
    <row r="235" spans="1:6" ht="15" customHeight="1" x14ac:dyDescent="0.3">
      <c r="A235" s="8">
        <v>9</v>
      </c>
      <c r="B235" s="6" t="s">
        <v>1421</v>
      </c>
      <c r="C235" s="10">
        <v>205000</v>
      </c>
      <c r="D235" s="17">
        <v>8.0446541039772999E-4</v>
      </c>
      <c r="E235" s="8">
        <v>1</v>
      </c>
      <c r="F235" s="8">
        <v>1</v>
      </c>
    </row>
    <row r="236" spans="1:6" ht="15" customHeight="1" x14ac:dyDescent="0.3">
      <c r="A236" s="8">
        <v>10</v>
      </c>
      <c r="B236" s="6" t="s">
        <v>1743</v>
      </c>
      <c r="C236" s="10">
        <v>203678.39</v>
      </c>
      <c r="D236" s="17">
        <v>7.9927912000243395E-4</v>
      </c>
      <c r="E236" s="8">
        <v>1</v>
      </c>
      <c r="F236" s="8">
        <v>1</v>
      </c>
    </row>
    <row r="237" spans="1:6" ht="15" customHeight="1" x14ac:dyDescent="0.3">
      <c r="A237" s="8">
        <v>11</v>
      </c>
      <c r="B237" s="6" t="s">
        <v>1566</v>
      </c>
      <c r="C237" s="10">
        <v>189851.72</v>
      </c>
      <c r="D237" s="17">
        <v>7.4502020411958603E-4</v>
      </c>
      <c r="E237" s="8">
        <v>1</v>
      </c>
      <c r="F237" s="8">
        <v>1</v>
      </c>
    </row>
    <row r="238" spans="1:6" ht="15" customHeight="1" x14ac:dyDescent="0.3">
      <c r="A238" s="8">
        <v>12</v>
      </c>
      <c r="B238" s="6" t="s">
        <v>744</v>
      </c>
      <c r="C238" s="10">
        <v>184146.94</v>
      </c>
      <c r="D238" s="17">
        <v>7.22633383710177E-4</v>
      </c>
      <c r="E238" s="8">
        <v>2</v>
      </c>
      <c r="F238" s="8">
        <v>3</v>
      </c>
    </row>
    <row r="239" spans="1:6" ht="15" customHeight="1" x14ac:dyDescent="0.3">
      <c r="A239" s="8">
        <v>13</v>
      </c>
      <c r="B239" s="6" t="s">
        <v>1002</v>
      </c>
      <c r="C239" s="10">
        <v>183306.42</v>
      </c>
      <c r="D239" s="17">
        <v>7.19334997043116E-4</v>
      </c>
      <c r="E239" s="8">
        <v>1</v>
      </c>
      <c r="F239" s="8">
        <v>2</v>
      </c>
    </row>
    <row r="240" spans="1:6" ht="15" customHeight="1" x14ac:dyDescent="0.3">
      <c r="A240" s="8">
        <v>14</v>
      </c>
      <c r="B240" s="6" t="s">
        <v>751</v>
      </c>
      <c r="C240" s="10">
        <v>180554.04484848501</v>
      </c>
      <c r="D240" s="17">
        <v>7.0853406725856897E-4</v>
      </c>
      <c r="E240" s="8">
        <v>3</v>
      </c>
      <c r="F240" s="8">
        <v>7</v>
      </c>
    </row>
    <row r="241" spans="1:6" ht="15" customHeight="1" x14ac:dyDescent="0.3">
      <c r="A241" s="8">
        <v>15</v>
      </c>
      <c r="B241" s="6" t="s">
        <v>271</v>
      </c>
      <c r="C241" s="10">
        <v>179541.11</v>
      </c>
      <c r="D241" s="17">
        <v>7.0455908653372702E-4</v>
      </c>
      <c r="E241" s="8">
        <v>3</v>
      </c>
      <c r="F241" s="8">
        <v>6</v>
      </c>
    </row>
    <row r="242" spans="1:6" ht="15" customHeight="1" x14ac:dyDescent="0.3">
      <c r="A242" s="8">
        <v>16</v>
      </c>
      <c r="B242" s="6" t="s">
        <v>1522</v>
      </c>
      <c r="C242" s="10">
        <v>175587.99</v>
      </c>
      <c r="D242" s="17">
        <v>6.8904616798176903E-4</v>
      </c>
      <c r="E242" s="8">
        <v>1</v>
      </c>
      <c r="F242" s="8">
        <v>3</v>
      </c>
    </row>
    <row r="243" spans="1:6" ht="15" customHeight="1" x14ac:dyDescent="0.3">
      <c r="A243" s="8">
        <v>17</v>
      </c>
      <c r="B243" s="6" t="s">
        <v>34</v>
      </c>
      <c r="C243" s="10">
        <v>170439.66</v>
      </c>
      <c r="D243" s="17">
        <v>6.6884298063390102E-4</v>
      </c>
      <c r="E243" s="8">
        <v>4</v>
      </c>
      <c r="F243" s="8">
        <v>8</v>
      </c>
    </row>
    <row r="244" spans="1:6" ht="15" customHeight="1" x14ac:dyDescent="0.3">
      <c r="A244" s="8">
        <v>18</v>
      </c>
      <c r="B244" s="6" t="s">
        <v>482</v>
      </c>
      <c r="C244" s="10">
        <v>161408.82999999999</v>
      </c>
      <c r="D244" s="17">
        <v>6.3340400325740201E-4</v>
      </c>
      <c r="E244" s="8">
        <v>1</v>
      </c>
      <c r="F244" s="8">
        <v>1</v>
      </c>
    </row>
    <row r="245" spans="1:6" ht="15" customHeight="1" x14ac:dyDescent="0.3">
      <c r="A245" s="8">
        <v>19</v>
      </c>
      <c r="B245" s="6" t="s">
        <v>1356</v>
      </c>
      <c r="C245" s="10">
        <v>157356.1</v>
      </c>
      <c r="D245" s="17">
        <v>6.1750019300042098E-4</v>
      </c>
      <c r="E245" s="8">
        <v>2</v>
      </c>
      <c r="F245" s="8">
        <v>4</v>
      </c>
    </row>
    <row r="246" spans="1:6" ht="15" customHeight="1" x14ac:dyDescent="0.3">
      <c r="A246" s="8">
        <v>20</v>
      </c>
      <c r="B246" s="6" t="s">
        <v>76</v>
      </c>
      <c r="C246" s="10">
        <v>151882.56</v>
      </c>
      <c r="D246" s="17">
        <v>5.9602080957394104E-4</v>
      </c>
      <c r="E246" s="8">
        <v>3</v>
      </c>
      <c r="F246" s="8">
        <v>14</v>
      </c>
    </row>
    <row r="247" spans="1:6" ht="15" customHeight="1" x14ac:dyDescent="0.3">
      <c r="A247" s="8">
        <v>21</v>
      </c>
      <c r="B247" s="6" t="s">
        <v>641</v>
      </c>
      <c r="C247" s="10">
        <v>143350.56</v>
      </c>
      <c r="D247" s="17">
        <v>5.6253935161533898E-4</v>
      </c>
      <c r="E247" s="8">
        <v>1</v>
      </c>
      <c r="F247" s="8">
        <v>1</v>
      </c>
    </row>
    <row r="248" spans="1:6" ht="15" customHeight="1" x14ac:dyDescent="0.3">
      <c r="A248" s="8">
        <v>22</v>
      </c>
      <c r="B248" s="6" t="s">
        <v>571</v>
      </c>
      <c r="C248" s="10">
        <v>142277.51999999999</v>
      </c>
      <c r="D248" s="17">
        <v>5.5832850496181105E-4</v>
      </c>
      <c r="E248" s="8">
        <v>1</v>
      </c>
      <c r="F248" s="8">
        <v>1</v>
      </c>
    </row>
    <row r="249" spans="1:6" ht="15" customHeight="1" x14ac:dyDescent="0.3">
      <c r="A249" s="8">
        <v>23</v>
      </c>
      <c r="B249" s="6" t="s">
        <v>1406</v>
      </c>
      <c r="C249" s="10">
        <v>141328.98000000001</v>
      </c>
      <c r="D249" s="17">
        <v>5.54606223886794E-4</v>
      </c>
      <c r="E249" s="8">
        <v>1</v>
      </c>
      <c r="F249" s="8">
        <v>3</v>
      </c>
    </row>
    <row r="250" spans="1:6" ht="15" customHeight="1" x14ac:dyDescent="0.3">
      <c r="A250" s="8">
        <v>24</v>
      </c>
      <c r="B250" s="6" t="s">
        <v>199</v>
      </c>
      <c r="C250" s="10">
        <v>136673.64000000001</v>
      </c>
      <c r="D250" s="17">
        <v>5.3633763850317905E-4</v>
      </c>
      <c r="E250" s="8">
        <v>1</v>
      </c>
      <c r="F250" s="8">
        <v>4</v>
      </c>
    </row>
    <row r="251" spans="1:6" ht="15" customHeight="1" x14ac:dyDescent="0.3">
      <c r="A251" s="8">
        <v>25</v>
      </c>
      <c r="B251" s="6" t="s">
        <v>85</v>
      </c>
      <c r="C251" s="10">
        <v>133352.01999999999</v>
      </c>
      <c r="D251" s="17">
        <v>5.2330286583739702E-4</v>
      </c>
      <c r="E251" s="8">
        <v>3</v>
      </c>
      <c r="F251" s="8">
        <v>11</v>
      </c>
    </row>
    <row r="252" spans="1:6" ht="15" customHeight="1" x14ac:dyDescent="0.3">
      <c r="A252" s="8">
        <v>26</v>
      </c>
      <c r="B252" s="6" t="s">
        <v>552</v>
      </c>
      <c r="C252" s="10">
        <v>132454.82</v>
      </c>
      <c r="D252" s="17">
        <v>5.1978205429491502E-4</v>
      </c>
      <c r="E252" s="8">
        <v>1</v>
      </c>
      <c r="F252" s="8">
        <v>1</v>
      </c>
    </row>
    <row r="253" spans="1:6" ht="15" customHeight="1" x14ac:dyDescent="0.3">
      <c r="A253" s="8">
        <v>27</v>
      </c>
      <c r="B253" s="6" t="s">
        <v>842</v>
      </c>
      <c r="C253" s="10">
        <v>126851.08</v>
      </c>
      <c r="D253" s="17">
        <v>4.97791737227294E-4</v>
      </c>
      <c r="E253" s="8">
        <v>1</v>
      </c>
      <c r="F253" s="8">
        <v>2</v>
      </c>
    </row>
    <row r="254" spans="1:6" ht="15" customHeight="1" x14ac:dyDescent="0.3">
      <c r="A254" s="8">
        <v>28</v>
      </c>
      <c r="B254" s="6" t="s">
        <v>332</v>
      </c>
      <c r="C254" s="10">
        <v>125887.46</v>
      </c>
      <c r="D254" s="17">
        <v>4.9401027889184302E-4</v>
      </c>
      <c r="E254" s="8">
        <v>2</v>
      </c>
      <c r="F254" s="8">
        <v>2</v>
      </c>
    </row>
    <row r="255" spans="1:6" ht="15" customHeight="1" x14ac:dyDescent="0.3">
      <c r="A255" s="8">
        <v>29</v>
      </c>
      <c r="B255" s="6" t="s">
        <v>687</v>
      </c>
      <c r="C255" s="10">
        <v>118204.33</v>
      </c>
      <c r="D255" s="17">
        <v>4.6385997484994502E-4</v>
      </c>
      <c r="E255" s="8">
        <v>1</v>
      </c>
      <c r="F255" s="8">
        <v>1</v>
      </c>
    </row>
    <row r="256" spans="1:6" ht="15" customHeight="1" x14ac:dyDescent="0.3">
      <c r="A256" s="8">
        <v>30</v>
      </c>
      <c r="B256" s="6" t="s">
        <v>1563</v>
      </c>
      <c r="C256" s="10">
        <v>117308</v>
      </c>
      <c r="D256" s="17">
        <v>4.6034257738017999E-4</v>
      </c>
      <c r="E256" s="8">
        <v>1</v>
      </c>
      <c r="F256" s="8">
        <v>1</v>
      </c>
    </row>
    <row r="257" spans="1:6" ht="15" customHeight="1" x14ac:dyDescent="0.3">
      <c r="A257" s="8">
        <v>31</v>
      </c>
      <c r="B257" s="6" t="s">
        <v>772</v>
      </c>
      <c r="C257" s="10">
        <v>116536.82</v>
      </c>
      <c r="D257" s="17">
        <v>4.5731629623290998E-4</v>
      </c>
      <c r="E257" s="8">
        <v>2</v>
      </c>
      <c r="F257" s="8">
        <v>7</v>
      </c>
    </row>
    <row r="258" spans="1:6" ht="15" customHeight="1" x14ac:dyDescent="0.3">
      <c r="A258" s="8">
        <v>32</v>
      </c>
      <c r="B258" s="6" t="s">
        <v>1801</v>
      </c>
      <c r="C258" s="10">
        <v>110710</v>
      </c>
      <c r="D258" s="17">
        <v>4.3445056382991599E-4</v>
      </c>
      <c r="E258" s="8">
        <v>1</v>
      </c>
      <c r="F258" s="8">
        <v>1</v>
      </c>
    </row>
    <row r="259" spans="1:6" ht="15" customHeight="1" x14ac:dyDescent="0.3">
      <c r="A259" s="8">
        <v>33</v>
      </c>
      <c r="B259" s="6" t="s">
        <v>631</v>
      </c>
      <c r="C259" s="10">
        <v>106835.09</v>
      </c>
      <c r="D259" s="17">
        <v>4.1924455864257798E-4</v>
      </c>
      <c r="E259" s="8">
        <v>1</v>
      </c>
      <c r="F259" s="8">
        <v>2</v>
      </c>
    </row>
    <row r="260" spans="1:6" ht="15" customHeight="1" x14ac:dyDescent="0.3">
      <c r="A260" s="8">
        <v>34</v>
      </c>
      <c r="B260" s="6" t="s">
        <v>1861</v>
      </c>
      <c r="C260" s="10">
        <v>106047.18</v>
      </c>
      <c r="D260" s="17">
        <v>4.1615262526937603E-4</v>
      </c>
      <c r="E260" s="8">
        <v>1</v>
      </c>
      <c r="F260" s="8">
        <v>2</v>
      </c>
    </row>
    <row r="261" spans="1:6" ht="15" customHeight="1" x14ac:dyDescent="0.3">
      <c r="A261" s="8">
        <v>35</v>
      </c>
      <c r="B261" s="6" t="s">
        <v>64</v>
      </c>
      <c r="C261" s="10">
        <v>105651.55</v>
      </c>
      <c r="D261" s="17">
        <v>4.1460008551173798E-4</v>
      </c>
      <c r="E261" s="8">
        <v>2</v>
      </c>
      <c r="F261" s="8">
        <v>5</v>
      </c>
    </row>
    <row r="262" spans="1:6" ht="15" customHeight="1" x14ac:dyDescent="0.3">
      <c r="A262" s="8">
        <v>36</v>
      </c>
      <c r="B262" s="6" t="s">
        <v>536</v>
      </c>
      <c r="C262" s="10">
        <v>105401.55881757601</v>
      </c>
      <c r="D262" s="17">
        <v>4.1361906473532501E-4</v>
      </c>
      <c r="E262" s="8">
        <v>2</v>
      </c>
      <c r="F262" s="8">
        <v>2</v>
      </c>
    </row>
    <row r="263" spans="1:6" ht="15" customHeight="1" x14ac:dyDescent="0.3">
      <c r="A263" s="8">
        <v>37</v>
      </c>
      <c r="B263" s="6" t="s">
        <v>1809</v>
      </c>
      <c r="C263" s="10">
        <v>101933.16</v>
      </c>
      <c r="D263" s="17">
        <v>4.00008299475793E-4</v>
      </c>
      <c r="E263" s="8">
        <v>1</v>
      </c>
      <c r="F263" s="8">
        <v>1</v>
      </c>
    </row>
    <row r="264" spans="1:6" ht="15" customHeight="1" x14ac:dyDescent="0.3">
      <c r="A264" s="8">
        <v>38</v>
      </c>
      <c r="B264" s="6" t="s">
        <v>970</v>
      </c>
      <c r="C264" s="10">
        <v>100668</v>
      </c>
      <c r="D264" s="17">
        <v>3.9504353138496899E-4</v>
      </c>
      <c r="E264" s="8">
        <v>1</v>
      </c>
      <c r="F264" s="8">
        <v>4</v>
      </c>
    </row>
    <row r="265" spans="1:6" ht="15" customHeight="1" x14ac:dyDescent="0.3">
      <c r="A265" s="8">
        <v>39</v>
      </c>
      <c r="B265" s="6" t="s">
        <v>1651</v>
      </c>
      <c r="C265" s="10">
        <v>99000</v>
      </c>
      <c r="D265" s="17">
        <v>3.8849792989939199E-4</v>
      </c>
      <c r="E265" s="8">
        <v>1</v>
      </c>
      <c r="F265" s="8">
        <v>1</v>
      </c>
    </row>
    <row r="266" spans="1:6" ht="15" customHeight="1" x14ac:dyDescent="0.3">
      <c r="A266" s="8">
        <v>40</v>
      </c>
      <c r="B266" s="6" t="s">
        <v>1621</v>
      </c>
      <c r="C266" s="10">
        <v>96847.02</v>
      </c>
      <c r="D266" s="17">
        <v>3.8004915946388901E-4</v>
      </c>
      <c r="E266" s="8">
        <v>1</v>
      </c>
      <c r="F266" s="8">
        <v>2</v>
      </c>
    </row>
    <row r="267" spans="1:6" ht="15" customHeight="1" x14ac:dyDescent="0.3">
      <c r="A267" s="8">
        <v>41</v>
      </c>
      <c r="B267" s="6" t="s">
        <v>337</v>
      </c>
      <c r="C267" s="10">
        <v>92656.92</v>
      </c>
      <c r="D267" s="17">
        <v>3.6360627889751098E-4</v>
      </c>
      <c r="E267" s="8">
        <v>1</v>
      </c>
      <c r="F267" s="8">
        <v>1</v>
      </c>
    </row>
    <row r="268" spans="1:6" ht="15" customHeight="1" x14ac:dyDescent="0.3">
      <c r="A268" s="8">
        <v>42</v>
      </c>
      <c r="B268" s="6" t="s">
        <v>138</v>
      </c>
      <c r="C268" s="10">
        <v>91725.5</v>
      </c>
      <c r="D268" s="17">
        <v>3.5995118049481501E-4</v>
      </c>
      <c r="E268" s="8">
        <v>2</v>
      </c>
      <c r="F268" s="8">
        <v>2</v>
      </c>
    </row>
    <row r="269" spans="1:6" ht="15" customHeight="1" x14ac:dyDescent="0.3">
      <c r="A269" s="8">
        <v>43</v>
      </c>
      <c r="B269" s="6" t="s">
        <v>756</v>
      </c>
      <c r="C269" s="10">
        <v>89868</v>
      </c>
      <c r="D269" s="17">
        <v>3.5266193903230899E-4</v>
      </c>
      <c r="E269" s="8">
        <v>2</v>
      </c>
      <c r="F269" s="8">
        <v>2</v>
      </c>
    </row>
    <row r="270" spans="1:6" ht="15" customHeight="1" x14ac:dyDescent="0.3">
      <c r="A270" s="8">
        <v>44</v>
      </c>
      <c r="B270" s="6" t="s">
        <v>395</v>
      </c>
      <c r="C270" s="10">
        <v>89243.19</v>
      </c>
      <c r="D270" s="17">
        <v>3.50210046188062E-4</v>
      </c>
      <c r="E270" s="8">
        <v>2</v>
      </c>
      <c r="F270" s="8">
        <v>2</v>
      </c>
    </row>
    <row r="271" spans="1:6" ht="15" customHeight="1" x14ac:dyDescent="0.3">
      <c r="A271" s="8">
        <v>45</v>
      </c>
      <c r="B271" s="6" t="s">
        <v>159</v>
      </c>
      <c r="C271" s="10">
        <v>85610.77</v>
      </c>
      <c r="D271" s="17">
        <v>3.3595562547568598E-4</v>
      </c>
      <c r="E271" s="8">
        <v>2</v>
      </c>
      <c r="F271" s="8">
        <v>2</v>
      </c>
    </row>
    <row r="272" spans="1:6" ht="15" customHeight="1" x14ac:dyDescent="0.3">
      <c r="A272" s="8">
        <v>46</v>
      </c>
      <c r="B272" s="6" t="s">
        <v>219</v>
      </c>
      <c r="C272" s="10">
        <v>84821.93</v>
      </c>
      <c r="D272" s="17">
        <v>3.3286004257647602E-4</v>
      </c>
      <c r="E272" s="8">
        <v>1</v>
      </c>
      <c r="F272" s="8">
        <v>3</v>
      </c>
    </row>
    <row r="273" spans="1:6" ht="15" customHeight="1" x14ac:dyDescent="0.3">
      <c r="A273" s="8">
        <v>47</v>
      </c>
      <c r="B273" s="6" t="s">
        <v>859</v>
      </c>
      <c r="C273" s="10">
        <v>84469.7</v>
      </c>
      <c r="D273" s="17">
        <v>3.3147781403255198E-4</v>
      </c>
      <c r="E273" s="8">
        <v>1</v>
      </c>
      <c r="F273" s="8">
        <v>3</v>
      </c>
    </row>
    <row r="274" spans="1:6" ht="15" customHeight="1" x14ac:dyDescent="0.3">
      <c r="A274" s="8">
        <v>48</v>
      </c>
      <c r="B274" s="6" t="s">
        <v>893</v>
      </c>
      <c r="C274" s="10">
        <v>80000</v>
      </c>
      <c r="D274" s="17">
        <v>3.1393772113082202E-4</v>
      </c>
      <c r="E274" s="8">
        <v>1</v>
      </c>
      <c r="F274" s="8">
        <v>1</v>
      </c>
    </row>
    <row r="275" spans="1:6" ht="15" customHeight="1" x14ac:dyDescent="0.3">
      <c r="A275" s="8">
        <v>49</v>
      </c>
      <c r="B275" s="6" t="s">
        <v>693</v>
      </c>
      <c r="C275" s="10">
        <v>73684.39</v>
      </c>
      <c r="D275" s="17">
        <v>2.89153868493934E-4</v>
      </c>
      <c r="E275" s="8">
        <v>2</v>
      </c>
      <c r="F275" s="8">
        <v>3</v>
      </c>
    </row>
    <row r="276" spans="1:6" ht="15" customHeight="1" x14ac:dyDescent="0.3">
      <c r="A276" s="8">
        <v>50</v>
      </c>
      <c r="B276" s="6" t="s">
        <v>1055</v>
      </c>
      <c r="C276" s="10">
        <v>70669.58</v>
      </c>
      <c r="D276" s="17">
        <v>2.7732308623090398E-4</v>
      </c>
      <c r="E276" s="8">
        <v>1</v>
      </c>
      <c r="F276" s="8">
        <v>1</v>
      </c>
    </row>
    <row r="277" spans="1:6" ht="15" customHeight="1" x14ac:dyDescent="0.3">
      <c r="A277" s="8">
        <v>51</v>
      </c>
      <c r="B277" s="6" t="s">
        <v>105</v>
      </c>
      <c r="C277" s="10">
        <v>66111.83</v>
      </c>
      <c r="D277" s="17">
        <v>2.59437465624854E-4</v>
      </c>
      <c r="E277" s="8">
        <v>2</v>
      </c>
      <c r="F277" s="8">
        <v>3</v>
      </c>
    </row>
    <row r="278" spans="1:6" ht="15" customHeight="1" x14ac:dyDescent="0.3">
      <c r="A278" s="8">
        <v>52</v>
      </c>
      <c r="B278" s="6" t="s">
        <v>777</v>
      </c>
      <c r="C278" s="10">
        <v>64800.87</v>
      </c>
      <c r="D278" s="17">
        <v>2.5429296818868302E-4</v>
      </c>
      <c r="E278" s="8">
        <v>1</v>
      </c>
      <c r="F278" s="8">
        <v>2</v>
      </c>
    </row>
    <row r="279" spans="1:6" ht="15" customHeight="1" x14ac:dyDescent="0.3">
      <c r="A279" s="8">
        <v>53</v>
      </c>
      <c r="B279" s="6" t="s">
        <v>757</v>
      </c>
      <c r="C279" s="10">
        <v>62684.27</v>
      </c>
      <c r="D279" s="17">
        <v>2.4598696093186399E-4</v>
      </c>
      <c r="E279" s="8">
        <v>1</v>
      </c>
      <c r="F279" s="8">
        <v>1</v>
      </c>
    </row>
    <row r="280" spans="1:6" ht="15" customHeight="1" x14ac:dyDescent="0.3">
      <c r="A280" s="8">
        <v>54</v>
      </c>
      <c r="B280" s="6" t="s">
        <v>805</v>
      </c>
      <c r="C280" s="10">
        <v>61856.91</v>
      </c>
      <c r="D280" s="17">
        <v>2.4274021701992899E-4</v>
      </c>
      <c r="E280" s="8">
        <v>1</v>
      </c>
      <c r="F280" s="8">
        <v>1</v>
      </c>
    </row>
    <row r="281" spans="1:6" ht="15" customHeight="1" x14ac:dyDescent="0.3">
      <c r="A281" s="8">
        <v>55</v>
      </c>
      <c r="B281" s="6" t="s">
        <v>1767</v>
      </c>
      <c r="C281" s="10">
        <v>61715.57</v>
      </c>
      <c r="D281" s="17">
        <v>2.42185567551121E-4</v>
      </c>
      <c r="E281" s="8">
        <v>1</v>
      </c>
      <c r="F281" s="8">
        <v>1</v>
      </c>
    </row>
    <row r="282" spans="1:6" ht="15" customHeight="1" x14ac:dyDescent="0.3">
      <c r="A282" s="8">
        <v>56</v>
      </c>
      <c r="B282" s="6" t="s">
        <v>194</v>
      </c>
      <c r="C282" s="10">
        <v>58908.7</v>
      </c>
      <c r="D282" s="17">
        <v>2.3117078790974E-4</v>
      </c>
      <c r="E282" s="8">
        <v>3</v>
      </c>
      <c r="F282" s="8">
        <v>4</v>
      </c>
    </row>
    <row r="283" spans="1:6" ht="15" customHeight="1" x14ac:dyDescent="0.3">
      <c r="A283" s="8">
        <v>57</v>
      </c>
      <c r="B283" s="6" t="s">
        <v>491</v>
      </c>
      <c r="C283" s="10">
        <v>53983.03</v>
      </c>
      <c r="D283" s="17">
        <v>2.1184136772420999E-4</v>
      </c>
      <c r="E283" s="8">
        <v>1</v>
      </c>
      <c r="F283" s="8">
        <v>1</v>
      </c>
    </row>
    <row r="284" spans="1:6" ht="15" customHeight="1" x14ac:dyDescent="0.3">
      <c r="A284" s="8">
        <v>58</v>
      </c>
      <c r="B284" s="6" t="s">
        <v>402</v>
      </c>
      <c r="C284" s="10">
        <v>46923.447922848703</v>
      </c>
      <c r="D284" s="17">
        <v>1.8413800385624901E-4</v>
      </c>
      <c r="E284" s="8">
        <v>3</v>
      </c>
      <c r="F284" s="8">
        <v>4</v>
      </c>
    </row>
    <row r="285" spans="1:6" ht="15" customHeight="1" x14ac:dyDescent="0.3">
      <c r="A285" s="8">
        <v>59</v>
      </c>
      <c r="B285" s="6" t="s">
        <v>458</v>
      </c>
      <c r="C285" s="10">
        <v>46368.69</v>
      </c>
      <c r="D285" s="17">
        <v>1.81961010880269E-4</v>
      </c>
      <c r="E285" s="8">
        <v>2</v>
      </c>
      <c r="F285" s="8">
        <v>3</v>
      </c>
    </row>
    <row r="286" spans="1:6" ht="15" customHeight="1" x14ac:dyDescent="0.3">
      <c r="A286" s="8">
        <v>60</v>
      </c>
      <c r="B286" s="6" t="s">
        <v>760</v>
      </c>
      <c r="C286" s="10">
        <v>44199.199999999997</v>
      </c>
      <c r="D286" s="17">
        <v>1.7344745154756799E-4</v>
      </c>
      <c r="E286" s="8">
        <v>1</v>
      </c>
      <c r="F286" s="8">
        <v>1</v>
      </c>
    </row>
    <row r="287" spans="1:6" ht="15" customHeight="1" x14ac:dyDescent="0.3">
      <c r="A287" s="8">
        <v>61</v>
      </c>
      <c r="B287" s="6" t="s">
        <v>1269</v>
      </c>
      <c r="C287" s="10">
        <v>44179.76</v>
      </c>
      <c r="D287" s="17">
        <v>1.7337116468133299E-4</v>
      </c>
      <c r="E287" s="8">
        <v>3</v>
      </c>
      <c r="F287" s="8">
        <v>3</v>
      </c>
    </row>
    <row r="288" spans="1:6" ht="15" customHeight="1" x14ac:dyDescent="0.3">
      <c r="A288" s="8">
        <v>62</v>
      </c>
      <c r="B288" s="6" t="s">
        <v>1580</v>
      </c>
      <c r="C288" s="10">
        <v>43600.44</v>
      </c>
      <c r="D288" s="17">
        <v>1.71097784673764E-4</v>
      </c>
      <c r="E288" s="8">
        <v>1</v>
      </c>
      <c r="F288" s="8">
        <v>5</v>
      </c>
    </row>
    <row r="289" spans="1:6" ht="15" customHeight="1" x14ac:dyDescent="0.3">
      <c r="A289" s="8">
        <v>63</v>
      </c>
      <c r="B289" s="6" t="s">
        <v>1757</v>
      </c>
      <c r="C289" s="10">
        <v>43470</v>
      </c>
      <c r="D289" s="17">
        <v>1.7058590921946001E-4</v>
      </c>
      <c r="E289" s="8">
        <v>1</v>
      </c>
      <c r="F289" s="8">
        <v>2</v>
      </c>
    </row>
    <row r="290" spans="1:6" ht="15" customHeight="1" x14ac:dyDescent="0.3">
      <c r="A290" s="8">
        <v>64</v>
      </c>
      <c r="B290" s="6" t="s">
        <v>67</v>
      </c>
      <c r="C290" s="10">
        <v>42670.1</v>
      </c>
      <c r="D290" s="17">
        <v>1.67446924430303E-4</v>
      </c>
      <c r="E290" s="8">
        <v>2</v>
      </c>
      <c r="F290" s="8">
        <v>10</v>
      </c>
    </row>
    <row r="291" spans="1:6" ht="15" customHeight="1" x14ac:dyDescent="0.3">
      <c r="A291" s="8">
        <v>65</v>
      </c>
      <c r="B291" s="6" t="s">
        <v>1203</v>
      </c>
      <c r="C291" s="10">
        <v>40120.239999999998</v>
      </c>
      <c r="D291" s="17">
        <v>1.5744070896027E-4</v>
      </c>
      <c r="E291" s="8">
        <v>1</v>
      </c>
      <c r="F291" s="8">
        <v>1</v>
      </c>
    </row>
    <row r="292" spans="1:6" ht="15" customHeight="1" x14ac:dyDescent="0.3">
      <c r="A292" s="8">
        <v>66</v>
      </c>
      <c r="B292" s="6" t="s">
        <v>915</v>
      </c>
      <c r="C292" s="10">
        <v>38777.589999999997</v>
      </c>
      <c r="D292" s="17">
        <v>1.52171852944317E-4</v>
      </c>
      <c r="E292" s="8">
        <v>1</v>
      </c>
      <c r="F292" s="8">
        <v>2</v>
      </c>
    </row>
    <row r="293" spans="1:6" ht="15" customHeight="1" x14ac:dyDescent="0.3">
      <c r="A293" s="8">
        <v>67</v>
      </c>
      <c r="B293" s="6" t="s">
        <v>1018</v>
      </c>
      <c r="C293" s="10">
        <v>35313.870000000003</v>
      </c>
      <c r="D293" s="17">
        <v>1.3857944840137601E-4</v>
      </c>
      <c r="E293" s="8">
        <v>1</v>
      </c>
      <c r="F293" s="8">
        <v>1</v>
      </c>
    </row>
    <row r="294" spans="1:6" ht="15" customHeight="1" x14ac:dyDescent="0.3">
      <c r="A294" s="8">
        <v>68</v>
      </c>
      <c r="B294" s="6" t="s">
        <v>1689</v>
      </c>
      <c r="C294" s="10">
        <v>33598.01</v>
      </c>
      <c r="D294" s="17">
        <v>1.31846033674132E-4</v>
      </c>
      <c r="E294" s="8">
        <v>2</v>
      </c>
      <c r="F294" s="8">
        <v>3</v>
      </c>
    </row>
    <row r="295" spans="1:6" ht="15" customHeight="1" x14ac:dyDescent="0.3">
      <c r="A295" s="8">
        <v>69</v>
      </c>
      <c r="B295" s="6" t="s">
        <v>181</v>
      </c>
      <c r="C295" s="10">
        <v>33438.269999999997</v>
      </c>
      <c r="D295" s="17">
        <v>1.3121917852946399E-4</v>
      </c>
      <c r="E295" s="8">
        <v>2</v>
      </c>
      <c r="F295" s="8">
        <v>3</v>
      </c>
    </row>
    <row r="296" spans="1:6" ht="15" customHeight="1" x14ac:dyDescent="0.3">
      <c r="A296" s="8">
        <v>70</v>
      </c>
      <c r="B296" s="6" t="s">
        <v>493</v>
      </c>
      <c r="C296" s="10">
        <v>33105.24</v>
      </c>
      <c r="D296" s="17">
        <v>1.2991229503861199E-4</v>
      </c>
      <c r="E296" s="8">
        <v>1</v>
      </c>
      <c r="F296" s="8">
        <v>1</v>
      </c>
    </row>
    <row r="297" spans="1:6" ht="15" customHeight="1" x14ac:dyDescent="0.3">
      <c r="A297" s="8">
        <v>71</v>
      </c>
      <c r="B297" s="6" t="s">
        <v>1449</v>
      </c>
      <c r="C297" s="10">
        <v>29423.82</v>
      </c>
      <c r="D297" s="17">
        <v>1.15465587472044E-4</v>
      </c>
      <c r="E297" s="8">
        <v>2</v>
      </c>
      <c r="F297" s="8">
        <v>3</v>
      </c>
    </row>
    <row r="298" spans="1:6" ht="15" customHeight="1" x14ac:dyDescent="0.3">
      <c r="A298" s="8">
        <v>72</v>
      </c>
      <c r="B298" s="6" t="s">
        <v>758</v>
      </c>
      <c r="C298" s="10">
        <v>28740</v>
      </c>
      <c r="D298" s="17">
        <v>1.1278212631624799E-4</v>
      </c>
      <c r="E298" s="8">
        <v>1</v>
      </c>
      <c r="F298" s="8">
        <v>1</v>
      </c>
    </row>
    <row r="299" spans="1:6" ht="15" customHeight="1" x14ac:dyDescent="0.3">
      <c r="A299" s="8">
        <v>73</v>
      </c>
      <c r="B299" s="6" t="s">
        <v>781</v>
      </c>
      <c r="C299" s="10">
        <v>26711.73</v>
      </c>
      <c r="D299" s="17">
        <v>1.0482274554577301E-4</v>
      </c>
      <c r="E299" s="8">
        <v>1</v>
      </c>
      <c r="F299" s="8">
        <v>1</v>
      </c>
    </row>
    <row r="300" spans="1:6" ht="15" customHeight="1" x14ac:dyDescent="0.3">
      <c r="A300" s="8">
        <v>74</v>
      </c>
      <c r="B300" s="6" t="s">
        <v>362</v>
      </c>
      <c r="C300" s="10">
        <v>26166</v>
      </c>
      <c r="D300" s="17">
        <v>1.0268118013886401E-4</v>
      </c>
      <c r="E300" s="8">
        <v>1</v>
      </c>
      <c r="F300" s="8">
        <v>4</v>
      </c>
    </row>
    <row r="301" spans="1:6" ht="15" customHeight="1" x14ac:dyDescent="0.3">
      <c r="A301" s="8">
        <v>75</v>
      </c>
      <c r="B301" s="6" t="s">
        <v>1537</v>
      </c>
      <c r="C301" s="10">
        <v>25500</v>
      </c>
      <c r="D301" s="17">
        <v>1.00067648610449E-4</v>
      </c>
      <c r="E301" s="8">
        <v>1</v>
      </c>
      <c r="F301" s="8">
        <v>1</v>
      </c>
    </row>
    <row r="302" spans="1:6" ht="15" customHeight="1" x14ac:dyDescent="0.3">
      <c r="A302" s="8">
        <v>76</v>
      </c>
      <c r="B302" s="6" t="s">
        <v>349</v>
      </c>
      <c r="C302" s="10">
        <v>25074.73</v>
      </c>
      <c r="D302" s="17">
        <v>9.83987949271331E-5</v>
      </c>
      <c r="E302" s="8">
        <v>1</v>
      </c>
      <c r="F302" s="8">
        <v>1</v>
      </c>
    </row>
    <row r="303" spans="1:6" ht="15" customHeight="1" x14ac:dyDescent="0.3">
      <c r="A303" s="8">
        <v>77</v>
      </c>
      <c r="B303" s="6" t="s">
        <v>126</v>
      </c>
      <c r="C303" s="10">
        <v>24582.83</v>
      </c>
      <c r="D303" s="17">
        <v>9.6468470364330003E-5</v>
      </c>
      <c r="E303" s="8">
        <v>1</v>
      </c>
      <c r="F303" s="8">
        <v>1</v>
      </c>
    </row>
    <row r="304" spans="1:6" ht="15" customHeight="1" x14ac:dyDescent="0.3">
      <c r="A304" s="8">
        <v>78</v>
      </c>
      <c r="B304" s="6" t="s">
        <v>620</v>
      </c>
      <c r="C304" s="10">
        <v>24000</v>
      </c>
      <c r="D304" s="17">
        <v>9.4181316339246503E-5</v>
      </c>
      <c r="E304" s="8">
        <v>1</v>
      </c>
      <c r="F304" s="8">
        <v>1</v>
      </c>
    </row>
    <row r="305" spans="1:6" ht="15" customHeight="1" x14ac:dyDescent="0.3">
      <c r="A305" s="8">
        <v>79</v>
      </c>
      <c r="B305" s="6" t="s">
        <v>637</v>
      </c>
      <c r="C305" s="10">
        <v>22011.87</v>
      </c>
      <c r="D305" s="17">
        <v>8.6379453820348699E-5</v>
      </c>
      <c r="E305" s="8">
        <v>1</v>
      </c>
      <c r="F305" s="8">
        <v>2</v>
      </c>
    </row>
    <row r="306" spans="1:6" ht="15" customHeight="1" x14ac:dyDescent="0.3">
      <c r="A306" s="8">
        <v>80</v>
      </c>
      <c r="B306" s="6" t="s">
        <v>1113</v>
      </c>
      <c r="C306" s="10">
        <v>21310</v>
      </c>
      <c r="D306" s="17">
        <v>8.3625160466222598E-5</v>
      </c>
      <c r="E306" s="8">
        <v>2</v>
      </c>
      <c r="F306" s="8">
        <v>2</v>
      </c>
    </row>
    <row r="307" spans="1:6" ht="15" customHeight="1" x14ac:dyDescent="0.3">
      <c r="A307" s="8">
        <v>81</v>
      </c>
      <c r="B307" s="6" t="s">
        <v>113</v>
      </c>
      <c r="C307" s="10">
        <v>20671.34</v>
      </c>
      <c r="D307" s="17">
        <v>8.1118917154004996E-5</v>
      </c>
      <c r="E307" s="8">
        <v>1</v>
      </c>
      <c r="F307" s="8">
        <v>2</v>
      </c>
    </row>
    <row r="308" spans="1:6" ht="15" customHeight="1" x14ac:dyDescent="0.3">
      <c r="A308" s="8">
        <v>82</v>
      </c>
      <c r="B308" s="6" t="s">
        <v>124</v>
      </c>
      <c r="C308" s="10">
        <v>18315.93</v>
      </c>
      <c r="D308" s="17">
        <v>7.1875766557395602E-5</v>
      </c>
      <c r="E308" s="8">
        <v>3</v>
      </c>
      <c r="F308" s="8">
        <v>4</v>
      </c>
    </row>
    <row r="309" spans="1:6" ht="15" customHeight="1" x14ac:dyDescent="0.3">
      <c r="A309" s="8">
        <v>83</v>
      </c>
      <c r="B309" s="6" t="s">
        <v>748</v>
      </c>
      <c r="C309" s="10">
        <v>18148.36</v>
      </c>
      <c r="D309" s="17">
        <v>7.1218184758272004E-5</v>
      </c>
      <c r="E309" s="8">
        <v>2</v>
      </c>
      <c r="F309" s="8">
        <v>3</v>
      </c>
    </row>
    <row r="310" spans="1:6" ht="15" customHeight="1" x14ac:dyDescent="0.3">
      <c r="A310" s="8">
        <v>84</v>
      </c>
      <c r="B310" s="6" t="s">
        <v>1842</v>
      </c>
      <c r="C310" s="10">
        <v>17671.66</v>
      </c>
      <c r="D310" s="17">
        <v>6.9347508362483699E-5</v>
      </c>
      <c r="E310" s="8">
        <v>1</v>
      </c>
      <c r="F310" s="8">
        <v>1</v>
      </c>
    </row>
    <row r="311" spans="1:6" ht="15" customHeight="1" x14ac:dyDescent="0.3">
      <c r="A311" s="8">
        <v>85</v>
      </c>
      <c r="B311" s="6" t="s">
        <v>18</v>
      </c>
      <c r="C311" s="10">
        <v>17670.18</v>
      </c>
      <c r="D311" s="17">
        <v>6.9341700514642806E-5</v>
      </c>
      <c r="E311" s="8">
        <v>1</v>
      </c>
      <c r="F311" s="8">
        <v>23</v>
      </c>
    </row>
    <row r="312" spans="1:6" ht="15" customHeight="1" x14ac:dyDescent="0.3">
      <c r="A312" s="8">
        <v>86</v>
      </c>
      <c r="B312" s="6" t="s">
        <v>1280</v>
      </c>
      <c r="C312" s="10">
        <v>17106.07</v>
      </c>
      <c r="D312" s="17">
        <v>6.7128007916303895E-5</v>
      </c>
      <c r="E312" s="8">
        <v>1</v>
      </c>
      <c r="F312" s="8">
        <v>1</v>
      </c>
    </row>
    <row r="313" spans="1:6" ht="15" customHeight="1" x14ac:dyDescent="0.3">
      <c r="A313" s="8">
        <v>87</v>
      </c>
      <c r="B313" s="6" t="s">
        <v>812</v>
      </c>
      <c r="C313" s="10">
        <v>17000</v>
      </c>
      <c r="D313" s="17">
        <v>6.6711765740299598E-5</v>
      </c>
      <c r="E313" s="8">
        <v>1</v>
      </c>
      <c r="F313" s="8">
        <v>1</v>
      </c>
    </row>
    <row r="314" spans="1:6" ht="15" customHeight="1" x14ac:dyDescent="0.3">
      <c r="A314" s="8">
        <v>88</v>
      </c>
      <c r="B314" s="6" t="s">
        <v>939</v>
      </c>
      <c r="C314" s="10">
        <v>15000</v>
      </c>
      <c r="D314" s="17">
        <v>5.8863322712029099E-5</v>
      </c>
      <c r="E314" s="8">
        <v>1</v>
      </c>
      <c r="F314" s="8">
        <v>1</v>
      </c>
    </row>
    <row r="315" spans="1:6" ht="15" customHeight="1" x14ac:dyDescent="0.3">
      <c r="A315" s="8">
        <v>89</v>
      </c>
      <c r="B315" s="6" t="s">
        <v>197</v>
      </c>
      <c r="C315" s="10">
        <v>13325</v>
      </c>
      <c r="D315" s="17">
        <v>5.2290251675852497E-5</v>
      </c>
      <c r="E315" s="8">
        <v>1</v>
      </c>
      <c r="F315" s="8">
        <v>2</v>
      </c>
    </row>
    <row r="316" spans="1:6" ht="15" customHeight="1" x14ac:dyDescent="0.3">
      <c r="A316" s="8">
        <v>90</v>
      </c>
      <c r="B316" s="6" t="s">
        <v>478</v>
      </c>
      <c r="C316" s="10">
        <v>13111.82</v>
      </c>
      <c r="D316" s="17">
        <v>5.1453686133469103E-5</v>
      </c>
      <c r="E316" s="8">
        <v>1</v>
      </c>
      <c r="F316" s="8">
        <v>2</v>
      </c>
    </row>
    <row r="317" spans="1:6" ht="15" customHeight="1" x14ac:dyDescent="0.3">
      <c r="A317" s="8">
        <v>91</v>
      </c>
      <c r="B317" s="6" t="s">
        <v>666</v>
      </c>
      <c r="C317" s="10">
        <v>12268.48</v>
      </c>
      <c r="D317" s="17">
        <v>4.8144233161738301E-5</v>
      </c>
      <c r="E317" s="8">
        <v>1</v>
      </c>
      <c r="F317" s="8">
        <v>1</v>
      </c>
    </row>
    <row r="318" spans="1:6" ht="15" customHeight="1" x14ac:dyDescent="0.3">
      <c r="A318" s="8">
        <v>92</v>
      </c>
      <c r="B318" s="6" t="s">
        <v>92</v>
      </c>
      <c r="C318" s="10">
        <v>11463.61</v>
      </c>
      <c r="D318" s="17">
        <v>4.4985744991656199E-5</v>
      </c>
      <c r="E318" s="8">
        <v>1</v>
      </c>
      <c r="F318" s="8">
        <v>5</v>
      </c>
    </row>
    <row r="319" spans="1:6" ht="15" customHeight="1" x14ac:dyDescent="0.3">
      <c r="A319" s="8">
        <v>93</v>
      </c>
      <c r="B319" s="6" t="s">
        <v>771</v>
      </c>
      <c r="C319" s="10">
        <v>11341.73</v>
      </c>
      <c r="D319" s="17">
        <v>4.4507460873513397E-5</v>
      </c>
      <c r="E319" s="8">
        <v>1</v>
      </c>
      <c r="F319" s="8">
        <v>1</v>
      </c>
    </row>
    <row r="320" spans="1:6" ht="15" customHeight="1" x14ac:dyDescent="0.3">
      <c r="A320" s="8">
        <v>94</v>
      </c>
      <c r="B320" s="6" t="s">
        <v>211</v>
      </c>
      <c r="C320" s="10">
        <v>11302.91</v>
      </c>
      <c r="D320" s="17">
        <v>4.4355122594334699E-5</v>
      </c>
      <c r="E320" s="8">
        <v>2</v>
      </c>
      <c r="F320" s="8">
        <v>2</v>
      </c>
    </row>
    <row r="321" spans="1:6" ht="15" customHeight="1" x14ac:dyDescent="0.3">
      <c r="A321" s="8">
        <v>95</v>
      </c>
      <c r="B321" s="6" t="s">
        <v>755</v>
      </c>
      <c r="C321" s="10">
        <v>11301</v>
      </c>
      <c r="D321" s="17">
        <v>4.4347627331242699E-5</v>
      </c>
      <c r="E321" s="8">
        <v>1</v>
      </c>
      <c r="F321" s="8">
        <v>1</v>
      </c>
    </row>
    <row r="322" spans="1:6" ht="15" customHeight="1" x14ac:dyDescent="0.3">
      <c r="A322" s="8">
        <v>96</v>
      </c>
      <c r="B322" s="6" t="s">
        <v>115</v>
      </c>
      <c r="C322" s="10">
        <v>10890.55</v>
      </c>
      <c r="D322" s="17">
        <v>4.2736930610765903E-5</v>
      </c>
      <c r="E322" s="8">
        <v>1</v>
      </c>
      <c r="F322" s="8">
        <v>1</v>
      </c>
    </row>
    <row r="323" spans="1:6" ht="15" customHeight="1" x14ac:dyDescent="0.3">
      <c r="A323" s="8">
        <v>97</v>
      </c>
      <c r="B323" s="6" t="s">
        <v>43</v>
      </c>
      <c r="C323" s="10">
        <v>8666.67</v>
      </c>
      <c r="D323" s="17">
        <v>3.4009932869910699E-5</v>
      </c>
      <c r="E323" s="8">
        <v>2</v>
      </c>
      <c r="F323" s="8">
        <v>4</v>
      </c>
    </row>
    <row r="324" spans="1:6" ht="15" customHeight="1" x14ac:dyDescent="0.3">
      <c r="A324" s="8">
        <v>98</v>
      </c>
      <c r="B324" s="6" t="s">
        <v>74</v>
      </c>
      <c r="C324" s="10">
        <v>8008.5</v>
      </c>
      <c r="D324" s="17">
        <v>3.14271279959523E-5</v>
      </c>
      <c r="E324" s="8">
        <v>1</v>
      </c>
      <c r="F324" s="8">
        <v>2</v>
      </c>
    </row>
    <row r="325" spans="1:6" ht="15" customHeight="1" x14ac:dyDescent="0.3">
      <c r="A325" s="8">
        <v>99</v>
      </c>
      <c r="B325" s="6" t="s">
        <v>456</v>
      </c>
      <c r="C325" s="10">
        <v>7654.29</v>
      </c>
      <c r="D325" s="17">
        <v>3.0037129493430499E-5</v>
      </c>
      <c r="E325" s="8">
        <v>1</v>
      </c>
      <c r="F325" s="8">
        <v>1</v>
      </c>
    </row>
    <row r="326" spans="1:6" ht="15" customHeight="1" x14ac:dyDescent="0.3">
      <c r="A326" s="8">
        <v>100</v>
      </c>
      <c r="B326" s="6" t="s">
        <v>780</v>
      </c>
      <c r="C326" s="10">
        <v>7340.75</v>
      </c>
      <c r="D326" s="17">
        <v>2.8806729079888501E-5</v>
      </c>
      <c r="E326" s="8">
        <v>1</v>
      </c>
      <c r="F326" s="8">
        <v>1</v>
      </c>
    </row>
    <row r="327" spans="1:6" ht="15" customHeight="1" x14ac:dyDescent="0.3">
      <c r="A327" s="8">
        <v>101</v>
      </c>
      <c r="B327" s="6" t="s">
        <v>1132</v>
      </c>
      <c r="C327" s="10">
        <v>6782.81</v>
      </c>
      <c r="D327" s="17">
        <v>2.6617248928291899E-5</v>
      </c>
      <c r="E327" s="8">
        <v>1</v>
      </c>
      <c r="F327" s="8">
        <v>1</v>
      </c>
    </row>
    <row r="328" spans="1:6" ht="15" customHeight="1" x14ac:dyDescent="0.3">
      <c r="A328" s="8">
        <v>102</v>
      </c>
      <c r="B328" s="6" t="s">
        <v>784</v>
      </c>
      <c r="C328" s="10">
        <v>6400</v>
      </c>
      <c r="D328" s="17">
        <v>2.5115017690465699E-5</v>
      </c>
      <c r="E328" s="8">
        <v>1</v>
      </c>
      <c r="F328" s="8">
        <v>1</v>
      </c>
    </row>
    <row r="329" spans="1:6" ht="15" customHeight="1" x14ac:dyDescent="0.3">
      <c r="A329" s="8">
        <v>103</v>
      </c>
      <c r="B329" s="6" t="s">
        <v>719</v>
      </c>
      <c r="C329" s="10">
        <v>5844</v>
      </c>
      <c r="D329" s="17">
        <v>2.2933150528606499E-5</v>
      </c>
      <c r="E329" s="8">
        <v>1</v>
      </c>
      <c r="F329" s="8">
        <v>1</v>
      </c>
    </row>
    <row r="330" spans="1:6" ht="15" customHeight="1" x14ac:dyDescent="0.3">
      <c r="A330" s="8">
        <v>104</v>
      </c>
      <c r="B330" s="6" t="s">
        <v>941</v>
      </c>
      <c r="C330" s="10">
        <v>5593.42</v>
      </c>
      <c r="D330" s="17">
        <v>2.19498191015945E-5</v>
      </c>
      <c r="E330" s="8">
        <v>1</v>
      </c>
      <c r="F330" s="8">
        <v>1</v>
      </c>
    </row>
    <row r="331" spans="1:6" ht="15" customHeight="1" x14ac:dyDescent="0.3">
      <c r="A331" s="8">
        <v>105</v>
      </c>
      <c r="B331" s="6" t="s">
        <v>353</v>
      </c>
      <c r="C331" s="10">
        <v>5360</v>
      </c>
      <c r="D331" s="17">
        <v>2.10338273157651E-5</v>
      </c>
      <c r="E331" s="8">
        <v>1</v>
      </c>
      <c r="F331" s="8">
        <v>3</v>
      </c>
    </row>
    <row r="332" spans="1:6" ht="15" customHeight="1" x14ac:dyDescent="0.3">
      <c r="A332" s="8">
        <v>106</v>
      </c>
      <c r="B332" s="6" t="s">
        <v>778</v>
      </c>
      <c r="C332" s="10">
        <v>5201.13</v>
      </c>
      <c r="D332" s="17">
        <v>2.0410386243814401E-5</v>
      </c>
      <c r="E332" s="8">
        <v>1</v>
      </c>
      <c r="F332" s="8">
        <v>2</v>
      </c>
    </row>
    <row r="333" spans="1:6" ht="15" customHeight="1" x14ac:dyDescent="0.3">
      <c r="A333" s="8">
        <v>107</v>
      </c>
      <c r="B333" s="6" t="s">
        <v>783</v>
      </c>
      <c r="C333" s="10">
        <v>4831.26</v>
      </c>
      <c r="D333" s="17">
        <v>1.8958934432381201E-5</v>
      </c>
      <c r="E333" s="8">
        <v>1</v>
      </c>
      <c r="F333" s="8">
        <v>1</v>
      </c>
    </row>
    <row r="334" spans="1:6" ht="15" customHeight="1" x14ac:dyDescent="0.3">
      <c r="A334" s="8">
        <v>108</v>
      </c>
      <c r="B334" s="6" t="s">
        <v>830</v>
      </c>
      <c r="C334" s="10">
        <v>4777.66</v>
      </c>
      <c r="D334" s="17">
        <v>1.8748596159223499E-5</v>
      </c>
      <c r="E334" s="8">
        <v>1</v>
      </c>
      <c r="F334" s="8">
        <v>2</v>
      </c>
    </row>
    <row r="335" spans="1:6" ht="15" customHeight="1" x14ac:dyDescent="0.3">
      <c r="A335" s="8">
        <v>109</v>
      </c>
      <c r="B335" s="6" t="s">
        <v>1480</v>
      </c>
      <c r="C335" s="10">
        <v>4163</v>
      </c>
      <c r="D335" s="17">
        <v>1.6336534163345101E-5</v>
      </c>
      <c r="E335" s="8">
        <v>1</v>
      </c>
      <c r="F335" s="8">
        <v>1</v>
      </c>
    </row>
    <row r="336" spans="1:6" ht="15" customHeight="1" x14ac:dyDescent="0.3">
      <c r="A336" s="8">
        <v>110</v>
      </c>
      <c r="B336" s="6" t="s">
        <v>752</v>
      </c>
      <c r="C336" s="10">
        <v>4125</v>
      </c>
      <c r="D336" s="17">
        <v>1.6187413745808E-5</v>
      </c>
      <c r="E336" s="8">
        <v>1</v>
      </c>
      <c r="F336" s="8">
        <v>1</v>
      </c>
    </row>
    <row r="337" spans="1:6" ht="15" customHeight="1" x14ac:dyDescent="0.3">
      <c r="A337" s="8">
        <v>111</v>
      </c>
      <c r="B337" s="6" t="s">
        <v>313</v>
      </c>
      <c r="C337" s="10">
        <v>3700</v>
      </c>
      <c r="D337" s="17">
        <v>1.45196196023005E-5</v>
      </c>
      <c r="E337" s="8">
        <v>2</v>
      </c>
      <c r="F337" s="8">
        <v>3</v>
      </c>
    </row>
    <row r="338" spans="1:6" ht="15" customHeight="1" x14ac:dyDescent="0.3">
      <c r="A338" s="8">
        <v>112</v>
      </c>
      <c r="B338" s="6" t="s">
        <v>81</v>
      </c>
      <c r="C338" s="10">
        <v>3600</v>
      </c>
      <c r="D338" s="17">
        <v>1.4127197450886999E-5</v>
      </c>
      <c r="E338" s="8">
        <v>1</v>
      </c>
      <c r="F338" s="8">
        <v>1</v>
      </c>
    </row>
    <row r="339" spans="1:6" ht="15" customHeight="1" x14ac:dyDescent="0.3">
      <c r="A339" s="8">
        <v>113</v>
      </c>
      <c r="B339" s="6" t="s">
        <v>495</v>
      </c>
      <c r="C339" s="10">
        <v>3450</v>
      </c>
      <c r="D339" s="17">
        <v>1.35385642237667E-5</v>
      </c>
      <c r="E339" s="8">
        <v>1</v>
      </c>
      <c r="F339" s="8">
        <v>1</v>
      </c>
    </row>
    <row r="340" spans="1:6" ht="15" customHeight="1" x14ac:dyDescent="0.3">
      <c r="A340" s="8">
        <v>114</v>
      </c>
      <c r="B340" s="6" t="s">
        <v>1473</v>
      </c>
      <c r="C340" s="10">
        <v>3101</v>
      </c>
      <c r="D340" s="17">
        <v>1.21690109153335E-5</v>
      </c>
      <c r="E340" s="8">
        <v>1</v>
      </c>
      <c r="F340" s="8">
        <v>1</v>
      </c>
    </row>
    <row r="341" spans="1:6" ht="15" customHeight="1" x14ac:dyDescent="0.3">
      <c r="A341" s="8">
        <v>115</v>
      </c>
      <c r="B341" s="6" t="s">
        <v>25</v>
      </c>
      <c r="C341" s="10">
        <v>2706.71</v>
      </c>
      <c r="D341" s="17">
        <v>1.06217296145251E-5</v>
      </c>
      <c r="E341" s="8">
        <v>1</v>
      </c>
      <c r="F341" s="8">
        <v>3</v>
      </c>
    </row>
    <row r="342" spans="1:6" ht="15" customHeight="1" x14ac:dyDescent="0.3">
      <c r="A342" s="8">
        <v>116</v>
      </c>
      <c r="B342" s="6" t="s">
        <v>1054</v>
      </c>
      <c r="C342" s="10">
        <v>2590.89</v>
      </c>
      <c r="D342" s="17">
        <v>1.01672262787579E-5</v>
      </c>
      <c r="E342" s="8">
        <v>2</v>
      </c>
      <c r="F342" s="8">
        <v>2</v>
      </c>
    </row>
    <row r="343" spans="1:6" ht="15" customHeight="1" x14ac:dyDescent="0.3">
      <c r="A343" s="8">
        <v>117</v>
      </c>
      <c r="B343" s="6" t="s">
        <v>1340</v>
      </c>
      <c r="C343" s="10">
        <v>2500</v>
      </c>
      <c r="D343" s="17">
        <v>9.8105537853381797E-6</v>
      </c>
      <c r="E343" s="8">
        <v>1</v>
      </c>
      <c r="F343" s="8">
        <v>1</v>
      </c>
    </row>
    <row r="344" spans="1:6" ht="15" customHeight="1" x14ac:dyDescent="0.3">
      <c r="A344" s="8">
        <v>118</v>
      </c>
      <c r="B344" s="6" t="s">
        <v>690</v>
      </c>
      <c r="C344" s="10">
        <v>2489.3000000000002</v>
      </c>
      <c r="D344" s="17">
        <v>9.7685646151369305E-6</v>
      </c>
      <c r="E344" s="8">
        <v>1</v>
      </c>
      <c r="F344" s="8">
        <v>2</v>
      </c>
    </row>
    <row r="345" spans="1:6" ht="15" customHeight="1" x14ac:dyDescent="0.3">
      <c r="A345" s="8">
        <v>119</v>
      </c>
      <c r="B345" s="6" t="s">
        <v>950</v>
      </c>
      <c r="C345" s="10">
        <v>2439.02</v>
      </c>
      <c r="D345" s="17">
        <v>9.5712547574062093E-6</v>
      </c>
      <c r="E345" s="8">
        <v>1</v>
      </c>
      <c r="F345" s="8">
        <v>1</v>
      </c>
    </row>
    <row r="346" spans="1:6" ht="15" customHeight="1" x14ac:dyDescent="0.3">
      <c r="A346" s="8">
        <v>120</v>
      </c>
      <c r="B346" s="6" t="s">
        <v>1877</v>
      </c>
      <c r="C346" s="10">
        <v>2310</v>
      </c>
      <c r="D346" s="17">
        <v>9.0649516976524797E-6</v>
      </c>
      <c r="E346" s="8">
        <v>1</v>
      </c>
      <c r="F346" s="8">
        <v>1</v>
      </c>
    </row>
    <row r="347" spans="1:6" ht="15" customHeight="1" x14ac:dyDescent="0.3">
      <c r="A347" s="8">
        <v>121</v>
      </c>
      <c r="B347" s="6" t="s">
        <v>1589</v>
      </c>
      <c r="C347" s="10">
        <v>2200</v>
      </c>
      <c r="D347" s="17">
        <v>8.6332873310976001E-6</v>
      </c>
      <c r="E347" s="8">
        <v>1</v>
      </c>
      <c r="F347" s="8">
        <v>1</v>
      </c>
    </row>
    <row r="348" spans="1:6" ht="15" customHeight="1" x14ac:dyDescent="0.3">
      <c r="A348" s="8">
        <v>122</v>
      </c>
      <c r="B348" s="6" t="s">
        <v>247</v>
      </c>
      <c r="C348" s="10">
        <v>2180</v>
      </c>
      <c r="D348" s="17">
        <v>8.5548029008148895E-6</v>
      </c>
      <c r="E348" s="8">
        <v>1</v>
      </c>
      <c r="F348" s="8">
        <v>3</v>
      </c>
    </row>
    <row r="349" spans="1:6" ht="15" customHeight="1" x14ac:dyDescent="0.3">
      <c r="A349" s="8">
        <v>123</v>
      </c>
      <c r="B349" s="6" t="s">
        <v>224</v>
      </c>
      <c r="C349" s="10">
        <v>1654.48</v>
      </c>
      <c r="D349" s="17">
        <v>6.4925460107065203E-6</v>
      </c>
      <c r="E349" s="8">
        <v>2</v>
      </c>
      <c r="F349" s="8">
        <v>3</v>
      </c>
    </row>
    <row r="350" spans="1:6" ht="15" customHeight="1" x14ac:dyDescent="0.3">
      <c r="A350" s="8">
        <v>124</v>
      </c>
      <c r="B350" s="6" t="s">
        <v>328</v>
      </c>
      <c r="C350" s="10">
        <v>1600</v>
      </c>
      <c r="D350" s="17">
        <v>6.2787544226164299E-6</v>
      </c>
      <c r="E350" s="8">
        <v>1</v>
      </c>
      <c r="F350" s="8">
        <v>1</v>
      </c>
    </row>
    <row r="351" spans="1:6" ht="15" customHeight="1" x14ac:dyDescent="0.3">
      <c r="A351" s="8">
        <v>125</v>
      </c>
      <c r="B351" s="6" t="s">
        <v>770</v>
      </c>
      <c r="C351" s="10">
        <v>1338.85</v>
      </c>
      <c r="D351" s="17">
        <v>5.2539439742000102E-6</v>
      </c>
      <c r="E351" s="8">
        <v>1</v>
      </c>
      <c r="F351" s="8">
        <v>1</v>
      </c>
    </row>
    <row r="352" spans="1:6" ht="15" customHeight="1" x14ac:dyDescent="0.3">
      <c r="A352" s="8">
        <v>126</v>
      </c>
      <c r="B352" s="6" t="s">
        <v>1293</v>
      </c>
      <c r="C352" s="10">
        <v>1250</v>
      </c>
      <c r="D352" s="17">
        <v>4.9052768926690899E-6</v>
      </c>
      <c r="E352" s="8">
        <v>1</v>
      </c>
      <c r="F352" s="8">
        <v>1</v>
      </c>
    </row>
    <row r="353" spans="1:6" ht="15" customHeight="1" x14ac:dyDescent="0.3">
      <c r="A353" s="8">
        <v>127</v>
      </c>
      <c r="B353" s="6" t="s">
        <v>409</v>
      </c>
      <c r="C353" s="10">
        <v>1231.8800000000001</v>
      </c>
      <c r="D353" s="17">
        <v>4.8341699988329604E-6</v>
      </c>
      <c r="E353" s="8">
        <v>1</v>
      </c>
      <c r="F353" s="8">
        <v>2</v>
      </c>
    </row>
    <row r="354" spans="1:6" ht="15" customHeight="1" x14ac:dyDescent="0.3">
      <c r="A354" s="8">
        <v>128</v>
      </c>
      <c r="B354" s="6" t="s">
        <v>215</v>
      </c>
      <c r="C354" s="10">
        <v>1200</v>
      </c>
      <c r="D354" s="17">
        <v>4.7090658169623201E-6</v>
      </c>
      <c r="E354" s="8">
        <v>1</v>
      </c>
      <c r="F354" s="8">
        <v>1</v>
      </c>
    </row>
    <row r="355" spans="1:6" ht="15" customHeight="1" x14ac:dyDescent="0.3">
      <c r="A355" s="8">
        <v>129</v>
      </c>
      <c r="B355" s="6" t="s">
        <v>424</v>
      </c>
      <c r="C355" s="10">
        <v>1143</v>
      </c>
      <c r="D355" s="17">
        <v>4.4853851906566099E-6</v>
      </c>
      <c r="E355" s="8">
        <v>1</v>
      </c>
      <c r="F355" s="8">
        <v>2</v>
      </c>
    </row>
    <row r="356" spans="1:6" ht="15" customHeight="1" x14ac:dyDescent="0.3">
      <c r="A356" s="8">
        <v>130</v>
      </c>
      <c r="B356" s="6" t="s">
        <v>422</v>
      </c>
      <c r="C356" s="10">
        <v>1100</v>
      </c>
      <c r="D356" s="17">
        <v>4.3166436655488001E-6</v>
      </c>
      <c r="E356" s="8">
        <v>1</v>
      </c>
      <c r="F356" s="8">
        <v>1</v>
      </c>
    </row>
    <row r="357" spans="1:6" ht="15" customHeight="1" x14ac:dyDescent="0.3">
      <c r="A357" s="8">
        <v>131</v>
      </c>
      <c r="B357" s="6" t="s">
        <v>78</v>
      </c>
      <c r="C357" s="10">
        <v>995.4</v>
      </c>
      <c r="D357" s="17">
        <v>3.9061700951702498E-6</v>
      </c>
      <c r="E357" s="8">
        <v>1</v>
      </c>
      <c r="F357" s="8">
        <v>1</v>
      </c>
    </row>
    <row r="358" spans="1:6" ht="15" customHeight="1" x14ac:dyDescent="0.3">
      <c r="A358" s="8">
        <v>132</v>
      </c>
      <c r="B358" s="6" t="s">
        <v>634</v>
      </c>
      <c r="C358" s="10">
        <v>955</v>
      </c>
      <c r="D358" s="17">
        <v>3.7476315459991799E-6</v>
      </c>
      <c r="E358" s="8">
        <v>1</v>
      </c>
      <c r="F358" s="8">
        <v>1</v>
      </c>
    </row>
    <row r="359" spans="1:6" ht="15" customHeight="1" x14ac:dyDescent="0.3">
      <c r="A359" s="8">
        <v>133</v>
      </c>
      <c r="B359" s="6" t="s">
        <v>99</v>
      </c>
      <c r="C359" s="10">
        <v>920</v>
      </c>
      <c r="D359" s="17">
        <v>3.6102837930044498E-6</v>
      </c>
      <c r="E359" s="8">
        <v>1</v>
      </c>
      <c r="F359" s="8">
        <v>1</v>
      </c>
    </row>
    <row r="360" spans="1:6" ht="15" customHeight="1" x14ac:dyDescent="0.3">
      <c r="A360" s="8">
        <v>134</v>
      </c>
      <c r="B360" s="6" t="s">
        <v>227</v>
      </c>
      <c r="C360" s="10">
        <v>789.09</v>
      </c>
      <c r="D360" s="17">
        <v>3.0965639545890001E-6</v>
      </c>
      <c r="E360" s="8">
        <v>1</v>
      </c>
      <c r="F360" s="8">
        <v>1</v>
      </c>
    </row>
    <row r="361" spans="1:6" ht="15" customHeight="1" x14ac:dyDescent="0.3">
      <c r="A361" s="8">
        <v>135</v>
      </c>
      <c r="B361" s="6" t="s">
        <v>1277</v>
      </c>
      <c r="C361" s="10">
        <v>652.5</v>
      </c>
      <c r="D361" s="17">
        <v>2.5605545379732602E-6</v>
      </c>
      <c r="E361" s="8">
        <v>2</v>
      </c>
      <c r="F361" s="8">
        <v>2</v>
      </c>
    </row>
    <row r="362" spans="1:6" ht="15" customHeight="1" x14ac:dyDescent="0.3">
      <c r="A362" s="8">
        <v>136</v>
      </c>
      <c r="B362" s="6" t="s">
        <v>286</v>
      </c>
      <c r="C362" s="10">
        <v>430</v>
      </c>
      <c r="D362" s="17">
        <v>1.68741525107817E-6</v>
      </c>
      <c r="E362" s="8">
        <v>1</v>
      </c>
      <c r="F362" s="8">
        <v>2</v>
      </c>
    </row>
    <row r="363" spans="1:6" ht="15" customHeight="1" x14ac:dyDescent="0.3">
      <c r="A363" s="8">
        <v>137</v>
      </c>
      <c r="B363" s="6" t="s">
        <v>343</v>
      </c>
      <c r="C363" s="10">
        <v>419.6</v>
      </c>
      <c r="D363" s="17">
        <v>1.64660334733116E-6</v>
      </c>
      <c r="E363" s="8">
        <v>1</v>
      </c>
      <c r="F363" s="8">
        <v>1</v>
      </c>
    </row>
    <row r="364" spans="1:6" ht="15" customHeight="1" x14ac:dyDescent="0.3">
      <c r="A364" s="8">
        <v>138</v>
      </c>
      <c r="B364" s="6" t="s">
        <v>1015</v>
      </c>
      <c r="C364" s="10">
        <v>398.6</v>
      </c>
      <c r="D364" s="17">
        <v>1.5641946955343199E-6</v>
      </c>
      <c r="E364" s="8">
        <v>1</v>
      </c>
      <c r="F364" s="8">
        <v>1</v>
      </c>
    </row>
    <row r="365" spans="1:6" ht="15" customHeight="1" x14ac:dyDescent="0.3">
      <c r="A365" s="8">
        <v>139</v>
      </c>
      <c r="B365" s="6" t="s">
        <v>111</v>
      </c>
      <c r="C365" s="10">
        <v>68.900000000000006</v>
      </c>
      <c r="D365" s="17">
        <v>2.7037886232391997E-7</v>
      </c>
      <c r="E365" s="8">
        <v>1</v>
      </c>
      <c r="F365" s="8">
        <v>1</v>
      </c>
    </row>
    <row r="366" spans="1:6" ht="15" customHeight="1" x14ac:dyDescent="0.3">
      <c r="A366" s="8">
        <v>140</v>
      </c>
      <c r="B366" s="6" t="s">
        <v>392</v>
      </c>
      <c r="C366" s="10">
        <v>68.400000000000006</v>
      </c>
      <c r="D366" s="17">
        <v>2.6841675156685301E-7</v>
      </c>
      <c r="E366" s="8">
        <v>1</v>
      </c>
      <c r="F366" s="8">
        <v>1</v>
      </c>
    </row>
    <row r="367" spans="1:6" ht="15" customHeight="1" x14ac:dyDescent="0.3">
      <c r="A367" s="25"/>
      <c r="B367" s="25" t="s">
        <v>1987</v>
      </c>
      <c r="C367" s="26">
        <v>8698724.7015889101</v>
      </c>
      <c r="D367" s="27">
        <v>3.4135722619515099E-2</v>
      </c>
    </row>
  </sheetData>
  <mergeCells count="8">
    <mergeCell ref="A102:F102"/>
    <mergeCell ref="A166:F166"/>
    <mergeCell ref="A225:F225"/>
    <mergeCell ref="A1:F1"/>
    <mergeCell ref="A9:F9"/>
    <mergeCell ref="A28:F28"/>
    <mergeCell ref="A55:F55"/>
    <mergeCell ref="A94:F9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1"/>
  <sheetViews>
    <sheetView zoomScaleNormal="100" workbookViewId="0">
      <selection activeCell="B6" sqref="B6"/>
    </sheetView>
  </sheetViews>
  <sheetFormatPr baseColWidth="10" defaultColWidth="8.6640625" defaultRowHeight="14.4" x14ac:dyDescent="0.3"/>
  <cols>
    <col min="1" max="1" width="16" customWidth="1"/>
    <col min="2" max="2" width="46" customWidth="1"/>
    <col min="3" max="5" width="16" customWidth="1"/>
  </cols>
  <sheetData>
    <row r="1" spans="1:6" ht="15" customHeight="1" x14ac:dyDescent="0.3">
      <c r="A1" s="69" t="s">
        <v>1992</v>
      </c>
      <c r="B1" s="69"/>
      <c r="C1" s="69"/>
      <c r="D1" s="69"/>
      <c r="E1" s="69"/>
      <c r="F1" s="69"/>
    </row>
    <row r="2" spans="1:6" ht="15" customHeight="1" x14ac:dyDescent="0.3">
      <c r="A2" s="70" t="s">
        <v>1993</v>
      </c>
      <c r="B2" s="70"/>
      <c r="C2" s="70"/>
      <c r="D2" s="70"/>
      <c r="E2" s="70"/>
      <c r="F2" s="70"/>
    </row>
    <row r="4" spans="1:6" ht="15" customHeight="1" x14ac:dyDescent="0.3">
      <c r="A4" s="7" t="s">
        <v>1994</v>
      </c>
      <c r="B4" s="7" t="s">
        <v>1974</v>
      </c>
      <c r="C4" s="7" t="s">
        <v>1952</v>
      </c>
      <c r="D4" s="7" t="s">
        <v>1975</v>
      </c>
      <c r="E4" s="7" t="s">
        <v>1976</v>
      </c>
    </row>
    <row r="5" spans="1:6" ht="15" customHeight="1" x14ac:dyDescent="0.3">
      <c r="A5" s="40" t="s">
        <v>1995</v>
      </c>
      <c r="B5" s="8">
        <v>29</v>
      </c>
      <c r="C5" s="10">
        <v>24540103.879716001</v>
      </c>
      <c r="D5" s="17">
        <v>0.38818847905398901</v>
      </c>
      <c r="E5" s="17">
        <f>IFERROR(SUMPRODUCT(ISNUMBER(MATCH('Data Cruda'!$D$2:$D$1801,$B$13:$B$41,0))*(('Data Cruda'!$A$2:$A$1801=2025)+('Data Cruda'!$A$2:$A$1801=2026))*'Data Cruda'!$P$2:$P$1801)/SUMPRODUCT(ISNUMBER(MATCH('Data Cruda'!$D$2:$D$1801,$B$13:$B$41,0))*(('Data Cruda'!$A$2:$A$1801=2025)+('Data Cruda'!$A$2:$A$1801=2026))*'Data Cruda'!$K$2:$K$1801),0)</f>
        <v>0.15972931728255443</v>
      </c>
    </row>
    <row r="6" spans="1:6" ht="15" customHeight="1" x14ac:dyDescent="0.3">
      <c r="A6" s="41" t="s">
        <v>1996</v>
      </c>
      <c r="B6" s="8">
        <v>10</v>
      </c>
      <c r="C6" s="10">
        <v>11925076.129660999</v>
      </c>
      <c r="D6" s="17">
        <v>0.188637227782987</v>
      </c>
      <c r="E6" s="17">
        <f>IFERROR(SUMPRODUCT(ISNUMBER(MATCH('Data Cruda'!$D$2:$D$1801,$B$46:$B$55,0))*(('Data Cruda'!$A$2:$A$1801=2025)+('Data Cruda'!$A$2:$A$1801=2026))*'Data Cruda'!$P$2:$P$1801)/SUMPRODUCT(ISNUMBER(MATCH('Data Cruda'!$D$2:$D$1801,$B$46:$B$55,0))*(('Data Cruda'!$A$2:$A$1801=2025)+('Data Cruda'!$A$2:$A$1801=2026))*'Data Cruda'!$K$2:$K$1801),0)</f>
        <v>0.15202601059214652</v>
      </c>
    </row>
    <row r="7" spans="1:6" ht="15" customHeight="1" x14ac:dyDescent="0.3">
      <c r="A7" s="42" t="s">
        <v>1997</v>
      </c>
      <c r="B7" s="8">
        <v>34</v>
      </c>
      <c r="C7" s="10">
        <v>26751801.441283099</v>
      </c>
      <c r="D7" s="17">
        <v>0.42317429316302402</v>
      </c>
      <c r="E7" s="17">
        <f>IFERROR(SUMPRODUCT(ISNUMBER(MATCH('Data Cruda'!$D$2:$D$1801,$B$60:$B$93,0))*(('Data Cruda'!$A$2:$A$1801=2025)+('Data Cruda'!$A$2:$A$1801=2026))*'Data Cruda'!$P$2:$P$1801)/SUMPRODUCT(ISNUMBER(MATCH('Data Cruda'!$D$2:$D$1801,$B$60:$B$93,0))*(('Data Cruda'!$A$2:$A$1801=2025)+('Data Cruda'!$A$2:$A$1801=2026))*'Data Cruda'!$K$2:$K$1801),0)</f>
        <v>0.15790677745840515</v>
      </c>
    </row>
    <row r="8" spans="1:6" ht="15" customHeight="1" x14ac:dyDescent="0.3">
      <c r="A8" s="43" t="s">
        <v>1998</v>
      </c>
      <c r="B8" s="8">
        <v>33</v>
      </c>
      <c r="C8" s="10">
        <v>9568845.2915254291</v>
      </c>
      <c r="D8" s="17">
        <v>0.151365109056872</v>
      </c>
      <c r="E8" s="17">
        <f>IFERROR(SUMPRODUCT(ISNUMBER(MATCH('Data Cruda'!$D$2:$D$1801,$B$98:$B$130,0))*(('Data Cruda'!$A$2:$A$1801=2023)+('Data Cruda'!$A$2:$A$1801=2024))*'Data Cruda'!$P$2:$P$1801)/SUMPRODUCT(ISNUMBER(MATCH('Data Cruda'!$D$2:$D$1801,$B$98:$B$130,0))*(('Data Cruda'!$A$2:$A$1801=2023)+('Data Cruda'!$A$2:$A$1801=2024))*'Data Cruda'!$K$2:$K$1801),0)</f>
        <v>0.15692621421415193</v>
      </c>
    </row>
    <row r="9" spans="1:6" ht="15" customHeight="1" x14ac:dyDescent="0.3">
      <c r="A9" s="25" t="s">
        <v>1913</v>
      </c>
      <c r="B9" s="25">
        <v>106</v>
      </c>
      <c r="C9" s="26">
        <v>72785826.742185593</v>
      </c>
      <c r="D9" s="27">
        <v>1</v>
      </c>
    </row>
    <row r="11" spans="1:6" ht="15" customHeight="1" x14ac:dyDescent="0.3">
      <c r="A11" s="75" t="s">
        <v>1999</v>
      </c>
      <c r="B11" s="75"/>
      <c r="C11" s="75"/>
      <c r="D11" s="75"/>
      <c r="E11" s="75"/>
      <c r="F11" s="75"/>
    </row>
    <row r="12" spans="1:6" ht="15" customHeight="1" x14ac:dyDescent="0.3">
      <c r="A12" s="7" t="s">
        <v>1898</v>
      </c>
      <c r="B12" s="7" t="s">
        <v>3</v>
      </c>
      <c r="C12" s="7" t="s">
        <v>1968</v>
      </c>
      <c r="D12" s="7" t="s">
        <v>1953</v>
      </c>
      <c r="E12" s="7" t="s">
        <v>2000</v>
      </c>
    </row>
    <row r="13" spans="1:6" ht="15" customHeight="1" x14ac:dyDescent="0.3">
      <c r="A13" s="8">
        <v>1</v>
      </c>
      <c r="B13" s="6" t="s">
        <v>45</v>
      </c>
      <c r="C13" s="10">
        <v>4485901.0077966098</v>
      </c>
      <c r="D13" s="8" t="s">
        <v>38</v>
      </c>
      <c r="E13" s="8" t="s">
        <v>306</v>
      </c>
    </row>
    <row r="14" spans="1:6" ht="15" customHeight="1" x14ac:dyDescent="0.3">
      <c r="A14" s="8">
        <v>2</v>
      </c>
      <c r="B14" s="6" t="s">
        <v>40</v>
      </c>
      <c r="C14" s="10">
        <v>4450000</v>
      </c>
      <c r="D14" s="8" t="s">
        <v>21</v>
      </c>
      <c r="E14" s="8" t="s">
        <v>141</v>
      </c>
    </row>
    <row r="15" spans="1:6" ht="15" customHeight="1" x14ac:dyDescent="0.3">
      <c r="A15" s="8">
        <v>3</v>
      </c>
      <c r="B15" s="6" t="s">
        <v>1007</v>
      </c>
      <c r="C15" s="10">
        <v>3356000.72355932</v>
      </c>
      <c r="D15" s="8" t="s">
        <v>38</v>
      </c>
      <c r="E15" s="8" t="s">
        <v>306</v>
      </c>
    </row>
    <row r="16" spans="1:6" ht="15" customHeight="1" x14ac:dyDescent="0.3">
      <c r="A16" s="8">
        <v>4</v>
      </c>
      <c r="B16" s="6" t="s">
        <v>61</v>
      </c>
      <c r="C16" s="10">
        <v>1629602.3311864401</v>
      </c>
      <c r="D16" s="8" t="s">
        <v>21</v>
      </c>
      <c r="E16" s="8" t="s">
        <v>23</v>
      </c>
    </row>
    <row r="17" spans="1:5" ht="15" customHeight="1" x14ac:dyDescent="0.3">
      <c r="A17" s="8">
        <v>5</v>
      </c>
      <c r="B17" s="6" t="s">
        <v>1118</v>
      </c>
      <c r="C17" s="10">
        <v>1490360.7241227899</v>
      </c>
      <c r="D17" s="8" t="s">
        <v>38</v>
      </c>
      <c r="E17" s="8" t="s">
        <v>306</v>
      </c>
    </row>
    <row r="18" spans="1:5" ht="15" customHeight="1" x14ac:dyDescent="0.3">
      <c r="A18" s="8">
        <v>6</v>
      </c>
      <c r="B18" s="6" t="s">
        <v>69</v>
      </c>
      <c r="C18" s="10">
        <v>1088057.19983051</v>
      </c>
      <c r="D18" s="8" t="s">
        <v>21</v>
      </c>
      <c r="E18" s="8" t="s">
        <v>23</v>
      </c>
    </row>
    <row r="19" spans="1:5" ht="15" customHeight="1" x14ac:dyDescent="0.3">
      <c r="A19" s="8">
        <v>7</v>
      </c>
      <c r="B19" s="6" t="s">
        <v>786</v>
      </c>
      <c r="C19" s="10">
        <v>954731.06711864402</v>
      </c>
      <c r="D19" s="8" t="s">
        <v>38</v>
      </c>
      <c r="E19" s="8" t="s">
        <v>306</v>
      </c>
    </row>
    <row r="20" spans="1:5" ht="15" customHeight="1" x14ac:dyDescent="0.3">
      <c r="A20" s="8">
        <v>8</v>
      </c>
      <c r="B20" s="6" t="s">
        <v>462</v>
      </c>
      <c r="C20" s="10">
        <v>910903.46610169497</v>
      </c>
      <c r="D20" s="8" t="s">
        <v>21</v>
      </c>
      <c r="E20" s="8" t="s">
        <v>306</v>
      </c>
    </row>
    <row r="21" spans="1:5" ht="15" customHeight="1" x14ac:dyDescent="0.3">
      <c r="A21" s="8">
        <v>9</v>
      </c>
      <c r="B21" s="6" t="s">
        <v>675</v>
      </c>
      <c r="C21" s="10">
        <v>817031.34</v>
      </c>
      <c r="D21" s="8" t="s">
        <v>38</v>
      </c>
      <c r="E21" s="8" t="s">
        <v>306</v>
      </c>
    </row>
    <row r="22" spans="1:5" ht="15" customHeight="1" x14ac:dyDescent="0.3">
      <c r="A22" s="8">
        <v>10</v>
      </c>
      <c r="B22" s="6" t="s">
        <v>749</v>
      </c>
      <c r="C22" s="10">
        <v>785287.51</v>
      </c>
      <c r="D22" s="8" t="s">
        <v>38</v>
      </c>
      <c r="E22" s="8" t="s">
        <v>306</v>
      </c>
    </row>
    <row r="23" spans="1:5" ht="15" customHeight="1" x14ac:dyDescent="0.3">
      <c r="A23" s="8">
        <v>11</v>
      </c>
      <c r="B23" s="6" t="s">
        <v>816</v>
      </c>
      <c r="C23" s="10">
        <v>721156.89</v>
      </c>
      <c r="D23" s="8" t="s">
        <v>107</v>
      </c>
      <c r="E23" s="8" t="s">
        <v>109</v>
      </c>
    </row>
    <row r="24" spans="1:5" ht="15" customHeight="1" x14ac:dyDescent="0.3">
      <c r="A24" s="8">
        <v>12</v>
      </c>
      <c r="B24" s="6" t="s">
        <v>1296</v>
      </c>
      <c r="C24" s="10">
        <v>602333.49</v>
      </c>
      <c r="D24" s="8" t="s">
        <v>38</v>
      </c>
      <c r="E24" s="8" t="s">
        <v>306</v>
      </c>
    </row>
    <row r="25" spans="1:5" ht="15" customHeight="1" x14ac:dyDescent="0.3">
      <c r="A25" s="8">
        <v>13</v>
      </c>
      <c r="B25" s="6" t="s">
        <v>184</v>
      </c>
      <c r="C25" s="10">
        <v>538929.42000000004</v>
      </c>
      <c r="D25" s="8" t="s">
        <v>107</v>
      </c>
      <c r="E25" s="8" t="s">
        <v>23</v>
      </c>
    </row>
    <row r="26" spans="1:5" ht="15" customHeight="1" x14ac:dyDescent="0.3">
      <c r="A26" s="8">
        <v>14</v>
      </c>
      <c r="B26" s="6" t="s">
        <v>36</v>
      </c>
      <c r="C26" s="10">
        <v>497385.27</v>
      </c>
      <c r="D26" s="8" t="s">
        <v>38</v>
      </c>
      <c r="E26" s="8" t="s">
        <v>23</v>
      </c>
    </row>
    <row r="27" spans="1:5" ht="15" customHeight="1" x14ac:dyDescent="0.3">
      <c r="A27" s="8">
        <v>15</v>
      </c>
      <c r="B27" s="6" t="s">
        <v>30</v>
      </c>
      <c r="C27" s="10">
        <v>460117.04</v>
      </c>
      <c r="D27" s="8" t="s">
        <v>21</v>
      </c>
      <c r="E27" s="8" t="s">
        <v>141</v>
      </c>
    </row>
    <row r="28" spans="1:5" ht="15" customHeight="1" x14ac:dyDescent="0.3">
      <c r="A28" s="8">
        <v>16</v>
      </c>
      <c r="B28" s="6" t="s">
        <v>155</v>
      </c>
      <c r="C28" s="10">
        <v>407039.67</v>
      </c>
      <c r="D28" s="8" t="s">
        <v>38</v>
      </c>
      <c r="E28" s="8" t="s">
        <v>306</v>
      </c>
    </row>
    <row r="29" spans="1:5" ht="15" customHeight="1" x14ac:dyDescent="0.3">
      <c r="A29" s="8">
        <v>17</v>
      </c>
      <c r="B29" s="6" t="s">
        <v>769</v>
      </c>
      <c r="C29" s="10">
        <v>390950.55</v>
      </c>
      <c r="D29" s="8" t="s">
        <v>21</v>
      </c>
      <c r="E29" s="8" t="s">
        <v>141</v>
      </c>
    </row>
    <row r="30" spans="1:5" ht="15" customHeight="1" x14ac:dyDescent="0.3">
      <c r="A30" s="8">
        <v>18</v>
      </c>
      <c r="B30" s="6" t="s">
        <v>844</v>
      </c>
      <c r="C30" s="10">
        <v>379901.83</v>
      </c>
      <c r="D30" s="8" t="s">
        <v>107</v>
      </c>
      <c r="E30" s="8" t="s">
        <v>23</v>
      </c>
    </row>
    <row r="31" spans="1:5" ht="15" customHeight="1" x14ac:dyDescent="0.3">
      <c r="A31" s="8">
        <v>19</v>
      </c>
      <c r="B31" s="6" t="s">
        <v>1384</v>
      </c>
      <c r="C31" s="10">
        <v>282000.84999999998</v>
      </c>
      <c r="D31" s="8" t="s">
        <v>21</v>
      </c>
      <c r="E31" s="8" t="s">
        <v>141</v>
      </c>
    </row>
    <row r="32" spans="1:5" ht="15" customHeight="1" x14ac:dyDescent="0.3">
      <c r="A32" s="8">
        <v>20</v>
      </c>
      <c r="B32" s="6" t="s">
        <v>832</v>
      </c>
      <c r="C32" s="10">
        <v>77696.990000000005</v>
      </c>
      <c r="D32" s="8" t="s">
        <v>38</v>
      </c>
      <c r="E32" s="8" t="s">
        <v>23</v>
      </c>
    </row>
    <row r="33" spans="1:6" ht="15" customHeight="1" x14ac:dyDescent="0.3">
      <c r="A33" s="8">
        <v>21</v>
      </c>
      <c r="B33" s="6" t="s">
        <v>746</v>
      </c>
      <c r="C33" s="10">
        <v>50827.6</v>
      </c>
      <c r="D33" s="8" t="s">
        <v>21</v>
      </c>
      <c r="E33" s="8" t="s">
        <v>23</v>
      </c>
    </row>
    <row r="34" spans="1:6" ht="15" customHeight="1" x14ac:dyDescent="0.3">
      <c r="A34" s="8">
        <v>22</v>
      </c>
      <c r="B34" s="6" t="s">
        <v>791</v>
      </c>
      <c r="C34" s="10">
        <v>48530.23</v>
      </c>
      <c r="D34" s="8" t="s">
        <v>21</v>
      </c>
      <c r="E34" s="8" t="s">
        <v>1410</v>
      </c>
    </row>
    <row r="35" spans="1:6" ht="15" customHeight="1" x14ac:dyDescent="0.3">
      <c r="A35" s="8">
        <v>23</v>
      </c>
      <c r="B35" s="6" t="s">
        <v>1318</v>
      </c>
      <c r="C35" s="10">
        <v>37571.15</v>
      </c>
      <c r="D35" s="8" t="s">
        <v>38</v>
      </c>
      <c r="E35" s="8" t="s">
        <v>1410</v>
      </c>
    </row>
    <row r="36" spans="1:6" ht="15" customHeight="1" x14ac:dyDescent="0.3">
      <c r="A36" s="8">
        <v>24</v>
      </c>
      <c r="B36" s="6" t="s">
        <v>1269</v>
      </c>
      <c r="C36" s="10">
        <v>36347.870000000003</v>
      </c>
      <c r="D36" s="8" t="s">
        <v>21</v>
      </c>
      <c r="E36" s="8" t="s">
        <v>23</v>
      </c>
    </row>
    <row r="37" spans="1:6" ht="15" customHeight="1" x14ac:dyDescent="0.3">
      <c r="A37" s="8">
        <v>25</v>
      </c>
      <c r="B37" s="6" t="s">
        <v>1449</v>
      </c>
      <c r="C37" s="10">
        <v>15941.32</v>
      </c>
      <c r="D37" s="8" t="s">
        <v>38</v>
      </c>
      <c r="E37" s="8" t="s">
        <v>306</v>
      </c>
    </row>
    <row r="38" spans="1:6" ht="15" customHeight="1" x14ac:dyDescent="0.3">
      <c r="A38" s="8">
        <v>26</v>
      </c>
      <c r="B38" s="6" t="s">
        <v>906</v>
      </c>
      <c r="C38" s="10">
        <v>10000</v>
      </c>
      <c r="D38" s="8" t="s">
        <v>107</v>
      </c>
      <c r="E38" s="8" t="s">
        <v>23</v>
      </c>
    </row>
    <row r="39" spans="1:6" ht="15" customHeight="1" x14ac:dyDescent="0.3">
      <c r="A39" s="8">
        <v>27</v>
      </c>
      <c r="B39" s="6" t="s">
        <v>205</v>
      </c>
      <c r="C39" s="10">
        <v>6840.69</v>
      </c>
      <c r="D39" s="8" t="s">
        <v>21</v>
      </c>
      <c r="E39" s="8" t="s">
        <v>23</v>
      </c>
    </row>
    <row r="40" spans="1:6" ht="15" customHeight="1" x14ac:dyDescent="0.3">
      <c r="A40" s="8">
        <v>28</v>
      </c>
      <c r="B40" s="6" t="s">
        <v>531</v>
      </c>
      <c r="C40" s="10">
        <v>4392.3900000000003</v>
      </c>
      <c r="D40" s="8" t="s">
        <v>38</v>
      </c>
      <c r="E40" s="8" t="s">
        <v>23</v>
      </c>
    </row>
    <row r="41" spans="1:6" ht="15" customHeight="1" x14ac:dyDescent="0.3">
      <c r="A41" s="8">
        <v>29</v>
      </c>
      <c r="B41" s="6" t="s">
        <v>1356</v>
      </c>
      <c r="C41" s="10">
        <v>4265.26</v>
      </c>
      <c r="D41" s="8" t="s">
        <v>38</v>
      </c>
      <c r="E41" s="8" t="s">
        <v>23</v>
      </c>
    </row>
    <row r="42" spans="1:6" ht="15" customHeight="1" x14ac:dyDescent="0.3">
      <c r="A42" s="25"/>
      <c r="B42" s="25" t="s">
        <v>2001</v>
      </c>
      <c r="C42" s="26">
        <v>24540103.879716001</v>
      </c>
    </row>
    <row r="44" spans="1:6" ht="15" customHeight="1" x14ac:dyDescent="0.3">
      <c r="A44" s="76" t="s">
        <v>2002</v>
      </c>
      <c r="B44" s="76"/>
      <c r="C44" s="76"/>
      <c r="D44" s="76"/>
      <c r="E44" s="76"/>
      <c r="F44" s="76"/>
    </row>
    <row r="45" spans="1:6" ht="15" customHeight="1" x14ac:dyDescent="0.3">
      <c r="A45" s="7" t="s">
        <v>1898</v>
      </c>
      <c r="B45" s="7" t="s">
        <v>3</v>
      </c>
      <c r="C45" s="7" t="s">
        <v>1968</v>
      </c>
      <c r="D45" s="7" t="s">
        <v>1953</v>
      </c>
      <c r="E45" s="7" t="s">
        <v>2000</v>
      </c>
    </row>
    <row r="46" spans="1:6" ht="15" customHeight="1" x14ac:dyDescent="0.3">
      <c r="A46" s="8">
        <v>1</v>
      </c>
      <c r="B46" s="6" t="s">
        <v>103</v>
      </c>
      <c r="C46" s="10">
        <v>4008997.0406779698</v>
      </c>
      <c r="D46" s="8" t="s">
        <v>38</v>
      </c>
      <c r="E46" s="8" t="s">
        <v>306</v>
      </c>
    </row>
    <row r="47" spans="1:6" ht="15" customHeight="1" x14ac:dyDescent="0.3">
      <c r="A47" s="8">
        <v>2</v>
      </c>
      <c r="B47" s="6" t="s">
        <v>1003</v>
      </c>
      <c r="C47" s="10">
        <v>3162368.75</v>
      </c>
      <c r="D47" s="8" t="s">
        <v>38</v>
      </c>
      <c r="E47" s="8" t="s">
        <v>306</v>
      </c>
    </row>
    <row r="48" spans="1:6" ht="15" customHeight="1" x14ac:dyDescent="0.3">
      <c r="A48" s="8">
        <v>3</v>
      </c>
      <c r="B48" s="6" t="s">
        <v>47</v>
      </c>
      <c r="C48" s="10">
        <v>2072732.8</v>
      </c>
      <c r="D48" s="8" t="s">
        <v>38</v>
      </c>
      <c r="E48" s="8" t="s">
        <v>306</v>
      </c>
    </row>
    <row r="49" spans="1:6" ht="15" customHeight="1" x14ac:dyDescent="0.3">
      <c r="A49" s="8">
        <v>4</v>
      </c>
      <c r="B49" s="6" t="s">
        <v>364</v>
      </c>
      <c r="C49" s="10">
        <v>1224885.8</v>
      </c>
      <c r="D49" s="8" t="s">
        <v>21</v>
      </c>
      <c r="E49" s="8" t="s">
        <v>23</v>
      </c>
    </row>
    <row r="50" spans="1:6" ht="15" customHeight="1" x14ac:dyDescent="0.3">
      <c r="A50" s="8">
        <v>5</v>
      </c>
      <c r="B50" s="6" t="s">
        <v>360</v>
      </c>
      <c r="C50" s="10">
        <v>550187.52000000002</v>
      </c>
      <c r="D50" s="8" t="s">
        <v>21</v>
      </c>
      <c r="E50" s="8" t="s">
        <v>109</v>
      </c>
    </row>
    <row r="51" spans="1:6" ht="15" customHeight="1" x14ac:dyDescent="0.3">
      <c r="A51" s="8">
        <v>6</v>
      </c>
      <c r="B51" s="6" t="s">
        <v>763</v>
      </c>
      <c r="C51" s="10">
        <v>232667.897627119</v>
      </c>
      <c r="D51" s="8" t="s">
        <v>21</v>
      </c>
      <c r="E51" s="8" t="s">
        <v>306</v>
      </c>
    </row>
    <row r="52" spans="1:6" ht="15" customHeight="1" x14ac:dyDescent="0.3">
      <c r="A52" s="8">
        <v>7</v>
      </c>
      <c r="B52" s="6" t="s">
        <v>679</v>
      </c>
      <c r="C52" s="10">
        <v>227719.49</v>
      </c>
      <c r="D52" s="8" t="s">
        <v>107</v>
      </c>
      <c r="E52" s="8" t="s">
        <v>109</v>
      </c>
    </row>
    <row r="53" spans="1:6" ht="15" customHeight="1" x14ac:dyDescent="0.3">
      <c r="A53" s="8">
        <v>8</v>
      </c>
      <c r="B53" s="6" t="s">
        <v>566</v>
      </c>
      <c r="C53" s="10">
        <v>216754.9</v>
      </c>
      <c r="D53" s="8" t="s">
        <v>38</v>
      </c>
      <c r="E53" s="8" t="s">
        <v>23</v>
      </c>
    </row>
    <row r="54" spans="1:6" ht="15" customHeight="1" x14ac:dyDescent="0.3">
      <c r="A54" s="8">
        <v>9</v>
      </c>
      <c r="B54" s="6" t="s">
        <v>470</v>
      </c>
      <c r="C54" s="10">
        <v>194358.88135593201</v>
      </c>
      <c r="D54" s="8" t="s">
        <v>38</v>
      </c>
      <c r="E54" s="8" t="s">
        <v>49</v>
      </c>
    </row>
    <row r="55" spans="1:6" ht="15" customHeight="1" x14ac:dyDescent="0.3">
      <c r="A55" s="8">
        <v>10</v>
      </c>
      <c r="B55" s="6" t="s">
        <v>767</v>
      </c>
      <c r="C55" s="10">
        <v>34403.050000000003</v>
      </c>
      <c r="D55" s="8" t="s">
        <v>38</v>
      </c>
      <c r="E55" s="8" t="s">
        <v>23</v>
      </c>
    </row>
    <row r="56" spans="1:6" ht="15" customHeight="1" x14ac:dyDescent="0.3">
      <c r="A56" s="25"/>
      <c r="B56" s="25" t="s">
        <v>2003</v>
      </c>
      <c r="C56" s="26">
        <v>11925076.129660999</v>
      </c>
    </row>
    <row r="58" spans="1:6" ht="15" customHeight="1" x14ac:dyDescent="0.3">
      <c r="A58" s="77" t="s">
        <v>2004</v>
      </c>
      <c r="B58" s="77"/>
      <c r="C58" s="77"/>
      <c r="D58" s="77"/>
      <c r="E58" s="77"/>
      <c r="F58" s="77"/>
    </row>
    <row r="59" spans="1:6" ht="15" customHeight="1" x14ac:dyDescent="0.3">
      <c r="A59" s="7" t="s">
        <v>1898</v>
      </c>
      <c r="B59" s="7" t="s">
        <v>3</v>
      </c>
      <c r="C59" s="7" t="s">
        <v>1968</v>
      </c>
      <c r="D59" s="7" t="s">
        <v>1953</v>
      </c>
      <c r="E59" s="7" t="s">
        <v>2000</v>
      </c>
    </row>
    <row r="60" spans="1:6" ht="15" customHeight="1" x14ac:dyDescent="0.3">
      <c r="A60" s="8">
        <v>1</v>
      </c>
      <c r="B60" s="6" t="s">
        <v>1737</v>
      </c>
      <c r="C60" s="10">
        <v>10141560.130000001</v>
      </c>
      <c r="D60" s="8" t="s">
        <v>38</v>
      </c>
      <c r="E60" s="8" t="s">
        <v>306</v>
      </c>
    </row>
    <row r="61" spans="1:6" ht="15" customHeight="1" x14ac:dyDescent="0.3">
      <c r="A61" s="8">
        <v>2</v>
      </c>
      <c r="B61" s="6" t="s">
        <v>1658</v>
      </c>
      <c r="C61" s="10">
        <v>3632242.2295882101</v>
      </c>
      <c r="D61" s="8" t="s">
        <v>21</v>
      </c>
      <c r="E61" s="8" t="s">
        <v>306</v>
      </c>
    </row>
    <row r="62" spans="1:6" ht="15" customHeight="1" x14ac:dyDescent="0.3">
      <c r="A62" s="8">
        <v>3</v>
      </c>
      <c r="B62" s="6" t="s">
        <v>1622</v>
      </c>
      <c r="C62" s="10">
        <v>2949135.63</v>
      </c>
      <c r="D62" s="8" t="s">
        <v>38</v>
      </c>
      <c r="E62" s="8" t="s">
        <v>306</v>
      </c>
    </row>
    <row r="63" spans="1:6" ht="15" customHeight="1" x14ac:dyDescent="0.3">
      <c r="A63" s="8">
        <v>4</v>
      </c>
      <c r="B63" s="6" t="s">
        <v>1868</v>
      </c>
      <c r="C63" s="10">
        <v>2034100.57</v>
      </c>
      <c r="D63" s="8" t="s">
        <v>21</v>
      </c>
      <c r="E63" s="8" t="s">
        <v>141</v>
      </c>
    </row>
    <row r="64" spans="1:6" ht="15" customHeight="1" x14ac:dyDescent="0.3">
      <c r="A64" s="8">
        <v>5</v>
      </c>
      <c r="B64" s="6" t="s">
        <v>1747</v>
      </c>
      <c r="C64" s="10">
        <v>1460000</v>
      </c>
      <c r="D64" s="8" t="s">
        <v>21</v>
      </c>
      <c r="E64" s="8" t="s">
        <v>306</v>
      </c>
    </row>
    <row r="65" spans="1:5" ht="15" customHeight="1" x14ac:dyDescent="0.3">
      <c r="A65" s="8">
        <v>6</v>
      </c>
      <c r="B65" s="6" t="s">
        <v>1642</v>
      </c>
      <c r="C65" s="10">
        <v>905597.47</v>
      </c>
      <c r="D65" s="8" t="s">
        <v>38</v>
      </c>
      <c r="E65" s="8" t="s">
        <v>49</v>
      </c>
    </row>
    <row r="66" spans="1:5" ht="15" customHeight="1" x14ac:dyDescent="0.3">
      <c r="A66" s="8">
        <v>7</v>
      </c>
      <c r="B66" s="6" t="s">
        <v>1655</v>
      </c>
      <c r="C66" s="10">
        <v>853450.001694915</v>
      </c>
      <c r="D66" s="8" t="s">
        <v>21</v>
      </c>
      <c r="E66" s="8" t="s">
        <v>306</v>
      </c>
    </row>
    <row r="67" spans="1:5" ht="15" customHeight="1" x14ac:dyDescent="0.3">
      <c r="A67" s="8">
        <v>8</v>
      </c>
      <c r="B67" s="6" t="s">
        <v>1598</v>
      </c>
      <c r="C67" s="10">
        <v>508072.36</v>
      </c>
      <c r="D67" s="8" t="s">
        <v>38</v>
      </c>
      <c r="E67" s="8" t="s">
        <v>334</v>
      </c>
    </row>
    <row r="68" spans="1:5" ht="15" customHeight="1" x14ac:dyDescent="0.3">
      <c r="A68" s="8">
        <v>9</v>
      </c>
      <c r="B68" s="6" t="s">
        <v>1794</v>
      </c>
      <c r="C68" s="10">
        <v>455000</v>
      </c>
      <c r="D68" s="8" t="s">
        <v>21</v>
      </c>
      <c r="E68" s="8" t="s">
        <v>23</v>
      </c>
    </row>
    <row r="69" spans="1:5" ht="15" customHeight="1" x14ac:dyDescent="0.3">
      <c r="A69" s="8">
        <v>10</v>
      </c>
      <c r="B69" s="6" t="s">
        <v>1692</v>
      </c>
      <c r="C69" s="10">
        <v>427469.32</v>
      </c>
      <c r="D69" s="8" t="s">
        <v>107</v>
      </c>
      <c r="E69" s="8" t="s">
        <v>1718</v>
      </c>
    </row>
    <row r="70" spans="1:5" ht="15" customHeight="1" x14ac:dyDescent="0.3">
      <c r="A70" s="8">
        <v>11</v>
      </c>
      <c r="B70" s="6" t="s">
        <v>1618</v>
      </c>
      <c r="C70" s="10">
        <v>402750.71999999997</v>
      </c>
      <c r="D70" s="8" t="s">
        <v>38</v>
      </c>
      <c r="E70" s="8" t="s">
        <v>23</v>
      </c>
    </row>
    <row r="71" spans="1:5" ht="15" customHeight="1" x14ac:dyDescent="0.3">
      <c r="A71" s="8">
        <v>12</v>
      </c>
      <c r="B71" s="6" t="s">
        <v>1569</v>
      </c>
      <c r="C71" s="10">
        <v>321860.28000000003</v>
      </c>
      <c r="D71" s="8" t="s">
        <v>21</v>
      </c>
      <c r="E71" s="8" t="s">
        <v>306</v>
      </c>
    </row>
    <row r="72" spans="1:5" ht="15" customHeight="1" x14ac:dyDescent="0.3">
      <c r="A72" s="8">
        <v>13</v>
      </c>
      <c r="B72" s="6" t="s">
        <v>1694</v>
      </c>
      <c r="C72" s="10">
        <v>317796.61</v>
      </c>
      <c r="D72" s="8" t="s">
        <v>38</v>
      </c>
      <c r="E72" s="8" t="s">
        <v>1696</v>
      </c>
    </row>
    <row r="73" spans="1:5" ht="15" customHeight="1" x14ac:dyDescent="0.3">
      <c r="A73" s="8">
        <v>14</v>
      </c>
      <c r="B73" s="6" t="s">
        <v>1525</v>
      </c>
      <c r="C73" s="10">
        <v>256513.28</v>
      </c>
      <c r="D73" s="8" t="s">
        <v>21</v>
      </c>
      <c r="E73" s="8" t="s">
        <v>23</v>
      </c>
    </row>
    <row r="74" spans="1:5" ht="15" customHeight="1" x14ac:dyDescent="0.3">
      <c r="A74" s="8">
        <v>15</v>
      </c>
      <c r="B74" s="6" t="s">
        <v>1647</v>
      </c>
      <c r="C74" s="10">
        <v>226880.03</v>
      </c>
      <c r="D74" s="8" t="s">
        <v>38</v>
      </c>
      <c r="E74" s="8" t="s">
        <v>306</v>
      </c>
    </row>
    <row r="75" spans="1:5" ht="15" customHeight="1" x14ac:dyDescent="0.3">
      <c r="A75" s="8">
        <v>16</v>
      </c>
      <c r="B75" s="6" t="s">
        <v>1627</v>
      </c>
      <c r="C75" s="10">
        <v>222254</v>
      </c>
      <c r="D75" s="8" t="s">
        <v>38</v>
      </c>
      <c r="E75" s="8" t="s">
        <v>23</v>
      </c>
    </row>
    <row r="76" spans="1:5" ht="15" customHeight="1" x14ac:dyDescent="0.3">
      <c r="A76" s="8">
        <v>17</v>
      </c>
      <c r="B76" s="6" t="s">
        <v>1797</v>
      </c>
      <c r="C76" s="10">
        <v>206089.67</v>
      </c>
      <c r="D76" s="8" t="s">
        <v>21</v>
      </c>
      <c r="E76" s="8" t="s">
        <v>141</v>
      </c>
    </row>
    <row r="77" spans="1:5" ht="15" customHeight="1" x14ac:dyDescent="0.3">
      <c r="A77" s="8">
        <v>18</v>
      </c>
      <c r="B77" s="6" t="s">
        <v>1743</v>
      </c>
      <c r="C77" s="10">
        <v>203678.39</v>
      </c>
      <c r="D77" s="8" t="s">
        <v>38</v>
      </c>
      <c r="E77" s="8" t="s">
        <v>23</v>
      </c>
    </row>
    <row r="78" spans="1:5" ht="15" customHeight="1" x14ac:dyDescent="0.3">
      <c r="A78" s="8">
        <v>19</v>
      </c>
      <c r="B78" s="6" t="s">
        <v>1566</v>
      </c>
      <c r="C78" s="10">
        <v>189851.72</v>
      </c>
      <c r="D78" s="8" t="s">
        <v>107</v>
      </c>
      <c r="E78" s="8" t="s">
        <v>538</v>
      </c>
    </row>
    <row r="79" spans="1:5" ht="15" customHeight="1" x14ac:dyDescent="0.3">
      <c r="A79" s="8">
        <v>20</v>
      </c>
      <c r="B79" s="6" t="s">
        <v>1522</v>
      </c>
      <c r="C79" s="10">
        <v>175587.99</v>
      </c>
      <c r="D79" s="8" t="s">
        <v>107</v>
      </c>
      <c r="E79" s="8" t="s">
        <v>136</v>
      </c>
    </row>
    <row r="80" spans="1:5" ht="15" customHeight="1" x14ac:dyDescent="0.3">
      <c r="A80" s="8">
        <v>21</v>
      </c>
      <c r="B80" s="6" t="s">
        <v>1563</v>
      </c>
      <c r="C80" s="10">
        <v>117308</v>
      </c>
      <c r="D80" s="8" t="s">
        <v>107</v>
      </c>
      <c r="E80" s="8" t="s">
        <v>23</v>
      </c>
    </row>
    <row r="81" spans="1:6" ht="15" customHeight="1" x14ac:dyDescent="0.3">
      <c r="A81" s="8">
        <v>22</v>
      </c>
      <c r="B81" s="6" t="s">
        <v>1801</v>
      </c>
      <c r="C81" s="10">
        <v>110710</v>
      </c>
      <c r="D81" s="8" t="s">
        <v>21</v>
      </c>
      <c r="E81" s="8" t="s">
        <v>23</v>
      </c>
    </row>
    <row r="82" spans="1:6" ht="15" customHeight="1" x14ac:dyDescent="0.3">
      <c r="A82" s="8">
        <v>23</v>
      </c>
      <c r="B82" s="6" t="s">
        <v>1861</v>
      </c>
      <c r="C82" s="10">
        <v>106047.18</v>
      </c>
      <c r="D82" s="8" t="s">
        <v>38</v>
      </c>
      <c r="E82" s="8" t="s">
        <v>23</v>
      </c>
    </row>
    <row r="83" spans="1:6" ht="15" customHeight="1" x14ac:dyDescent="0.3">
      <c r="A83" s="8">
        <v>24</v>
      </c>
      <c r="B83" s="6" t="s">
        <v>1809</v>
      </c>
      <c r="C83" s="10">
        <v>101933.16</v>
      </c>
      <c r="D83" s="8" t="s">
        <v>107</v>
      </c>
      <c r="E83" s="8" t="s">
        <v>23</v>
      </c>
    </row>
    <row r="84" spans="1:6" ht="15" customHeight="1" x14ac:dyDescent="0.3">
      <c r="A84" s="8">
        <v>25</v>
      </c>
      <c r="B84" s="6" t="s">
        <v>1651</v>
      </c>
      <c r="C84" s="10">
        <v>99000</v>
      </c>
      <c r="D84" s="8" t="s">
        <v>107</v>
      </c>
      <c r="E84" s="8" t="s">
        <v>23</v>
      </c>
    </row>
    <row r="85" spans="1:6" ht="15" customHeight="1" x14ac:dyDescent="0.3">
      <c r="A85" s="8">
        <v>26</v>
      </c>
      <c r="B85" s="6" t="s">
        <v>1621</v>
      </c>
      <c r="C85" s="10">
        <v>96847.02</v>
      </c>
      <c r="D85" s="8" t="s">
        <v>38</v>
      </c>
      <c r="E85" s="8" t="s">
        <v>23</v>
      </c>
    </row>
    <row r="86" spans="1:6" ht="15" customHeight="1" x14ac:dyDescent="0.3">
      <c r="A86" s="8">
        <v>27</v>
      </c>
      <c r="B86" s="6" t="s">
        <v>1767</v>
      </c>
      <c r="C86" s="10">
        <v>61715.57</v>
      </c>
      <c r="D86" s="8" t="s">
        <v>21</v>
      </c>
      <c r="E86" s="8" t="s">
        <v>23</v>
      </c>
    </row>
    <row r="87" spans="1:6" ht="15" customHeight="1" x14ac:dyDescent="0.3">
      <c r="A87" s="8">
        <v>28</v>
      </c>
      <c r="B87" s="6" t="s">
        <v>1580</v>
      </c>
      <c r="C87" s="10">
        <v>43600.44</v>
      </c>
      <c r="D87" s="8" t="s">
        <v>38</v>
      </c>
      <c r="E87" s="8" t="s">
        <v>306</v>
      </c>
    </row>
    <row r="88" spans="1:6" ht="15" customHeight="1" x14ac:dyDescent="0.3">
      <c r="A88" s="8">
        <v>29</v>
      </c>
      <c r="B88" s="6" t="s">
        <v>1757</v>
      </c>
      <c r="C88" s="10">
        <v>43470</v>
      </c>
      <c r="D88" s="8" t="s">
        <v>107</v>
      </c>
      <c r="E88" s="8" t="s">
        <v>23</v>
      </c>
    </row>
    <row r="89" spans="1:6" ht="15" customHeight="1" x14ac:dyDescent="0.3">
      <c r="A89" s="8">
        <v>30</v>
      </c>
      <c r="B89" s="6" t="s">
        <v>1689</v>
      </c>
      <c r="C89" s="10">
        <v>33598.01</v>
      </c>
      <c r="D89" s="8" t="s">
        <v>21</v>
      </c>
      <c r="E89" s="8" t="s">
        <v>23</v>
      </c>
    </row>
    <row r="90" spans="1:6" ht="15" customHeight="1" x14ac:dyDescent="0.3">
      <c r="A90" s="8">
        <v>31</v>
      </c>
      <c r="B90" s="6" t="s">
        <v>1537</v>
      </c>
      <c r="C90" s="10">
        <v>25500</v>
      </c>
      <c r="D90" s="8" t="s">
        <v>38</v>
      </c>
      <c r="E90" s="8" t="s">
        <v>306</v>
      </c>
    </row>
    <row r="91" spans="1:6" ht="15" customHeight="1" x14ac:dyDescent="0.3">
      <c r="A91" s="8">
        <v>32</v>
      </c>
      <c r="B91" s="6" t="s">
        <v>1842</v>
      </c>
      <c r="C91" s="10">
        <v>17671.66</v>
      </c>
      <c r="D91" s="8" t="s">
        <v>38</v>
      </c>
      <c r="E91" s="8" t="s">
        <v>49</v>
      </c>
    </row>
    <row r="92" spans="1:6" ht="15" customHeight="1" x14ac:dyDescent="0.3">
      <c r="A92" s="8">
        <v>33</v>
      </c>
      <c r="B92" s="6" t="s">
        <v>1877</v>
      </c>
      <c r="C92" s="10">
        <v>2310</v>
      </c>
      <c r="D92" s="8" t="s">
        <v>38</v>
      </c>
      <c r="E92" s="8" t="s">
        <v>23</v>
      </c>
    </row>
    <row r="93" spans="1:6" ht="15" customHeight="1" x14ac:dyDescent="0.3">
      <c r="A93" s="8">
        <v>34</v>
      </c>
      <c r="B93" s="6" t="s">
        <v>1589</v>
      </c>
      <c r="C93" s="10">
        <v>2200</v>
      </c>
      <c r="D93" s="8" t="s">
        <v>38</v>
      </c>
      <c r="E93" s="8" t="s">
        <v>23</v>
      </c>
    </row>
    <row r="94" spans="1:6" ht="15" customHeight="1" x14ac:dyDescent="0.3">
      <c r="A94" s="25"/>
      <c r="B94" s="25" t="s">
        <v>2005</v>
      </c>
      <c r="C94" s="26">
        <v>26751801.441283099</v>
      </c>
    </row>
    <row r="96" spans="1:6" ht="15" customHeight="1" x14ac:dyDescent="0.3">
      <c r="A96" s="74" t="s">
        <v>2006</v>
      </c>
      <c r="B96" s="74"/>
      <c r="C96" s="74"/>
      <c r="D96" s="74"/>
      <c r="E96" s="74"/>
      <c r="F96" s="74"/>
    </row>
    <row r="97" spans="1:5" ht="15" customHeight="1" x14ac:dyDescent="0.3">
      <c r="A97" s="7" t="s">
        <v>1898</v>
      </c>
      <c r="B97" s="7" t="s">
        <v>3</v>
      </c>
      <c r="C97" s="7" t="s">
        <v>2007</v>
      </c>
      <c r="D97" s="7" t="s">
        <v>1965</v>
      </c>
      <c r="E97" s="7" t="s">
        <v>1953</v>
      </c>
    </row>
    <row r="98" spans="1:5" ht="15" customHeight="1" x14ac:dyDescent="0.3">
      <c r="A98" s="8">
        <v>1</v>
      </c>
      <c r="B98" s="6" t="s">
        <v>56</v>
      </c>
      <c r="C98" s="10">
        <v>2018854.1528813599</v>
      </c>
      <c r="D98" s="8">
        <v>2024</v>
      </c>
      <c r="E98" s="8" t="s">
        <v>21</v>
      </c>
    </row>
    <row r="99" spans="1:5" ht="15" customHeight="1" x14ac:dyDescent="0.3">
      <c r="A99" s="8">
        <v>2</v>
      </c>
      <c r="B99" s="6" t="s">
        <v>973</v>
      </c>
      <c r="C99" s="10">
        <v>1786003.51</v>
      </c>
      <c r="D99" s="8">
        <v>2024</v>
      </c>
      <c r="E99" s="8" t="s">
        <v>38</v>
      </c>
    </row>
    <row r="100" spans="1:5" ht="15" customHeight="1" x14ac:dyDescent="0.3">
      <c r="A100" s="8">
        <v>3</v>
      </c>
      <c r="B100" s="6" t="s">
        <v>1183</v>
      </c>
      <c r="C100" s="10">
        <v>1307823.4277966099</v>
      </c>
      <c r="D100" s="8">
        <v>2024</v>
      </c>
      <c r="E100" s="8" t="s">
        <v>38</v>
      </c>
    </row>
    <row r="101" spans="1:5" ht="15" customHeight="1" x14ac:dyDescent="0.3">
      <c r="A101" s="8">
        <v>4</v>
      </c>
      <c r="B101" s="6" t="s">
        <v>1299</v>
      </c>
      <c r="C101" s="10">
        <v>1136822.71474576</v>
      </c>
      <c r="D101" s="8">
        <v>2024</v>
      </c>
      <c r="E101" s="8" t="s">
        <v>38</v>
      </c>
    </row>
    <row r="102" spans="1:5" ht="15" customHeight="1" x14ac:dyDescent="0.3">
      <c r="A102" s="8">
        <v>5</v>
      </c>
      <c r="B102" s="6" t="s">
        <v>1233</v>
      </c>
      <c r="C102" s="10">
        <v>576750.25</v>
      </c>
      <c r="D102" s="8">
        <v>2024</v>
      </c>
      <c r="E102" s="8" t="s">
        <v>107</v>
      </c>
    </row>
    <row r="103" spans="1:5" ht="15" customHeight="1" x14ac:dyDescent="0.3">
      <c r="A103" s="8">
        <v>6</v>
      </c>
      <c r="B103" s="6" t="s">
        <v>28</v>
      </c>
      <c r="C103" s="10">
        <v>538363.61</v>
      </c>
      <c r="D103" s="8">
        <v>2024</v>
      </c>
      <c r="E103" s="8" t="s">
        <v>21</v>
      </c>
    </row>
    <row r="104" spans="1:5" ht="15" customHeight="1" x14ac:dyDescent="0.3">
      <c r="A104" s="8">
        <v>7</v>
      </c>
      <c r="B104" s="6" t="s">
        <v>1206</v>
      </c>
      <c r="C104" s="10">
        <v>517370</v>
      </c>
      <c r="D104" s="8">
        <v>2023</v>
      </c>
      <c r="E104" s="8" t="s">
        <v>107</v>
      </c>
    </row>
    <row r="105" spans="1:5" ht="15" customHeight="1" x14ac:dyDescent="0.3">
      <c r="A105" s="8">
        <v>8</v>
      </c>
      <c r="B105" s="6" t="s">
        <v>644</v>
      </c>
      <c r="C105" s="10">
        <v>399766.95</v>
      </c>
      <c r="D105" s="8">
        <v>2024</v>
      </c>
      <c r="E105" s="8" t="s">
        <v>107</v>
      </c>
    </row>
    <row r="106" spans="1:5" ht="15" customHeight="1" x14ac:dyDescent="0.3">
      <c r="A106" s="8">
        <v>9</v>
      </c>
      <c r="B106" s="6" t="s">
        <v>1323</v>
      </c>
      <c r="C106" s="10">
        <v>294669.89610169502</v>
      </c>
      <c r="D106" s="8">
        <v>2024</v>
      </c>
      <c r="E106" s="8" t="s">
        <v>21</v>
      </c>
    </row>
    <row r="107" spans="1:5" ht="15" customHeight="1" x14ac:dyDescent="0.3">
      <c r="A107" s="8">
        <v>10</v>
      </c>
      <c r="B107" s="6" t="s">
        <v>53</v>
      </c>
      <c r="C107" s="10">
        <v>219792</v>
      </c>
      <c r="D107" s="8">
        <v>2024</v>
      </c>
      <c r="E107" s="8" t="s">
        <v>21</v>
      </c>
    </row>
    <row r="108" spans="1:5" ht="15" customHeight="1" x14ac:dyDescent="0.3">
      <c r="A108" s="8">
        <v>11</v>
      </c>
      <c r="B108" s="6" t="s">
        <v>779</v>
      </c>
      <c r="C108" s="10">
        <v>209899.57</v>
      </c>
      <c r="D108" s="8">
        <v>2024</v>
      </c>
      <c r="E108" s="8" t="s">
        <v>38</v>
      </c>
    </row>
    <row r="109" spans="1:5" ht="15" customHeight="1" x14ac:dyDescent="0.3">
      <c r="A109" s="8">
        <v>12</v>
      </c>
      <c r="B109" s="6" t="s">
        <v>1421</v>
      </c>
      <c r="C109" s="10">
        <v>205000</v>
      </c>
      <c r="D109" s="8">
        <v>2024</v>
      </c>
      <c r="E109" s="8" t="s">
        <v>107</v>
      </c>
    </row>
    <row r="110" spans="1:5" ht="15" customHeight="1" x14ac:dyDescent="0.3">
      <c r="A110" s="8">
        <v>13</v>
      </c>
      <c r="B110" s="6" t="s">
        <v>1406</v>
      </c>
      <c r="C110" s="10">
        <v>141328.98000000001</v>
      </c>
      <c r="D110" s="8">
        <v>2024</v>
      </c>
      <c r="E110" s="8" t="s">
        <v>21</v>
      </c>
    </row>
    <row r="111" spans="1:5" ht="15" customHeight="1" x14ac:dyDescent="0.3">
      <c r="A111" s="8">
        <v>14</v>
      </c>
      <c r="B111" s="6" t="s">
        <v>601</v>
      </c>
      <c r="C111" s="10">
        <v>49535.28</v>
      </c>
      <c r="D111" s="8">
        <v>2024</v>
      </c>
      <c r="E111" s="8" t="s">
        <v>107</v>
      </c>
    </row>
    <row r="112" spans="1:5" ht="15" customHeight="1" x14ac:dyDescent="0.3">
      <c r="A112" s="8">
        <v>15</v>
      </c>
      <c r="B112" s="6" t="s">
        <v>1203</v>
      </c>
      <c r="C112" s="10">
        <v>40120.239999999998</v>
      </c>
      <c r="D112" s="8">
        <v>2023</v>
      </c>
      <c r="E112" s="8" t="s">
        <v>21</v>
      </c>
    </row>
    <row r="113" spans="1:5" ht="15" customHeight="1" x14ac:dyDescent="0.3">
      <c r="A113" s="8">
        <v>16</v>
      </c>
      <c r="B113" s="6" t="s">
        <v>1026</v>
      </c>
      <c r="C113" s="10">
        <v>29053.66</v>
      </c>
      <c r="D113" s="8">
        <v>2024</v>
      </c>
      <c r="E113" s="8" t="s">
        <v>107</v>
      </c>
    </row>
    <row r="114" spans="1:5" ht="15" customHeight="1" x14ac:dyDescent="0.3">
      <c r="A114" s="8">
        <v>17</v>
      </c>
      <c r="B114" s="6" t="s">
        <v>596</v>
      </c>
      <c r="C114" s="10">
        <v>25117.56</v>
      </c>
      <c r="D114" s="8">
        <v>2023</v>
      </c>
      <c r="E114" s="8" t="s">
        <v>38</v>
      </c>
    </row>
    <row r="115" spans="1:5" ht="15" customHeight="1" x14ac:dyDescent="0.3">
      <c r="A115" s="8">
        <v>18</v>
      </c>
      <c r="B115" s="6" t="s">
        <v>773</v>
      </c>
      <c r="C115" s="10">
        <v>17534.3</v>
      </c>
      <c r="D115" s="8">
        <v>2023</v>
      </c>
      <c r="E115" s="8" t="s">
        <v>38</v>
      </c>
    </row>
    <row r="116" spans="1:5" ht="15" customHeight="1" x14ac:dyDescent="0.3">
      <c r="A116" s="8">
        <v>19</v>
      </c>
      <c r="B116" s="6" t="s">
        <v>1280</v>
      </c>
      <c r="C116" s="10">
        <v>17106.07</v>
      </c>
      <c r="D116" s="8">
        <v>2023</v>
      </c>
      <c r="E116" s="8" t="s">
        <v>107</v>
      </c>
    </row>
    <row r="117" spans="1:5" ht="15" customHeight="1" x14ac:dyDescent="0.3">
      <c r="A117" s="8">
        <v>20</v>
      </c>
      <c r="B117" s="6" t="s">
        <v>776</v>
      </c>
      <c r="C117" s="10">
        <v>10750</v>
      </c>
      <c r="D117" s="8">
        <v>2023</v>
      </c>
      <c r="E117" s="8" t="s">
        <v>38</v>
      </c>
    </row>
    <row r="118" spans="1:5" ht="15" customHeight="1" x14ac:dyDescent="0.3">
      <c r="A118" s="8">
        <v>21</v>
      </c>
      <c r="B118" s="6" t="s">
        <v>1132</v>
      </c>
      <c r="C118" s="10">
        <v>6782.81</v>
      </c>
      <c r="D118" s="8">
        <v>2023</v>
      </c>
      <c r="E118" s="8" t="s">
        <v>107</v>
      </c>
    </row>
    <row r="119" spans="1:5" ht="15" customHeight="1" x14ac:dyDescent="0.3">
      <c r="A119" s="8">
        <v>22</v>
      </c>
      <c r="B119" s="6" t="s">
        <v>1480</v>
      </c>
      <c r="C119" s="10">
        <v>4163</v>
      </c>
      <c r="D119" s="8">
        <v>2024</v>
      </c>
      <c r="E119" s="8" t="s">
        <v>107</v>
      </c>
    </row>
    <row r="120" spans="1:5" ht="15" customHeight="1" x14ac:dyDescent="0.3">
      <c r="A120" s="8">
        <v>23</v>
      </c>
      <c r="B120" s="6" t="s">
        <v>1473</v>
      </c>
      <c r="C120" s="10">
        <v>3101</v>
      </c>
      <c r="D120" s="8">
        <v>2024</v>
      </c>
      <c r="E120" s="8" t="s">
        <v>21</v>
      </c>
    </row>
    <row r="121" spans="1:5" ht="15" customHeight="1" x14ac:dyDescent="0.3">
      <c r="A121" s="8">
        <v>24</v>
      </c>
      <c r="B121" s="6" t="s">
        <v>864</v>
      </c>
      <c r="C121" s="10">
        <v>2513.81</v>
      </c>
      <c r="D121" s="8">
        <v>2024</v>
      </c>
      <c r="E121" s="8" t="s">
        <v>107</v>
      </c>
    </row>
    <row r="122" spans="1:5" ht="15" customHeight="1" x14ac:dyDescent="0.3">
      <c r="A122" s="8">
        <v>25</v>
      </c>
      <c r="B122" s="6" t="s">
        <v>1340</v>
      </c>
      <c r="C122" s="10">
        <v>2500</v>
      </c>
      <c r="D122" s="8">
        <v>2024</v>
      </c>
      <c r="E122" s="8" t="s">
        <v>107</v>
      </c>
    </row>
    <row r="123" spans="1:5" ht="15" customHeight="1" x14ac:dyDescent="0.3">
      <c r="A123" s="8">
        <v>26</v>
      </c>
      <c r="B123" s="6" t="s">
        <v>1113</v>
      </c>
      <c r="C123" s="10">
        <v>2170</v>
      </c>
      <c r="D123" s="8">
        <v>2023</v>
      </c>
      <c r="E123" s="8" t="s">
        <v>21</v>
      </c>
    </row>
    <row r="124" spans="1:5" ht="15" customHeight="1" x14ac:dyDescent="0.3">
      <c r="A124" s="8">
        <v>27</v>
      </c>
      <c r="B124" s="6" t="s">
        <v>1293</v>
      </c>
      <c r="C124" s="10">
        <v>1250</v>
      </c>
      <c r="D124" s="8">
        <v>2023</v>
      </c>
      <c r="E124" s="8" t="s">
        <v>21</v>
      </c>
    </row>
    <row r="125" spans="1:5" ht="15" customHeight="1" x14ac:dyDescent="0.3">
      <c r="A125" s="8">
        <v>28</v>
      </c>
      <c r="B125" s="6" t="s">
        <v>1054</v>
      </c>
      <c r="C125" s="10">
        <v>1200</v>
      </c>
      <c r="D125" s="8">
        <v>2024</v>
      </c>
      <c r="E125" s="8" t="s">
        <v>21</v>
      </c>
    </row>
    <row r="126" spans="1:5" ht="15" customHeight="1" x14ac:dyDescent="0.3">
      <c r="A126" s="8">
        <v>29</v>
      </c>
      <c r="B126" s="6" t="s">
        <v>59</v>
      </c>
      <c r="C126" s="10">
        <v>970</v>
      </c>
      <c r="D126" s="8">
        <v>2023</v>
      </c>
      <c r="E126" s="8" t="s">
        <v>21</v>
      </c>
    </row>
    <row r="127" spans="1:5" ht="15" customHeight="1" x14ac:dyDescent="0.3">
      <c r="A127" s="8">
        <v>30</v>
      </c>
      <c r="B127" s="6" t="s">
        <v>685</v>
      </c>
      <c r="C127" s="10">
        <v>900</v>
      </c>
      <c r="D127" s="8">
        <v>2023</v>
      </c>
      <c r="E127" s="8" t="s">
        <v>38</v>
      </c>
    </row>
    <row r="128" spans="1:5" ht="15" customHeight="1" x14ac:dyDescent="0.3">
      <c r="A128" s="8">
        <v>31</v>
      </c>
      <c r="B128" s="6" t="s">
        <v>1277</v>
      </c>
      <c r="C128" s="10">
        <v>652.5</v>
      </c>
      <c r="D128" s="8">
        <v>2024</v>
      </c>
      <c r="E128" s="8" t="s">
        <v>107</v>
      </c>
    </row>
    <row r="129" spans="1:5" ht="15" customHeight="1" x14ac:dyDescent="0.3">
      <c r="A129" s="8">
        <v>32</v>
      </c>
      <c r="B129" s="6" t="s">
        <v>283</v>
      </c>
      <c r="C129" s="10">
        <v>540</v>
      </c>
      <c r="D129" s="8">
        <v>2023</v>
      </c>
      <c r="E129" s="8" t="s">
        <v>21</v>
      </c>
    </row>
    <row r="130" spans="1:5" ht="15" customHeight="1" x14ac:dyDescent="0.3">
      <c r="A130" s="8">
        <v>33</v>
      </c>
      <c r="B130" s="6" t="s">
        <v>224</v>
      </c>
      <c r="C130" s="10">
        <v>440</v>
      </c>
      <c r="D130" s="8">
        <v>2024</v>
      </c>
      <c r="E130" s="8" t="s">
        <v>21</v>
      </c>
    </row>
    <row r="131" spans="1:5" ht="15" customHeight="1" x14ac:dyDescent="0.3">
      <c r="A131" s="25"/>
      <c r="B131" s="25" t="s">
        <v>2008</v>
      </c>
      <c r="C131" s="26">
        <v>9568845.2915254291</v>
      </c>
    </row>
  </sheetData>
  <mergeCells count="6">
    <mergeCell ref="A96:F96"/>
    <mergeCell ref="A1:F1"/>
    <mergeCell ref="A2:F2"/>
    <mergeCell ref="A11:F11"/>
    <mergeCell ref="A44:F44"/>
    <mergeCell ref="A58:F5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2"/>
  <sheetViews>
    <sheetView topLeftCell="A43" zoomScaleNormal="100" workbookViewId="0">
      <selection activeCell="J14" sqref="J14"/>
    </sheetView>
  </sheetViews>
  <sheetFormatPr baseColWidth="10" defaultColWidth="8.6640625" defaultRowHeight="14.4" x14ac:dyDescent="0.3"/>
  <cols>
    <col min="1" max="1" width="14" customWidth="1"/>
    <col min="2" max="2" width="12" customWidth="1"/>
    <col min="3" max="15" width="13" customWidth="1"/>
  </cols>
  <sheetData>
    <row r="1" spans="1:6" ht="15" customHeight="1" x14ac:dyDescent="0.3">
      <c r="A1" s="69" t="s">
        <v>2009</v>
      </c>
      <c r="B1" s="69"/>
      <c r="C1" s="69"/>
      <c r="D1" s="69"/>
      <c r="E1" s="69"/>
      <c r="F1" s="69"/>
    </row>
    <row r="3" spans="1:6" ht="23.25" customHeight="1" x14ac:dyDescent="0.3">
      <c r="A3" s="7" t="s">
        <v>0</v>
      </c>
      <c r="B3" s="7" t="s">
        <v>1953</v>
      </c>
      <c r="C3" s="7" t="s">
        <v>1958</v>
      </c>
      <c r="D3" s="7" t="s">
        <v>1949</v>
      </c>
      <c r="E3" s="7" t="s">
        <v>2010</v>
      </c>
    </row>
    <row r="4" spans="1:6" ht="15" customHeight="1" x14ac:dyDescent="0.3">
      <c r="A4" s="9">
        <v>2021</v>
      </c>
      <c r="B4" s="44" t="s">
        <v>2011</v>
      </c>
      <c r="C4" s="10">
        <v>4489914.3573563704</v>
      </c>
      <c r="D4" s="17">
        <f>IFERROR(SUMIFS('Data Cruda'!$P$2:$P$1801,'Data Cruda'!$A$2:$A$1801,2021,'Data Cruda'!$G$2:$G$1801,"CENTRO")/SUMIFS('Data Cruda'!$K$2:$K$1801,'Data Cruda'!$A$2:$A$1801,2021,'Data Cruda'!$G$2:$G$1801,"CENTRO"),0)</f>
        <v>0.15006526599110651</v>
      </c>
      <c r="E4" s="17">
        <v>0.22106325538416699</v>
      </c>
    </row>
    <row r="5" spans="1:6" ht="15" customHeight="1" x14ac:dyDescent="0.3">
      <c r="A5" s="9">
        <v>2021</v>
      </c>
      <c r="B5" s="45" t="s">
        <v>2012</v>
      </c>
      <c r="C5" s="10">
        <v>9124292.2274844106</v>
      </c>
      <c r="D5" s="17">
        <f>IFERROR(SUMIFS('Data Cruda'!$P$2:$P$1801,'Data Cruda'!$A$2:$A$1801,2021,'Data Cruda'!$G$2:$G$1801,"NORTE")/SUMIFS('Data Cruda'!$K$2:$K$1801,'Data Cruda'!$A$2:$A$1801,2021,'Data Cruda'!$G$2:$G$1801,"NORTE"),0)</f>
        <v>0.11767554031089446</v>
      </c>
      <c r="E5" s="17">
        <v>0.44923924653025699</v>
      </c>
    </row>
    <row r="6" spans="1:6" ht="15" customHeight="1" x14ac:dyDescent="0.3">
      <c r="A6" s="9">
        <v>2021</v>
      </c>
      <c r="B6" s="46" t="s">
        <v>2013</v>
      </c>
      <c r="C6" s="10">
        <v>6696334.6200000001</v>
      </c>
      <c r="D6" s="17">
        <f>IFERROR(SUMIFS('Data Cruda'!$P$2:$P$1801,'Data Cruda'!$A$2:$A$1801,2021,'Data Cruda'!$G$2:$G$1801,"SUR")/SUMIFS('Data Cruda'!$K$2:$K$1801,'Data Cruda'!$A$2:$A$1801,2021,'Data Cruda'!$G$2:$G$1801,"SUR"),0)</f>
        <v>0.14644849193955067</v>
      </c>
      <c r="E6" s="17">
        <v>0.32969749808557602</v>
      </c>
    </row>
    <row r="7" spans="1:6" ht="15" customHeight="1" x14ac:dyDescent="0.3">
      <c r="A7" s="25" t="s">
        <v>2014</v>
      </c>
      <c r="B7" s="25"/>
      <c r="C7" s="26">
        <v>20310541.204840802</v>
      </c>
      <c r="D7" s="27">
        <f>IFERROR(SUMIFS('Data Cruda'!$P$2:$P$1801,'Data Cruda'!$A$2:$A$1801,2021)/SUMIFS('Data Cruda'!$K$2:$K$1801,'Data Cruda'!$A$2:$A$1801,2021),0)</f>
        <v>0.13432208867526749</v>
      </c>
      <c r="E7" s="27">
        <v>1</v>
      </c>
    </row>
    <row r="8" spans="1:6" ht="15" customHeight="1" x14ac:dyDescent="0.3">
      <c r="A8" s="9">
        <v>2022</v>
      </c>
      <c r="B8" s="44" t="s">
        <v>2011</v>
      </c>
      <c r="C8" s="10">
        <v>6626687.1277966099</v>
      </c>
      <c r="D8" s="17">
        <f>IFERROR(SUMIFS('Data Cruda'!$P$2:$P$1801,'Data Cruda'!$A$2:$A$1801,2022,'Data Cruda'!$G$2:$G$1801,"CENTRO")/SUMIFS('Data Cruda'!$K$2:$K$1801,'Data Cruda'!$A$2:$A$1801,2022,'Data Cruda'!$G$2:$G$1801,"CENTRO"),0)</f>
        <v>0.12114727480229398</v>
      </c>
      <c r="E8" s="17">
        <v>0.19960042510048401</v>
      </c>
    </row>
    <row r="9" spans="1:6" ht="15" customHeight="1" x14ac:dyDescent="0.3">
      <c r="A9" s="9">
        <v>2022</v>
      </c>
      <c r="B9" s="45" t="s">
        <v>2012</v>
      </c>
      <c r="C9" s="10">
        <v>13676855.869999999</v>
      </c>
      <c r="D9" s="17">
        <f>IFERROR(SUMIFS('Data Cruda'!$P$2:$P$1801,'Data Cruda'!$A$2:$A$1801,2022,'Data Cruda'!$G$2:$G$1801,"NORTE")/SUMIFS('Data Cruda'!$K$2:$K$1801,'Data Cruda'!$A$2:$A$1801,2022,'Data Cruda'!$G$2:$G$1801,"NORTE"),0)</f>
        <v>0.1583404633041586</v>
      </c>
      <c r="E9" s="17">
        <v>0.41195641095518898</v>
      </c>
    </row>
    <row r="10" spans="1:6" ht="15" customHeight="1" x14ac:dyDescent="0.3">
      <c r="A10" s="9">
        <v>2022</v>
      </c>
      <c r="B10" s="46" t="s">
        <v>2013</v>
      </c>
      <c r="C10" s="10">
        <v>12896221.6042105</v>
      </c>
      <c r="D10" s="17">
        <f>IFERROR(SUMIFS('Data Cruda'!$P$2:$P$1801,'Data Cruda'!$A$2:$A$1801,2022,'Data Cruda'!$G$2:$G$1801,"SUR")/SUMIFS('Data Cruda'!$K$2:$K$1801,'Data Cruda'!$A$2:$A$1801,2022,'Data Cruda'!$G$2:$G$1801,"SUR"),0)</f>
        <v>0.13286800161142656</v>
      </c>
      <c r="E10" s="17">
        <v>0.38844316394432699</v>
      </c>
    </row>
    <row r="11" spans="1:6" ht="15" customHeight="1" x14ac:dyDescent="0.3">
      <c r="A11" s="25" t="s">
        <v>2015</v>
      </c>
      <c r="B11" s="25"/>
      <c r="C11" s="26">
        <v>33199764.602007098</v>
      </c>
      <c r="D11" s="27">
        <f>IFERROR(SUMIFS('Data Cruda'!$P$2:$P$1801,'Data Cruda'!$A$2:$A$1801,2022)/SUMIFS('Data Cruda'!$K$2:$K$1801,'Data Cruda'!$A$2:$A$1801,2022),0)</f>
        <v>0.14102208345496853</v>
      </c>
      <c r="E11" s="27">
        <v>1</v>
      </c>
    </row>
    <row r="12" spans="1:6" ht="15" customHeight="1" x14ac:dyDescent="0.3">
      <c r="A12" s="9">
        <v>2023</v>
      </c>
      <c r="B12" s="44" t="s">
        <v>2011</v>
      </c>
      <c r="C12" s="10">
        <v>1686953.08</v>
      </c>
      <c r="D12" s="17">
        <f>IFERROR(SUMIFS('Data Cruda'!$P$2:$P$1801,'Data Cruda'!$A$2:$A$1801,2023,'Data Cruda'!$G$2:$G$1801,"CENTRO")/SUMIFS('Data Cruda'!$K$2:$K$1801,'Data Cruda'!$A$2:$A$1801,2023,'Data Cruda'!$G$2:$G$1801,"CENTRO"),0)</f>
        <v>0.17962440459121204</v>
      </c>
      <c r="E12" s="17">
        <v>0.110334993845596</v>
      </c>
    </row>
    <row r="13" spans="1:6" ht="15" customHeight="1" x14ac:dyDescent="0.3">
      <c r="A13" s="9">
        <v>2023</v>
      </c>
      <c r="B13" s="45" t="s">
        <v>2012</v>
      </c>
      <c r="C13" s="10">
        <v>6966480.7079661004</v>
      </c>
      <c r="D13" s="17">
        <f>IFERROR(SUMIFS('Data Cruda'!$P$2:$P$1801,'Data Cruda'!$A$2:$A$1801,2023,'Data Cruda'!$G$2:$G$1801,"NORTE")/SUMIFS('Data Cruda'!$K$2:$K$1801,'Data Cruda'!$A$2:$A$1801,2023,'Data Cruda'!$G$2:$G$1801,"NORTE"),0)</f>
        <v>0.17152289887685043</v>
      </c>
      <c r="E13" s="17">
        <v>0.455641958956501</v>
      </c>
    </row>
    <row r="14" spans="1:6" ht="15" customHeight="1" x14ac:dyDescent="0.3">
      <c r="A14" s="9">
        <v>2023</v>
      </c>
      <c r="B14" s="46" t="s">
        <v>2013</v>
      </c>
      <c r="C14" s="10">
        <v>6635941.0622354597</v>
      </c>
      <c r="D14" s="17">
        <f>IFERROR(SUMIFS('Data Cruda'!$P$2:$P$1801,'Data Cruda'!$A$2:$A$1801,2023,'Data Cruda'!$G$2:$G$1801,"SUR")/SUMIFS('Data Cruda'!$K$2:$K$1801,'Data Cruda'!$A$2:$A$1801,2023,'Data Cruda'!$G$2:$G$1801,"SUR"),0)</f>
        <v>0.16806804890824187</v>
      </c>
      <c r="E14" s="17">
        <v>0.43402304719790302</v>
      </c>
    </row>
    <row r="15" spans="1:6" ht="15" customHeight="1" x14ac:dyDescent="0.3">
      <c r="A15" s="25" t="s">
        <v>2016</v>
      </c>
      <c r="B15" s="25"/>
      <c r="C15" s="26">
        <v>15289374.850201599</v>
      </c>
      <c r="D15" s="27">
        <f>IFERROR(SUMIFS('Data Cruda'!$P$2:$P$1801,'Data Cruda'!$A$2:$A$1801,2023)/SUMIFS('Data Cruda'!$K$2:$K$1801,'Data Cruda'!$A$2:$A$1801,2023),0)</f>
        <v>0.17091729394899738</v>
      </c>
      <c r="E15" s="27">
        <v>1</v>
      </c>
    </row>
    <row r="16" spans="1:6" ht="15" customHeight="1" x14ac:dyDescent="0.3">
      <c r="A16" s="9">
        <v>2024</v>
      </c>
      <c r="B16" s="44" t="s">
        <v>2011</v>
      </c>
      <c r="C16" s="10">
        <v>2668843.0303389798</v>
      </c>
      <c r="D16" s="17">
        <f>IFERROR(SUMIFS('Data Cruda'!$P$2:$P$1801,'Data Cruda'!$A$2:$A$1801,2024,'Data Cruda'!$G$2:$G$1801,"CENTRO")/SUMIFS('Data Cruda'!$K$2:$K$1801,'Data Cruda'!$A$2:$A$1801,2024,'Data Cruda'!$G$2:$G$1801,"CENTRO"),0)</f>
        <v>0.16365261802022329</v>
      </c>
      <c r="E16" s="17">
        <v>0.172727799922585</v>
      </c>
    </row>
    <row r="17" spans="1:15" ht="15" customHeight="1" x14ac:dyDescent="0.3">
      <c r="A17" s="9">
        <v>2024</v>
      </c>
      <c r="B17" s="45" t="s">
        <v>2012</v>
      </c>
      <c r="C17" s="10">
        <v>6253794.6193220299</v>
      </c>
      <c r="D17" s="17">
        <f>IFERROR(SUMIFS('Data Cruda'!$P$2:$P$1801,'Data Cruda'!$A$2:$A$1801,2024,'Data Cruda'!$G$2:$G$1801,"NORTE")/SUMIFS('Data Cruda'!$K$2:$K$1801,'Data Cruda'!$A$2:$A$1801,2024,'Data Cruda'!$G$2:$G$1801,"NORTE"),0)</f>
        <v>0.14167195765633389</v>
      </c>
      <c r="E17" s="17">
        <v>0.40474624152998401</v>
      </c>
    </row>
    <row r="18" spans="1:15" ht="15" customHeight="1" x14ac:dyDescent="0.3">
      <c r="A18" s="9">
        <v>2024</v>
      </c>
      <c r="B18" s="46" t="s">
        <v>2013</v>
      </c>
      <c r="C18" s="10">
        <v>6528511.6820339002</v>
      </c>
      <c r="D18" s="17">
        <f>IFERROR(SUMIFS('Data Cruda'!$P$2:$P$1801,'Data Cruda'!$A$2:$A$1801,2024,'Data Cruda'!$G$2:$G$1801,"SUR")/SUMIFS('Data Cruda'!$K$2:$K$1801,'Data Cruda'!$A$2:$A$1801,2024,'Data Cruda'!$G$2:$G$1801,"SUR"),0)</f>
        <v>0.15949724756800912</v>
      </c>
      <c r="E18" s="17">
        <v>0.42252595854743202</v>
      </c>
    </row>
    <row r="19" spans="1:15" ht="15" customHeight="1" x14ac:dyDescent="0.3">
      <c r="A19" s="25" t="s">
        <v>2017</v>
      </c>
      <c r="B19" s="25"/>
      <c r="C19" s="26">
        <v>15451149.331694899</v>
      </c>
      <c r="D19" s="27">
        <f>IFERROR(SUMIFS('Data Cruda'!$P$2:$P$1801,'Data Cruda'!$A$2:$A$1801,2024)/SUMIFS('Data Cruda'!$K$2:$K$1801,'Data Cruda'!$A$2:$A$1801,2024),0)</f>
        <v>0.15300027646815043</v>
      </c>
      <c r="E19" s="27">
        <v>1</v>
      </c>
    </row>
    <row r="20" spans="1:15" ht="15" customHeight="1" x14ac:dyDescent="0.3">
      <c r="A20" s="9">
        <v>2025</v>
      </c>
      <c r="B20" s="44" t="s">
        <v>2011</v>
      </c>
      <c r="C20" s="10">
        <v>1710978.05</v>
      </c>
      <c r="D20" s="17">
        <f>IFERROR(SUMIFS('Data Cruda'!$P$2:$P$1801,'Data Cruda'!$A$2:$A$1801,2025,'Data Cruda'!$G$2:$G$1801,"CENTRO")/SUMIFS('Data Cruda'!$K$2:$K$1801,'Data Cruda'!$A$2:$A$1801,2025,'Data Cruda'!$G$2:$G$1801,"CENTRO"),0)</f>
        <v>0.14790440843923849</v>
      </c>
      <c r="E20" s="17">
        <v>4.89461658316288E-2</v>
      </c>
    </row>
    <row r="21" spans="1:15" ht="15" customHeight="1" x14ac:dyDescent="0.3">
      <c r="A21" s="9">
        <v>2025</v>
      </c>
      <c r="B21" s="45" t="s">
        <v>2012</v>
      </c>
      <c r="C21" s="10">
        <v>22237406.567343101</v>
      </c>
      <c r="D21" s="17">
        <f>IFERROR(SUMIFS('Data Cruda'!$P$2:$P$1801,'Data Cruda'!$A$2:$A$1801,2025,'Data Cruda'!$G$2:$G$1801,"NORTE")/SUMIFS('Data Cruda'!$K$2:$K$1801,'Data Cruda'!$A$2:$A$1801,2025,'Data Cruda'!$G$2:$G$1801,"NORTE"),0)</f>
        <v>0.16727909814864891</v>
      </c>
      <c r="E21" s="17">
        <v>0.63614830681815504</v>
      </c>
    </row>
    <row r="22" spans="1:15" ht="15" customHeight="1" x14ac:dyDescent="0.3">
      <c r="A22" s="9">
        <v>2025</v>
      </c>
      <c r="B22" s="46" t="s">
        <v>2013</v>
      </c>
      <c r="C22" s="10">
        <v>11007939.763317</v>
      </c>
      <c r="D22" s="17">
        <f>IFERROR(SUMIFS('Data Cruda'!$P$2:$P$1801,'Data Cruda'!$A$2:$A$1801,2025,'Data Cruda'!$G$2:$G$1801,"SUR")/SUMIFS('Data Cruda'!$K$2:$K$1801,'Data Cruda'!$A$2:$A$1801,2025,'Data Cruda'!$G$2:$G$1801,"SUR"),0)</f>
        <v>0.15024433691138195</v>
      </c>
      <c r="E22" s="17">
        <v>0.31490552735021698</v>
      </c>
    </row>
    <row r="23" spans="1:15" ht="15" customHeight="1" x14ac:dyDescent="0.3">
      <c r="A23" s="25" t="s">
        <v>2018</v>
      </c>
      <c r="B23" s="25"/>
      <c r="C23" s="26">
        <v>34956324.380660199</v>
      </c>
      <c r="D23" s="27">
        <f>IFERROR(SUMIFS('Data Cruda'!$P$2:$P$1801,'Data Cruda'!$A$2:$A$1801,2025)/SUMIFS('Data Cruda'!$K$2:$K$1801,'Data Cruda'!$A$2:$A$1801,2025),0)</f>
        <v>0.16103776966091815</v>
      </c>
      <c r="E23" s="27">
        <v>1</v>
      </c>
    </row>
    <row r="24" spans="1:15" ht="15" customHeight="1" x14ac:dyDescent="0.3">
      <c r="A24" s="9">
        <v>2026</v>
      </c>
      <c r="B24" s="44" t="s">
        <v>2011</v>
      </c>
      <c r="C24" s="10">
        <v>1525584.58</v>
      </c>
      <c r="D24" s="17">
        <f>IFERROR(SUMIFS('Data Cruda'!$P$2:$P$1801,'Data Cruda'!$A$2:$A$1801,2026,'Data Cruda'!$G$2:$G$1801,"CENTRO")/SUMIFS('Data Cruda'!$K$2:$K$1801,'Data Cruda'!$A$2:$A$1801,2026,'Data Cruda'!$G$2:$G$1801,"CENTRO"),0)</f>
        <v>0.1783847671035062</v>
      </c>
      <c r="E24" s="17">
        <v>5.39826294987132E-2</v>
      </c>
    </row>
    <row r="25" spans="1:15" ht="15" customHeight="1" x14ac:dyDescent="0.3">
      <c r="A25" s="9">
        <v>2026</v>
      </c>
      <c r="B25" s="45" t="s">
        <v>2012</v>
      </c>
      <c r="C25" s="10">
        <v>17071545.75</v>
      </c>
      <c r="D25" s="17">
        <f>IFERROR(SUMIFS('Data Cruda'!$P$2:$P$1801,'Data Cruda'!$A$2:$A$1801,2026,'Data Cruda'!$G$2:$G$1801,"NORTE")/SUMIFS('Data Cruda'!$K$2:$K$1801,'Data Cruda'!$A$2:$A$1801,2026,'Data Cruda'!$G$2:$G$1801,"NORTE"),0)</f>
        <v>0.1439574663003203</v>
      </c>
      <c r="E25" s="17">
        <v>0.604074622458875</v>
      </c>
    </row>
    <row r="26" spans="1:15" ht="15" customHeight="1" x14ac:dyDescent="0.3">
      <c r="A26" s="9">
        <v>2026</v>
      </c>
      <c r="B26" s="46" t="s">
        <v>2013</v>
      </c>
      <c r="C26" s="10">
        <v>9663526.7400000002</v>
      </c>
      <c r="D26" s="17">
        <f>IFERROR(SUMIFS('Data Cruda'!$P$2:$P$1801,'Data Cruda'!$A$2:$A$1801,2026,'Data Cruda'!$G$2:$G$1801,"SUR")/SUMIFS('Data Cruda'!$K$2:$K$1801,'Data Cruda'!$A$2:$A$1801,2026,'Data Cruda'!$G$2:$G$1801,"SUR"),0)</f>
        <v>0.16542355363731323</v>
      </c>
      <c r="E26" s="17">
        <v>0.34194274804241098</v>
      </c>
    </row>
    <row r="27" spans="1:15" ht="15" customHeight="1" x14ac:dyDescent="0.3">
      <c r="A27" s="25" t="s">
        <v>2019</v>
      </c>
      <c r="B27" s="25"/>
      <c r="C27" s="26">
        <v>28260657.07</v>
      </c>
      <c r="D27" s="27">
        <f>IFERROR(SUMIFS('Data Cruda'!$P$2:$P$1801,'Data Cruda'!$A$2:$A$1801,2026)/SUMIFS('Data Cruda'!$K$2:$K$1801,'Data Cruda'!$A$2:$A$1801,2026),0)</f>
        <v>0.1531561154179493</v>
      </c>
      <c r="E27" s="27">
        <v>1</v>
      </c>
    </row>
    <row r="30" spans="1:15" ht="15" customHeight="1" x14ac:dyDescent="0.3">
      <c r="A30" s="69" t="s">
        <v>2020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</row>
    <row r="32" spans="1:15" ht="15" customHeight="1" x14ac:dyDescent="0.3">
      <c r="A32" s="7" t="s">
        <v>0</v>
      </c>
      <c r="B32" s="7" t="s">
        <v>1953</v>
      </c>
      <c r="C32" s="7" t="s">
        <v>1901</v>
      </c>
      <c r="D32" s="7" t="s">
        <v>1902</v>
      </c>
      <c r="E32" s="7" t="s">
        <v>1903</v>
      </c>
      <c r="F32" s="7" t="s">
        <v>1904</v>
      </c>
      <c r="G32" s="7" t="s">
        <v>1905</v>
      </c>
      <c r="H32" s="7" t="s">
        <v>1906</v>
      </c>
      <c r="I32" s="7" t="s">
        <v>1907</v>
      </c>
      <c r="J32" s="7" t="s">
        <v>1908</v>
      </c>
      <c r="K32" s="7" t="s">
        <v>1909</v>
      </c>
      <c r="L32" s="7" t="s">
        <v>1910</v>
      </c>
      <c r="M32" s="7" t="s">
        <v>1911</v>
      </c>
      <c r="N32" s="7" t="s">
        <v>1912</v>
      </c>
      <c r="O32" s="7" t="s">
        <v>1922</v>
      </c>
    </row>
    <row r="33" spans="1:15" ht="15" customHeight="1" x14ac:dyDescent="0.3">
      <c r="A33" s="9">
        <v>2021</v>
      </c>
      <c r="B33" s="44" t="s">
        <v>2011</v>
      </c>
      <c r="C33" s="10">
        <v>385222.91</v>
      </c>
      <c r="D33" s="10">
        <v>706847.03781397105</v>
      </c>
      <c r="E33" s="10">
        <v>133807</v>
      </c>
      <c r="F33" s="10">
        <v>2826.3795423956899</v>
      </c>
      <c r="G33" s="10">
        <v>791516.35</v>
      </c>
      <c r="H33" s="10">
        <v>1851.08</v>
      </c>
      <c r="I33" s="10">
        <v>259401.74</v>
      </c>
      <c r="J33" s="10">
        <v>0</v>
      </c>
      <c r="K33" s="10">
        <v>974211.47</v>
      </c>
      <c r="L33" s="10">
        <v>100</v>
      </c>
      <c r="M33" s="10">
        <v>569506.15</v>
      </c>
      <c r="N33" s="10">
        <v>664624.24</v>
      </c>
      <c r="O33" s="11">
        <f>SUM(C33:N33)</f>
        <v>4489914.3573563658</v>
      </c>
    </row>
    <row r="34" spans="1:15" ht="15" customHeight="1" x14ac:dyDescent="0.3">
      <c r="A34" s="9">
        <v>2021</v>
      </c>
      <c r="B34" s="45" t="s">
        <v>2012</v>
      </c>
      <c r="C34" s="10">
        <v>1073934.26</v>
      </c>
      <c r="D34" s="10">
        <v>257020.01</v>
      </c>
      <c r="E34" s="10">
        <v>379433.29</v>
      </c>
      <c r="F34" s="10">
        <v>2041743.65</v>
      </c>
      <c r="G34" s="10">
        <v>1559151.7198056199</v>
      </c>
      <c r="H34" s="10">
        <v>482826.97767879599</v>
      </c>
      <c r="I34" s="10">
        <v>1024067.22</v>
      </c>
      <c r="J34" s="10">
        <v>488536.26</v>
      </c>
      <c r="K34" s="10">
        <v>150223.53</v>
      </c>
      <c r="L34" s="10">
        <v>20342.96</v>
      </c>
      <c r="M34" s="10">
        <v>312581.36</v>
      </c>
      <c r="N34" s="10">
        <v>1334430.99</v>
      </c>
      <c r="O34" s="11">
        <f>SUM(C34:N34)</f>
        <v>9124292.2274844162</v>
      </c>
    </row>
    <row r="35" spans="1:15" ht="15" customHeight="1" x14ac:dyDescent="0.3">
      <c r="A35" s="9">
        <v>2021</v>
      </c>
      <c r="B35" s="46" t="s">
        <v>2013</v>
      </c>
      <c r="C35" s="10">
        <v>351235.81</v>
      </c>
      <c r="D35" s="10">
        <v>125364.75</v>
      </c>
      <c r="E35" s="10">
        <v>603630.03</v>
      </c>
      <c r="F35" s="10">
        <v>23923.4</v>
      </c>
      <c r="G35" s="10">
        <v>154473.32</v>
      </c>
      <c r="H35" s="10">
        <v>3104705.86</v>
      </c>
      <c r="I35" s="10">
        <v>633758.92000000004</v>
      </c>
      <c r="J35" s="10">
        <v>651704.71</v>
      </c>
      <c r="K35" s="10">
        <v>151579.59</v>
      </c>
      <c r="L35" s="10">
        <v>13555.44</v>
      </c>
      <c r="M35" s="10">
        <v>266117.77</v>
      </c>
      <c r="N35" s="10">
        <v>616285.02</v>
      </c>
      <c r="O35" s="11">
        <f>SUM(C35:N35)</f>
        <v>6696334.6199999992</v>
      </c>
    </row>
    <row r="36" spans="1:15" ht="15" customHeight="1" x14ac:dyDescent="0.3">
      <c r="A36" s="25" t="s">
        <v>2014</v>
      </c>
      <c r="B36" s="25"/>
      <c r="C36" s="26">
        <f t="shared" ref="C36:N36" si="0">SUM(C33:C35)</f>
        <v>1810392.98</v>
      </c>
      <c r="D36" s="26">
        <f t="shared" si="0"/>
        <v>1089231.7978139711</v>
      </c>
      <c r="E36" s="26">
        <f t="shared" si="0"/>
        <v>1116870.32</v>
      </c>
      <c r="F36" s="26">
        <f t="shared" si="0"/>
        <v>2068493.4295423955</v>
      </c>
      <c r="G36" s="26">
        <f t="shared" si="0"/>
        <v>2505141.3898056196</v>
      </c>
      <c r="H36" s="26">
        <f t="shared" si="0"/>
        <v>3589383.9176787958</v>
      </c>
      <c r="I36" s="26">
        <f t="shared" si="0"/>
        <v>1917227.88</v>
      </c>
      <c r="J36" s="26">
        <f t="shared" si="0"/>
        <v>1140240.97</v>
      </c>
      <c r="K36" s="26">
        <f t="shared" si="0"/>
        <v>1276014.5900000001</v>
      </c>
      <c r="L36" s="26">
        <f t="shared" si="0"/>
        <v>33998.400000000001</v>
      </c>
      <c r="M36" s="26">
        <f t="shared" si="0"/>
        <v>1148205.28</v>
      </c>
      <c r="N36" s="26">
        <f t="shared" si="0"/>
        <v>2615340.25</v>
      </c>
      <c r="O36" s="26">
        <f>SUM(C36:N36)</f>
        <v>20310541.204840783</v>
      </c>
    </row>
    <row r="37" spans="1:15" ht="15" customHeight="1" x14ac:dyDescent="0.3">
      <c r="A37" s="12" t="s">
        <v>1914</v>
      </c>
      <c r="B37" s="12"/>
      <c r="C37" s="13">
        <f>C36</f>
        <v>1810392.98</v>
      </c>
      <c r="D37" s="13">
        <f t="shared" ref="D37:N37" si="1">C37+D36</f>
        <v>2899624.777813971</v>
      </c>
      <c r="E37" s="13">
        <f t="shared" si="1"/>
        <v>4016495.0978139713</v>
      </c>
      <c r="F37" s="13">
        <f t="shared" si="1"/>
        <v>6084988.5273563666</v>
      </c>
      <c r="G37" s="13">
        <f t="shared" si="1"/>
        <v>8590129.9171619862</v>
      </c>
      <c r="H37" s="13">
        <f t="shared" si="1"/>
        <v>12179513.834840782</v>
      </c>
      <c r="I37" s="13">
        <f t="shared" si="1"/>
        <v>14096741.714840781</v>
      </c>
      <c r="J37" s="13">
        <f t="shared" si="1"/>
        <v>15236982.684840782</v>
      </c>
      <c r="K37" s="13">
        <f t="shared" si="1"/>
        <v>16512997.274840781</v>
      </c>
      <c r="L37" s="13">
        <f t="shared" si="1"/>
        <v>16546995.674840782</v>
      </c>
      <c r="M37" s="13">
        <f t="shared" si="1"/>
        <v>17695200.954840783</v>
      </c>
      <c r="N37" s="13">
        <f t="shared" si="1"/>
        <v>20310541.204840783</v>
      </c>
      <c r="O37" s="14">
        <f>N37</f>
        <v>20310541.204840783</v>
      </c>
    </row>
    <row r="38" spans="1:15" ht="15" customHeight="1" x14ac:dyDescent="0.3">
      <c r="A38" s="9">
        <v>2022</v>
      </c>
      <c r="B38" s="44" t="s">
        <v>2011</v>
      </c>
      <c r="C38" s="10">
        <v>124425.02</v>
      </c>
      <c r="D38" s="10">
        <v>107516.64</v>
      </c>
      <c r="E38" s="10">
        <v>16979.099999999999</v>
      </c>
      <c r="F38" s="10">
        <v>1084628.56</v>
      </c>
      <c r="G38" s="10">
        <v>19072.36</v>
      </c>
      <c r="H38" s="10">
        <v>340751.56</v>
      </c>
      <c r="I38" s="10">
        <v>146621.1</v>
      </c>
      <c r="J38" s="10">
        <v>20754.29</v>
      </c>
      <c r="K38" s="10">
        <v>50056.05</v>
      </c>
      <c r="L38" s="10">
        <v>0</v>
      </c>
      <c r="M38" s="10">
        <v>292200</v>
      </c>
      <c r="N38" s="10">
        <v>4423682.4477966102</v>
      </c>
      <c r="O38" s="11">
        <f>SUM(C38:N38)</f>
        <v>6626687.1277966108</v>
      </c>
    </row>
    <row r="39" spans="1:15" ht="15" customHeight="1" x14ac:dyDescent="0.3">
      <c r="A39" s="9">
        <v>2022</v>
      </c>
      <c r="B39" s="45" t="s">
        <v>2012</v>
      </c>
      <c r="C39" s="10">
        <v>57346.68</v>
      </c>
      <c r="D39" s="10">
        <v>3433230.44</v>
      </c>
      <c r="E39" s="10">
        <v>215659.97</v>
      </c>
      <c r="F39" s="10">
        <v>2585749.79</v>
      </c>
      <c r="G39" s="10">
        <v>4144791.53</v>
      </c>
      <c r="H39" s="10">
        <v>100194.41</v>
      </c>
      <c r="I39" s="10">
        <v>141924.43</v>
      </c>
      <c r="J39" s="10">
        <v>1721570.55</v>
      </c>
      <c r="K39" s="10">
        <v>1123247.05</v>
      </c>
      <c r="L39" s="10">
        <v>17429.07</v>
      </c>
      <c r="M39" s="10">
        <v>133299.09</v>
      </c>
      <c r="N39" s="10">
        <v>2412.86</v>
      </c>
      <c r="O39" s="11">
        <f>SUM(C39:N39)</f>
        <v>13676855.870000001</v>
      </c>
    </row>
    <row r="40" spans="1:15" ht="15" customHeight="1" x14ac:dyDescent="0.3">
      <c r="A40" s="9">
        <v>2022</v>
      </c>
      <c r="B40" s="46" t="s">
        <v>2013</v>
      </c>
      <c r="C40" s="10">
        <v>47985</v>
      </c>
      <c r="D40" s="10">
        <v>331088.52</v>
      </c>
      <c r="E40" s="10">
        <v>3369477.01</v>
      </c>
      <c r="F40" s="10">
        <v>2560179.9300000002</v>
      </c>
      <c r="G40" s="10">
        <v>1059071.04</v>
      </c>
      <c r="H40" s="10">
        <v>986843.92</v>
      </c>
      <c r="I40" s="10">
        <v>3187915.99</v>
      </c>
      <c r="J40" s="10">
        <v>127888.56</v>
      </c>
      <c r="K40" s="10">
        <v>39315.67</v>
      </c>
      <c r="L40" s="10">
        <v>124870.594210526</v>
      </c>
      <c r="M40" s="10">
        <v>879990.48</v>
      </c>
      <c r="N40" s="10">
        <v>181594.89</v>
      </c>
      <c r="O40" s="11">
        <f>SUM(C40:N40)</f>
        <v>12896221.604210528</v>
      </c>
    </row>
    <row r="41" spans="1:15" ht="15" customHeight="1" x14ac:dyDescent="0.3">
      <c r="A41" s="25" t="s">
        <v>2015</v>
      </c>
      <c r="B41" s="25"/>
      <c r="C41" s="26">
        <f t="shared" ref="C41:N41" si="2">SUM(C38:C40)</f>
        <v>229756.7</v>
      </c>
      <c r="D41" s="26">
        <f t="shared" si="2"/>
        <v>3871835.6</v>
      </c>
      <c r="E41" s="26">
        <f t="shared" si="2"/>
        <v>3602116.0799999996</v>
      </c>
      <c r="F41" s="26">
        <f t="shared" si="2"/>
        <v>6230558.2800000003</v>
      </c>
      <c r="G41" s="26">
        <f t="shared" si="2"/>
        <v>5222934.93</v>
      </c>
      <c r="H41" s="26">
        <f t="shared" si="2"/>
        <v>1427789.8900000001</v>
      </c>
      <c r="I41" s="26">
        <f t="shared" si="2"/>
        <v>3476461.5200000005</v>
      </c>
      <c r="J41" s="26">
        <f t="shared" si="2"/>
        <v>1870213.4000000001</v>
      </c>
      <c r="K41" s="26">
        <f t="shared" si="2"/>
        <v>1212618.77</v>
      </c>
      <c r="L41" s="26">
        <f t="shared" si="2"/>
        <v>142299.66421052601</v>
      </c>
      <c r="M41" s="26">
        <f t="shared" si="2"/>
        <v>1305489.5699999998</v>
      </c>
      <c r="N41" s="26">
        <f t="shared" si="2"/>
        <v>4607690.1977966102</v>
      </c>
      <c r="O41" s="26">
        <f>SUM(C41:N41)</f>
        <v>33199764.602007132</v>
      </c>
    </row>
    <row r="42" spans="1:15" ht="15" customHeight="1" x14ac:dyDescent="0.3">
      <c r="A42" s="12" t="s">
        <v>1914</v>
      </c>
      <c r="B42" s="12"/>
      <c r="C42" s="13">
        <f>C41</f>
        <v>229756.7</v>
      </c>
      <c r="D42" s="13">
        <f t="shared" ref="D42:N42" si="3">C42+D41</f>
        <v>4101592.3000000003</v>
      </c>
      <c r="E42" s="13">
        <f t="shared" si="3"/>
        <v>7703708.3799999999</v>
      </c>
      <c r="F42" s="13">
        <f t="shared" si="3"/>
        <v>13934266.66</v>
      </c>
      <c r="G42" s="13">
        <f t="shared" si="3"/>
        <v>19157201.59</v>
      </c>
      <c r="H42" s="13">
        <f t="shared" si="3"/>
        <v>20584991.48</v>
      </c>
      <c r="I42" s="13">
        <f t="shared" si="3"/>
        <v>24061453</v>
      </c>
      <c r="J42" s="13">
        <f t="shared" si="3"/>
        <v>25931666.399999999</v>
      </c>
      <c r="K42" s="13">
        <f t="shared" si="3"/>
        <v>27144285.169999998</v>
      </c>
      <c r="L42" s="13">
        <f t="shared" si="3"/>
        <v>27286584.834210522</v>
      </c>
      <c r="M42" s="13">
        <f t="shared" si="3"/>
        <v>28592074.404210523</v>
      </c>
      <c r="N42" s="13">
        <f t="shared" si="3"/>
        <v>33199764.602007132</v>
      </c>
      <c r="O42" s="14">
        <f>N42</f>
        <v>33199764.602007132</v>
      </c>
    </row>
    <row r="43" spans="1:15" ht="15" customHeight="1" x14ac:dyDescent="0.3">
      <c r="A43" s="9">
        <v>2023</v>
      </c>
      <c r="B43" s="44" t="s">
        <v>2011</v>
      </c>
      <c r="C43" s="10">
        <v>0</v>
      </c>
      <c r="D43" s="10">
        <v>256150.88</v>
      </c>
      <c r="E43" s="10">
        <v>36754.65</v>
      </c>
      <c r="F43" s="10">
        <v>13716.67</v>
      </c>
      <c r="G43" s="10">
        <v>522197.54</v>
      </c>
      <c r="H43" s="10">
        <v>121000</v>
      </c>
      <c r="I43" s="10">
        <v>550208.11</v>
      </c>
      <c r="J43" s="10">
        <v>63970.28</v>
      </c>
      <c r="K43" s="10">
        <v>7551.43</v>
      </c>
      <c r="L43" s="10">
        <v>4745.08</v>
      </c>
      <c r="M43" s="10">
        <v>88658.44</v>
      </c>
      <c r="N43" s="10">
        <v>22000</v>
      </c>
      <c r="O43" s="11">
        <f>SUM(C43:N43)</f>
        <v>1686953.08</v>
      </c>
    </row>
    <row r="44" spans="1:15" ht="15" customHeight="1" x14ac:dyDescent="0.3">
      <c r="A44" s="9">
        <v>2023</v>
      </c>
      <c r="B44" s="45" t="s">
        <v>2012</v>
      </c>
      <c r="C44" s="10">
        <v>388659.04</v>
      </c>
      <c r="D44" s="10">
        <v>11673.66</v>
      </c>
      <c r="E44" s="10">
        <v>2147024.4500000002</v>
      </c>
      <c r="F44" s="10">
        <v>1699793.74779661</v>
      </c>
      <c r="G44" s="10">
        <v>343574.61</v>
      </c>
      <c r="H44" s="10">
        <v>132426.35999999999</v>
      </c>
      <c r="I44" s="10">
        <v>2925</v>
      </c>
      <c r="J44" s="10">
        <v>640312.52491525398</v>
      </c>
      <c r="K44" s="10">
        <v>6250.8</v>
      </c>
      <c r="L44" s="10">
        <v>3357.14</v>
      </c>
      <c r="M44" s="10">
        <v>31020.94</v>
      </c>
      <c r="N44" s="10">
        <v>1559462.4352542399</v>
      </c>
      <c r="O44" s="11">
        <f>SUM(C44:N44)</f>
        <v>6966480.7079661041</v>
      </c>
    </row>
    <row r="45" spans="1:15" ht="15" customHeight="1" x14ac:dyDescent="0.3">
      <c r="A45" s="9">
        <v>2023</v>
      </c>
      <c r="B45" s="46" t="s">
        <v>2013</v>
      </c>
      <c r="C45" s="10">
        <v>284435.87</v>
      </c>
      <c r="D45" s="10">
        <v>248691.982372881</v>
      </c>
      <c r="E45" s="10">
        <v>226787.04</v>
      </c>
      <c r="F45" s="10">
        <v>15878.41</v>
      </c>
      <c r="G45" s="10">
        <v>1905290.5620339001</v>
      </c>
      <c r="H45" s="10">
        <v>739661.05084745795</v>
      </c>
      <c r="I45" s="10">
        <v>950600.04</v>
      </c>
      <c r="J45" s="10">
        <v>335505.07</v>
      </c>
      <c r="K45" s="10">
        <v>13975.5405405405</v>
      </c>
      <c r="L45" s="10">
        <v>586374.87406779698</v>
      </c>
      <c r="M45" s="10">
        <v>1293462.1138983101</v>
      </c>
      <c r="N45" s="10">
        <v>35278.508474576302</v>
      </c>
      <c r="O45" s="11">
        <f>SUM(C45:N45)</f>
        <v>6635941.0622354634</v>
      </c>
    </row>
    <row r="46" spans="1:15" ht="15" customHeight="1" x14ac:dyDescent="0.3">
      <c r="A46" s="25" t="s">
        <v>2016</v>
      </c>
      <c r="B46" s="25"/>
      <c r="C46" s="26">
        <f t="shared" ref="C46:N46" si="4">SUM(C43:C45)</f>
        <v>673094.90999999992</v>
      </c>
      <c r="D46" s="26">
        <f t="shared" si="4"/>
        <v>516516.52237288095</v>
      </c>
      <c r="E46" s="26">
        <f t="shared" si="4"/>
        <v>2410566.14</v>
      </c>
      <c r="F46" s="26">
        <f t="shared" si="4"/>
        <v>1729388.8277966098</v>
      </c>
      <c r="G46" s="26">
        <f t="shared" si="4"/>
        <v>2771062.7120339</v>
      </c>
      <c r="H46" s="26">
        <f t="shared" si="4"/>
        <v>993087.41084745794</v>
      </c>
      <c r="I46" s="26">
        <f t="shared" si="4"/>
        <v>1503733.15</v>
      </c>
      <c r="J46" s="26">
        <f t="shared" si="4"/>
        <v>1039787.8749152541</v>
      </c>
      <c r="K46" s="26">
        <f t="shared" si="4"/>
        <v>27777.770540540499</v>
      </c>
      <c r="L46" s="26">
        <f t="shared" si="4"/>
        <v>594477.09406779695</v>
      </c>
      <c r="M46" s="26">
        <f t="shared" si="4"/>
        <v>1413141.4938983102</v>
      </c>
      <c r="N46" s="26">
        <f t="shared" si="4"/>
        <v>1616740.9437288162</v>
      </c>
      <c r="O46" s="26">
        <f>SUM(C46:N46)</f>
        <v>15289374.850201566</v>
      </c>
    </row>
    <row r="47" spans="1:15" ht="15" customHeight="1" x14ac:dyDescent="0.3">
      <c r="A47" s="12" t="s">
        <v>1914</v>
      </c>
      <c r="B47" s="12"/>
      <c r="C47" s="13">
        <f>C46</f>
        <v>673094.90999999992</v>
      </c>
      <c r="D47" s="13">
        <f t="shared" ref="D47:N47" si="5">C47+D46</f>
        <v>1189611.4323728809</v>
      </c>
      <c r="E47" s="13">
        <f t="shared" si="5"/>
        <v>3600177.5723728808</v>
      </c>
      <c r="F47" s="13">
        <f t="shared" si="5"/>
        <v>5329566.4001694908</v>
      </c>
      <c r="G47" s="13">
        <f t="shared" si="5"/>
        <v>8100629.1122033913</v>
      </c>
      <c r="H47" s="13">
        <f t="shared" si="5"/>
        <v>9093716.5230508484</v>
      </c>
      <c r="I47" s="13">
        <f t="shared" si="5"/>
        <v>10597449.673050849</v>
      </c>
      <c r="J47" s="13">
        <f t="shared" si="5"/>
        <v>11637237.547966102</v>
      </c>
      <c r="K47" s="13">
        <f t="shared" si="5"/>
        <v>11665015.318506643</v>
      </c>
      <c r="L47" s="13">
        <f t="shared" si="5"/>
        <v>12259492.41257444</v>
      </c>
      <c r="M47" s="13">
        <f t="shared" si="5"/>
        <v>13672633.90647275</v>
      </c>
      <c r="N47" s="13">
        <f t="shared" si="5"/>
        <v>15289374.850201566</v>
      </c>
      <c r="O47" s="14">
        <f>N47</f>
        <v>15289374.850201566</v>
      </c>
    </row>
    <row r="48" spans="1:15" ht="15" customHeight="1" x14ac:dyDescent="0.3">
      <c r="A48" s="9">
        <v>2024</v>
      </c>
      <c r="B48" s="44" t="s">
        <v>2011</v>
      </c>
      <c r="C48" s="10">
        <v>3046.68</v>
      </c>
      <c r="D48" s="10">
        <v>505513.81</v>
      </c>
      <c r="E48" s="10">
        <v>6656.84</v>
      </c>
      <c r="F48" s="10">
        <v>5052</v>
      </c>
      <c r="G48" s="10">
        <v>1404340.28</v>
      </c>
      <c r="H48" s="10">
        <v>55024.88</v>
      </c>
      <c r="I48" s="10">
        <v>0</v>
      </c>
      <c r="J48" s="10">
        <v>205000</v>
      </c>
      <c r="K48" s="10">
        <v>79941.090338983093</v>
      </c>
      <c r="L48" s="10">
        <v>0</v>
      </c>
      <c r="M48" s="10">
        <v>404267.45</v>
      </c>
      <c r="N48" s="10">
        <v>0</v>
      </c>
      <c r="O48" s="11">
        <f>SUM(C48:N48)</f>
        <v>2668843.0303389835</v>
      </c>
    </row>
    <row r="49" spans="1:15" ht="15" customHeight="1" x14ac:dyDescent="0.3">
      <c r="A49" s="9">
        <v>2024</v>
      </c>
      <c r="B49" s="45" t="s">
        <v>2012</v>
      </c>
      <c r="C49" s="10">
        <v>18480</v>
      </c>
      <c r="D49" s="10">
        <v>371628.53949152498</v>
      </c>
      <c r="E49" s="10">
        <v>2331664.83</v>
      </c>
      <c r="F49" s="10">
        <v>1599787.5791525401</v>
      </c>
      <c r="G49" s="10">
        <v>192552.85</v>
      </c>
      <c r="H49" s="10">
        <v>6405</v>
      </c>
      <c r="I49" s="10">
        <v>1238260.8799999999</v>
      </c>
      <c r="J49" s="10">
        <v>65145.300677966101</v>
      </c>
      <c r="K49" s="10">
        <v>222055.79</v>
      </c>
      <c r="L49" s="10">
        <v>135702.37</v>
      </c>
      <c r="M49" s="10">
        <v>60850.59</v>
      </c>
      <c r="N49" s="10">
        <v>11260.89</v>
      </c>
      <c r="O49" s="11">
        <f>SUM(C49:N49)</f>
        <v>6253794.6193220308</v>
      </c>
    </row>
    <row r="50" spans="1:15" ht="15" customHeight="1" x14ac:dyDescent="0.3">
      <c r="A50" s="9">
        <v>2024</v>
      </c>
      <c r="B50" s="46" t="s">
        <v>2013</v>
      </c>
      <c r="C50" s="10">
        <v>55493.04</v>
      </c>
      <c r="D50" s="10">
        <v>291469.89610169502</v>
      </c>
      <c r="E50" s="10">
        <v>1252434.96338983</v>
      </c>
      <c r="F50" s="10">
        <v>22029.18</v>
      </c>
      <c r="G50" s="10">
        <v>1518894.6055932201</v>
      </c>
      <c r="H50" s="10">
        <v>1095399.6069491501</v>
      </c>
      <c r="I50" s="10">
        <v>324255</v>
      </c>
      <c r="J50" s="10">
        <v>308440.42</v>
      </c>
      <c r="K50" s="10">
        <v>32652</v>
      </c>
      <c r="L50" s="10">
        <v>1536495.45</v>
      </c>
      <c r="M50" s="10">
        <v>5646.34</v>
      </c>
      <c r="N50" s="10">
        <v>85301.18</v>
      </c>
      <c r="O50" s="11">
        <f>SUM(C50:N50)</f>
        <v>6528511.6820338955</v>
      </c>
    </row>
    <row r="51" spans="1:15" ht="15" customHeight="1" x14ac:dyDescent="0.3">
      <c r="A51" s="25" t="s">
        <v>2017</v>
      </c>
      <c r="B51" s="25"/>
      <c r="C51" s="26">
        <f t="shared" ref="C51:N51" si="6">SUM(C48:C50)</f>
        <v>77019.72</v>
      </c>
      <c r="D51" s="26">
        <f t="shared" si="6"/>
        <v>1168612.24559322</v>
      </c>
      <c r="E51" s="26">
        <f t="shared" si="6"/>
        <v>3590756.6333898297</v>
      </c>
      <c r="F51" s="26">
        <f t="shared" si="6"/>
        <v>1626868.75915254</v>
      </c>
      <c r="G51" s="26">
        <f t="shared" si="6"/>
        <v>3115787.7355932202</v>
      </c>
      <c r="H51" s="26">
        <f t="shared" si="6"/>
        <v>1156829.48694915</v>
      </c>
      <c r="I51" s="26">
        <f t="shared" si="6"/>
        <v>1562515.88</v>
      </c>
      <c r="J51" s="26">
        <f t="shared" si="6"/>
        <v>578585.72067796602</v>
      </c>
      <c r="K51" s="26">
        <f t="shared" si="6"/>
        <v>334648.88033898309</v>
      </c>
      <c r="L51" s="26">
        <f t="shared" si="6"/>
        <v>1672197.8199999998</v>
      </c>
      <c r="M51" s="26">
        <f t="shared" si="6"/>
        <v>470764.38000000006</v>
      </c>
      <c r="N51" s="26">
        <f t="shared" si="6"/>
        <v>96562.069999999992</v>
      </c>
      <c r="O51" s="26">
        <f>SUM(C51:N51)</f>
        <v>15451149.33169491</v>
      </c>
    </row>
    <row r="52" spans="1:15" ht="15" customHeight="1" x14ac:dyDescent="0.3">
      <c r="A52" s="12" t="s">
        <v>1914</v>
      </c>
      <c r="B52" s="12"/>
      <c r="C52" s="13">
        <f>C51</f>
        <v>77019.72</v>
      </c>
      <c r="D52" s="13">
        <f t="shared" ref="D52:N52" si="7">C52+D51</f>
        <v>1245631.96559322</v>
      </c>
      <c r="E52" s="13">
        <f t="shared" si="7"/>
        <v>4836388.5989830494</v>
      </c>
      <c r="F52" s="13">
        <f t="shared" si="7"/>
        <v>6463257.3581355894</v>
      </c>
      <c r="G52" s="13">
        <f t="shared" si="7"/>
        <v>9579045.0937288105</v>
      </c>
      <c r="H52" s="13">
        <f t="shared" si="7"/>
        <v>10735874.58067796</v>
      </c>
      <c r="I52" s="13">
        <f t="shared" si="7"/>
        <v>12298390.460677959</v>
      </c>
      <c r="J52" s="13">
        <f t="shared" si="7"/>
        <v>12876976.181355925</v>
      </c>
      <c r="K52" s="13">
        <f t="shared" si="7"/>
        <v>13211625.061694909</v>
      </c>
      <c r="L52" s="13">
        <f t="shared" si="7"/>
        <v>14883822.881694909</v>
      </c>
      <c r="M52" s="13">
        <f t="shared" si="7"/>
        <v>15354587.26169491</v>
      </c>
      <c r="N52" s="13">
        <f t="shared" si="7"/>
        <v>15451149.33169491</v>
      </c>
      <c r="O52" s="14">
        <f>N52</f>
        <v>15451149.33169491</v>
      </c>
    </row>
    <row r="53" spans="1:15" ht="15" customHeight="1" x14ac:dyDescent="0.3">
      <c r="A53" s="9">
        <v>2025</v>
      </c>
      <c r="B53" s="44" t="s">
        <v>2011</v>
      </c>
      <c r="C53" s="10">
        <v>0</v>
      </c>
      <c r="D53" s="10">
        <v>3092.21</v>
      </c>
      <c r="E53" s="10">
        <v>38670.36</v>
      </c>
      <c r="F53" s="10">
        <v>117308</v>
      </c>
      <c r="G53" s="10">
        <v>417229.33</v>
      </c>
      <c r="H53" s="10">
        <v>0</v>
      </c>
      <c r="I53" s="10">
        <v>159825.42000000001</v>
      </c>
      <c r="J53" s="10">
        <v>99000</v>
      </c>
      <c r="K53" s="10">
        <v>0</v>
      </c>
      <c r="L53" s="10">
        <v>514966.62</v>
      </c>
      <c r="M53" s="10">
        <v>0</v>
      </c>
      <c r="N53" s="10">
        <v>360886.11</v>
      </c>
      <c r="O53" s="11">
        <f>SUM(C53:N53)</f>
        <v>1710978.0499999998</v>
      </c>
    </row>
    <row r="54" spans="1:15" ht="15" customHeight="1" x14ac:dyDescent="0.3">
      <c r="A54" s="9">
        <v>2025</v>
      </c>
      <c r="B54" s="45" t="s">
        <v>2012</v>
      </c>
      <c r="C54" s="10">
        <v>3882.39</v>
      </c>
      <c r="D54" s="10">
        <v>1081788.5813559301</v>
      </c>
      <c r="E54" s="10">
        <v>4713414.7777966103</v>
      </c>
      <c r="F54" s="10">
        <v>3672248.69</v>
      </c>
      <c r="G54" s="10">
        <v>1407723.79983051</v>
      </c>
      <c r="H54" s="10">
        <v>2139803.5741227898</v>
      </c>
      <c r="I54" s="10">
        <v>412648.39</v>
      </c>
      <c r="J54" s="10">
        <v>1136674.00355932</v>
      </c>
      <c r="K54" s="10">
        <v>4050638.2506779698</v>
      </c>
      <c r="L54" s="10">
        <v>1446018.5</v>
      </c>
      <c r="M54" s="10">
        <v>2162000</v>
      </c>
      <c r="N54" s="10">
        <v>10565.61</v>
      </c>
      <c r="O54" s="11">
        <f>SUM(C54:N54)</f>
        <v>22237406.567343131</v>
      </c>
    </row>
    <row r="55" spans="1:15" ht="15" customHeight="1" x14ac:dyDescent="0.3">
      <c r="A55" s="9">
        <v>2025</v>
      </c>
      <c r="B55" s="46" t="s">
        <v>2013</v>
      </c>
      <c r="C55" s="10">
        <v>193369.00610169501</v>
      </c>
      <c r="D55" s="10">
        <v>11340</v>
      </c>
      <c r="E55" s="10">
        <v>1863332.94881356</v>
      </c>
      <c r="F55" s="10">
        <v>818126.66711864399</v>
      </c>
      <c r="G55" s="10">
        <v>598481.57999999996</v>
      </c>
      <c r="H55" s="10">
        <v>2134822</v>
      </c>
      <c r="I55" s="10">
        <v>315785.25</v>
      </c>
      <c r="J55" s="10">
        <v>4117456.5412831302</v>
      </c>
      <c r="K55" s="10">
        <v>21201.56</v>
      </c>
      <c r="L55" s="10">
        <v>31474.11</v>
      </c>
      <c r="M55" s="10">
        <v>270240.99</v>
      </c>
      <c r="N55" s="10">
        <v>632309.11</v>
      </c>
      <c r="O55" s="11">
        <f>SUM(C55:N55)</f>
        <v>11007939.763317028</v>
      </c>
    </row>
    <row r="56" spans="1:15" ht="15" customHeight="1" x14ac:dyDescent="0.3">
      <c r="A56" s="25" t="s">
        <v>2018</v>
      </c>
      <c r="B56" s="25"/>
      <c r="C56" s="26">
        <f t="shared" ref="C56:N56" si="8">SUM(C53:C55)</f>
        <v>197251.39610169502</v>
      </c>
      <c r="D56" s="26">
        <f t="shared" si="8"/>
        <v>1096220.79135593</v>
      </c>
      <c r="E56" s="26">
        <f t="shared" si="8"/>
        <v>6615418.0866101701</v>
      </c>
      <c r="F56" s="26">
        <f t="shared" si="8"/>
        <v>4607683.3571186438</v>
      </c>
      <c r="G56" s="26">
        <f t="shared" si="8"/>
        <v>2423434.70983051</v>
      </c>
      <c r="H56" s="26">
        <f t="shared" si="8"/>
        <v>4274625.5741227902</v>
      </c>
      <c r="I56" s="26">
        <f t="shared" si="8"/>
        <v>888259.06</v>
      </c>
      <c r="J56" s="26">
        <f t="shared" si="8"/>
        <v>5353130.5448424499</v>
      </c>
      <c r="K56" s="26">
        <f t="shared" si="8"/>
        <v>4071839.8106779698</v>
      </c>
      <c r="L56" s="26">
        <f t="shared" si="8"/>
        <v>1992459.2300000002</v>
      </c>
      <c r="M56" s="26">
        <f t="shared" si="8"/>
        <v>2432240.9900000002</v>
      </c>
      <c r="N56" s="26">
        <f t="shared" si="8"/>
        <v>1003760.83</v>
      </c>
      <c r="O56" s="26">
        <f>SUM(C56:N56)</f>
        <v>34956324.380660154</v>
      </c>
    </row>
    <row r="57" spans="1:15" ht="15" customHeight="1" x14ac:dyDescent="0.3">
      <c r="A57" s="12" t="s">
        <v>1914</v>
      </c>
      <c r="B57" s="12"/>
      <c r="C57" s="13">
        <f>C56</f>
        <v>197251.39610169502</v>
      </c>
      <c r="D57" s="13">
        <f t="shared" ref="D57:N57" si="9">C57+D56</f>
        <v>1293472.1874576251</v>
      </c>
      <c r="E57" s="13">
        <f t="shared" si="9"/>
        <v>7908890.2740677949</v>
      </c>
      <c r="F57" s="13">
        <f t="shared" si="9"/>
        <v>12516573.631186439</v>
      </c>
      <c r="G57" s="13">
        <f t="shared" si="9"/>
        <v>14940008.341016948</v>
      </c>
      <c r="H57" s="13">
        <f t="shared" si="9"/>
        <v>19214633.915139738</v>
      </c>
      <c r="I57" s="13">
        <f t="shared" si="9"/>
        <v>20102892.975139737</v>
      </c>
      <c r="J57" s="13">
        <f t="shared" si="9"/>
        <v>25456023.519982189</v>
      </c>
      <c r="K57" s="13">
        <f t="shared" si="9"/>
        <v>29527863.330660157</v>
      </c>
      <c r="L57" s="13">
        <f t="shared" si="9"/>
        <v>31520322.560660157</v>
      </c>
      <c r="M57" s="13">
        <f t="shared" si="9"/>
        <v>33952563.550660156</v>
      </c>
      <c r="N57" s="13">
        <f t="shared" si="9"/>
        <v>34956324.380660154</v>
      </c>
      <c r="O57" s="14">
        <f>N57</f>
        <v>34956324.380660154</v>
      </c>
    </row>
    <row r="58" spans="1:15" ht="15" customHeight="1" x14ac:dyDescent="0.3">
      <c r="A58" s="9">
        <v>2026</v>
      </c>
      <c r="B58" s="44" t="s">
        <v>2011</v>
      </c>
      <c r="C58" s="10">
        <v>946217.79</v>
      </c>
      <c r="D58" s="10">
        <v>41690</v>
      </c>
      <c r="E58" s="10">
        <v>0</v>
      </c>
      <c r="F58" s="10">
        <v>144516.37</v>
      </c>
      <c r="G58" s="10">
        <v>382560.42</v>
      </c>
      <c r="H58" s="10">
        <v>10600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1">
        <f>SUM(C58:N58)</f>
        <v>1525584.58</v>
      </c>
    </row>
    <row r="59" spans="1:15" ht="15" customHeight="1" x14ac:dyDescent="0.3">
      <c r="A59" s="9">
        <v>2026</v>
      </c>
      <c r="B59" s="45" t="s">
        <v>2012</v>
      </c>
      <c r="C59" s="10">
        <v>3200000</v>
      </c>
      <c r="D59" s="10">
        <v>1837981.82</v>
      </c>
      <c r="E59" s="10">
        <v>292455.06</v>
      </c>
      <c r="F59" s="10">
        <v>187218.78</v>
      </c>
      <c r="G59" s="10">
        <v>11543568.43</v>
      </c>
      <c r="H59" s="10">
        <v>10321.66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1">
        <f>SUM(C59:N59)</f>
        <v>17071545.75</v>
      </c>
    </row>
    <row r="60" spans="1:15" ht="15" customHeight="1" x14ac:dyDescent="0.3">
      <c r="A60" s="9">
        <v>2026</v>
      </c>
      <c r="B60" s="46" t="s">
        <v>2013</v>
      </c>
      <c r="C60" s="10">
        <v>215798</v>
      </c>
      <c r="D60" s="10">
        <v>1698898.05</v>
      </c>
      <c r="E60" s="10">
        <v>189083.49</v>
      </c>
      <c r="F60" s="10">
        <v>3935326.97</v>
      </c>
      <c r="G60" s="10">
        <v>1118762.6200000001</v>
      </c>
      <c r="H60" s="10">
        <v>2505657.61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1">
        <f>SUM(C60:N60)</f>
        <v>9663526.7400000002</v>
      </c>
    </row>
    <row r="61" spans="1:15" ht="15" customHeight="1" x14ac:dyDescent="0.3">
      <c r="A61" s="25" t="s">
        <v>2019</v>
      </c>
      <c r="B61" s="25"/>
      <c r="C61" s="26">
        <f t="shared" ref="C61:N61" si="10">SUM(C58:C60)</f>
        <v>4362015.79</v>
      </c>
      <c r="D61" s="26">
        <f t="shared" si="10"/>
        <v>3578569.87</v>
      </c>
      <c r="E61" s="26">
        <f t="shared" si="10"/>
        <v>481538.55</v>
      </c>
      <c r="F61" s="26">
        <f t="shared" si="10"/>
        <v>4267062.12</v>
      </c>
      <c r="G61" s="26">
        <f t="shared" si="10"/>
        <v>13044891.469999999</v>
      </c>
      <c r="H61" s="26">
        <f t="shared" si="10"/>
        <v>2526579.27</v>
      </c>
      <c r="I61" s="26">
        <f t="shared" si="10"/>
        <v>0</v>
      </c>
      <c r="J61" s="26">
        <f t="shared" si="10"/>
        <v>0</v>
      </c>
      <c r="K61" s="26">
        <f t="shared" si="10"/>
        <v>0</v>
      </c>
      <c r="L61" s="26">
        <f t="shared" si="10"/>
        <v>0</v>
      </c>
      <c r="M61" s="26">
        <f t="shared" si="10"/>
        <v>0</v>
      </c>
      <c r="N61" s="26">
        <f t="shared" si="10"/>
        <v>0</v>
      </c>
      <c r="O61" s="26">
        <f>SUM(C61:N61)</f>
        <v>28260657.07</v>
      </c>
    </row>
    <row r="62" spans="1:15" ht="15" customHeight="1" x14ac:dyDescent="0.3">
      <c r="A62" s="12" t="s">
        <v>1914</v>
      </c>
      <c r="B62" s="12"/>
      <c r="C62" s="13">
        <f>C61</f>
        <v>4362015.79</v>
      </c>
      <c r="D62" s="13">
        <f t="shared" ref="D62:N62" si="11">C62+D61</f>
        <v>7940585.6600000001</v>
      </c>
      <c r="E62" s="13">
        <f t="shared" si="11"/>
        <v>8422124.2100000009</v>
      </c>
      <c r="F62" s="13">
        <f t="shared" si="11"/>
        <v>12689186.330000002</v>
      </c>
      <c r="G62" s="13">
        <f t="shared" si="11"/>
        <v>25734077.800000001</v>
      </c>
      <c r="H62" s="13">
        <f t="shared" si="11"/>
        <v>28260657.07</v>
      </c>
      <c r="I62" s="13">
        <f t="shared" si="11"/>
        <v>28260657.07</v>
      </c>
      <c r="J62" s="13">
        <f t="shared" si="11"/>
        <v>28260657.07</v>
      </c>
      <c r="K62" s="13">
        <f t="shared" si="11"/>
        <v>28260657.07</v>
      </c>
      <c r="L62" s="13">
        <f t="shared" si="11"/>
        <v>28260657.07</v>
      </c>
      <c r="M62" s="13">
        <f t="shared" si="11"/>
        <v>28260657.07</v>
      </c>
      <c r="N62" s="13">
        <f t="shared" si="11"/>
        <v>28260657.07</v>
      </c>
      <c r="O62" s="14">
        <f>N62</f>
        <v>28260657.07</v>
      </c>
    </row>
  </sheetData>
  <mergeCells count="2">
    <mergeCell ref="A1:F1"/>
    <mergeCell ref="A30:O3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9"/>
  <sheetViews>
    <sheetView zoomScaleNormal="100" workbookViewId="0">
      <selection sqref="A1:N1"/>
    </sheetView>
  </sheetViews>
  <sheetFormatPr baseColWidth="10" defaultColWidth="8.6640625" defaultRowHeight="14.4" x14ac:dyDescent="0.3"/>
  <cols>
    <col min="1" max="1" width="22" customWidth="1"/>
    <col min="2" max="14" width="12" customWidth="1"/>
  </cols>
  <sheetData>
    <row r="1" spans="1:14" ht="15" customHeight="1" x14ac:dyDescent="0.3">
      <c r="A1" s="69" t="s">
        <v>2021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</row>
    <row r="3" spans="1:14" ht="15" customHeight="1" x14ac:dyDescent="0.3">
      <c r="A3" s="7" t="s">
        <v>0</v>
      </c>
      <c r="B3" s="7" t="s">
        <v>1901</v>
      </c>
      <c r="C3" s="7" t="s">
        <v>1902</v>
      </c>
      <c r="D3" s="7" t="s">
        <v>1903</v>
      </c>
      <c r="E3" s="7" t="s">
        <v>1904</v>
      </c>
      <c r="F3" s="7" t="s">
        <v>1905</v>
      </c>
      <c r="G3" s="7" t="s">
        <v>1906</v>
      </c>
      <c r="H3" s="7" t="s">
        <v>1907</v>
      </c>
      <c r="I3" s="7" t="s">
        <v>1908</v>
      </c>
      <c r="J3" s="7" t="s">
        <v>1909</v>
      </c>
      <c r="K3" s="7" t="s">
        <v>1910</v>
      </c>
      <c r="L3" s="7" t="s">
        <v>1911</v>
      </c>
      <c r="M3" s="7" t="s">
        <v>1912</v>
      </c>
      <c r="N3" s="7" t="s">
        <v>1933</v>
      </c>
    </row>
    <row r="4" spans="1:14" ht="15" customHeight="1" x14ac:dyDescent="0.3">
      <c r="A4" s="9">
        <v>2021</v>
      </c>
      <c r="B4" s="17">
        <v>8.9135634631366395E-2</v>
      </c>
      <c r="C4" s="17">
        <v>5.3628890871424202E-2</v>
      </c>
      <c r="D4" s="17">
        <v>5.49896878047645E-2</v>
      </c>
      <c r="E4" s="17">
        <v>0.10184334374356301</v>
      </c>
      <c r="F4" s="17">
        <v>0.12334193188355499</v>
      </c>
      <c r="G4" s="17">
        <v>0.176725173469199</v>
      </c>
      <c r="H4" s="17">
        <v>9.4395706183499004E-2</v>
      </c>
      <c r="I4" s="17">
        <v>5.6140353843857002E-2</v>
      </c>
      <c r="J4" s="17">
        <v>6.2825238241109804E-2</v>
      </c>
      <c r="K4" s="17">
        <v>1.67392880657936E-3</v>
      </c>
      <c r="L4" s="17">
        <v>5.6532480765521802E-2</v>
      </c>
      <c r="M4" s="17">
        <v>0.128767629755561</v>
      </c>
      <c r="N4" s="18">
        <v>1</v>
      </c>
    </row>
    <row r="5" spans="1:14" ht="15" customHeight="1" x14ac:dyDescent="0.3">
      <c r="A5" s="9">
        <v>2022</v>
      </c>
      <c r="B5" s="17">
        <v>6.9204315980634897E-3</v>
      </c>
      <c r="C5" s="17">
        <v>0.11662238110465201</v>
      </c>
      <c r="D5" s="17">
        <v>0.108498241574346</v>
      </c>
      <c r="E5" s="17">
        <v>0.187668748700204</v>
      </c>
      <c r="F5" s="17">
        <v>0.157318432603713</v>
      </c>
      <c r="G5" s="17">
        <v>4.3006024503971403E-2</v>
      </c>
      <c r="H5" s="17">
        <v>0.104713438835341</v>
      </c>
      <c r="I5" s="17">
        <v>5.6332128327407902E-2</v>
      </c>
      <c r="J5" s="17">
        <v>3.65249207196695E-2</v>
      </c>
      <c r="K5" s="17">
        <v>4.2861648543713899E-3</v>
      </c>
      <c r="L5" s="17">
        <v>3.9322253806615103E-2</v>
      </c>
      <c r="M5" s="17">
        <v>0.13878683337164499</v>
      </c>
      <c r="N5" s="18">
        <v>1</v>
      </c>
    </row>
    <row r="6" spans="1:14" ht="15" customHeight="1" x14ac:dyDescent="0.3">
      <c r="A6" s="9">
        <v>2023</v>
      </c>
      <c r="B6" s="17">
        <v>4.4023703820115702E-2</v>
      </c>
      <c r="C6" s="17">
        <v>3.3782710374588798E-2</v>
      </c>
      <c r="D6" s="17">
        <v>0.157662832105148</v>
      </c>
      <c r="E6" s="17">
        <v>0.113110499594678</v>
      </c>
      <c r="F6" s="17">
        <v>0.18124107356798599</v>
      </c>
      <c r="G6" s="17">
        <v>6.4952780645205099E-2</v>
      </c>
      <c r="H6" s="17">
        <v>9.8351513043070896E-2</v>
      </c>
      <c r="I6" s="17">
        <v>6.8007219726288995E-2</v>
      </c>
      <c r="J6" s="17">
        <v>1.8168022442182699E-3</v>
      </c>
      <c r="K6" s="17">
        <v>3.8881713601256897E-2</v>
      </c>
      <c r="L6" s="17">
        <v>9.2426375031264302E-2</v>
      </c>
      <c r="M6" s="17">
        <v>0.105742776246179</v>
      </c>
      <c r="N6" s="18">
        <v>1</v>
      </c>
    </row>
    <row r="7" spans="1:14" ht="15" customHeight="1" x14ac:dyDescent="0.3">
      <c r="A7" s="9">
        <v>2024</v>
      </c>
      <c r="B7" s="17">
        <v>4.9847243299894596E-3</v>
      </c>
      <c r="C7" s="17">
        <v>7.5632706700727304E-2</v>
      </c>
      <c r="D7" s="17">
        <v>0.232394144688261</v>
      </c>
      <c r="E7" s="17">
        <v>0.10529111616411301</v>
      </c>
      <c r="F7" s="17">
        <v>0.20165410796993699</v>
      </c>
      <c r="G7" s="17">
        <v>7.48701253295216E-2</v>
      </c>
      <c r="H7" s="17">
        <v>0.101126191097954</v>
      </c>
      <c r="I7" s="17">
        <v>3.7446128327238003E-2</v>
      </c>
      <c r="J7" s="17">
        <v>2.16585105195067E-2</v>
      </c>
      <c r="K7" s="17">
        <v>0.10822481772082999</v>
      </c>
      <c r="L7" s="17">
        <v>3.0467919886989998E-2</v>
      </c>
      <c r="M7" s="17">
        <v>6.2495072649335201E-3</v>
      </c>
      <c r="N7" s="18">
        <v>1</v>
      </c>
    </row>
    <row r="8" spans="1:14" ht="15" customHeight="1" x14ac:dyDescent="0.3">
      <c r="A8" s="9">
        <v>2025</v>
      </c>
      <c r="B8" s="17">
        <v>5.6427956770771304E-3</v>
      </c>
      <c r="C8" s="17">
        <v>3.1359727053065799E-2</v>
      </c>
      <c r="D8" s="17">
        <v>0.18924810327799199</v>
      </c>
      <c r="E8" s="17">
        <v>0.131812581521525</v>
      </c>
      <c r="F8" s="17">
        <v>6.9327503756982295E-2</v>
      </c>
      <c r="G8" s="17">
        <v>0.12228475532993301</v>
      </c>
      <c r="H8" s="17">
        <v>2.5410539458531702E-2</v>
      </c>
      <c r="I8" s="17">
        <v>0.15313768365772801</v>
      </c>
      <c r="J8" s="17">
        <v>0.116483637305149</v>
      </c>
      <c r="K8" s="17">
        <v>5.6998533607336102E-2</v>
      </c>
      <c r="L8" s="17">
        <v>6.9579426129414701E-2</v>
      </c>
      <c r="M8" s="17">
        <v>2.8714713225265101E-2</v>
      </c>
      <c r="N8" s="18">
        <v>1</v>
      </c>
    </row>
    <row r="9" spans="1:14" ht="15" customHeight="1" x14ac:dyDescent="0.3">
      <c r="A9" s="9">
        <v>2026</v>
      </c>
      <c r="B9" s="17">
        <v>0.154349411593493</v>
      </c>
      <c r="C9" s="17">
        <v>0.12662727059516299</v>
      </c>
      <c r="D9" s="17">
        <v>1.7039184503292198E-2</v>
      </c>
      <c r="E9" s="17">
        <v>0.150989487237708</v>
      </c>
      <c r="F9" s="17">
        <v>0.461591938138189</v>
      </c>
      <c r="G9" s="17">
        <v>8.9402707932155004E-2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8">
        <v>1</v>
      </c>
    </row>
    <row r="10" spans="1:14" ht="15" customHeight="1" x14ac:dyDescent="0.3">
      <c r="A10" s="25" t="s">
        <v>2022</v>
      </c>
      <c r="B10" s="27">
        <f t="shared" ref="B10:M10" si="0">AVERAGE(B4:B9)</f>
        <v>5.0842783608350851E-2</v>
      </c>
      <c r="C10" s="27">
        <f t="shared" si="0"/>
        <v>7.2942281116603516E-2</v>
      </c>
      <c r="D10" s="27">
        <f t="shared" si="0"/>
        <v>0.12663869899230062</v>
      </c>
      <c r="E10" s="27">
        <f t="shared" si="0"/>
        <v>0.13178596282696517</v>
      </c>
      <c r="F10" s="27">
        <f t="shared" si="0"/>
        <v>0.1990791646533937</v>
      </c>
      <c r="G10" s="27">
        <f t="shared" si="0"/>
        <v>9.5206927868330848E-2</v>
      </c>
      <c r="H10" s="27">
        <f t="shared" si="0"/>
        <v>7.066623143639944E-2</v>
      </c>
      <c r="I10" s="27">
        <f t="shared" si="0"/>
        <v>6.1843918980419986E-2</v>
      </c>
      <c r="J10" s="27">
        <f t="shared" si="0"/>
        <v>3.9884851504942219E-2</v>
      </c>
      <c r="K10" s="27">
        <f t="shared" si="0"/>
        <v>3.501085976506229E-2</v>
      </c>
      <c r="L10" s="27">
        <f t="shared" si="0"/>
        <v>4.8054742603300983E-2</v>
      </c>
      <c r="M10" s="27">
        <f t="shared" si="0"/>
        <v>6.8043576643930598E-2</v>
      </c>
      <c r="N10" s="27">
        <v>1</v>
      </c>
    </row>
    <row r="13" spans="1:14" ht="15" customHeight="1" x14ac:dyDescent="0.3">
      <c r="A13" s="69" t="s">
        <v>2023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</row>
    <row r="15" spans="1:14" ht="15" customHeight="1" x14ac:dyDescent="0.3">
      <c r="A15" s="7" t="s">
        <v>2024</v>
      </c>
      <c r="B15" s="7" t="s">
        <v>1901</v>
      </c>
      <c r="C15" s="7" t="s">
        <v>1902</v>
      </c>
      <c r="D15" s="7" t="s">
        <v>1903</v>
      </c>
      <c r="E15" s="7" t="s">
        <v>1904</v>
      </c>
      <c r="F15" s="7" t="s">
        <v>1905</v>
      </c>
      <c r="G15" s="7" t="s">
        <v>1906</v>
      </c>
      <c r="H15" s="7" t="s">
        <v>1907</v>
      </c>
      <c r="I15" s="7" t="s">
        <v>1908</v>
      </c>
      <c r="J15" s="7" t="s">
        <v>1909</v>
      </c>
      <c r="K15" s="7" t="s">
        <v>1910</v>
      </c>
      <c r="L15" s="7" t="s">
        <v>1911</v>
      </c>
      <c r="M15" s="7" t="s">
        <v>1912</v>
      </c>
    </row>
    <row r="16" spans="1:14" ht="15" customHeight="1" x14ac:dyDescent="0.3">
      <c r="A16" s="5" t="s">
        <v>2025</v>
      </c>
      <c r="B16" s="10">
        <v>1224921.91601695</v>
      </c>
      <c r="C16" s="10">
        <v>1886831.1378560001</v>
      </c>
      <c r="D16" s="10">
        <v>2969544.30166667</v>
      </c>
      <c r="E16" s="10">
        <v>3421675.7956017</v>
      </c>
      <c r="F16" s="10">
        <v>4847208.8245438803</v>
      </c>
      <c r="G16" s="10">
        <v>2328049.2582663698</v>
      </c>
      <c r="H16" s="10">
        <v>1558032.915</v>
      </c>
      <c r="I16" s="10">
        <v>1663659.7517392801</v>
      </c>
      <c r="J16" s="10">
        <v>1153816.6369262501</v>
      </c>
      <c r="K16" s="10">
        <v>739238.70137972105</v>
      </c>
      <c r="L16" s="10">
        <v>1128306.9523163899</v>
      </c>
      <c r="M16" s="10">
        <v>1656682.3819209</v>
      </c>
    </row>
    <row r="17" spans="1:13" ht="15" customHeight="1" x14ac:dyDescent="0.3">
      <c r="A17" s="5" t="s">
        <v>2026</v>
      </c>
      <c r="B17" s="17">
        <f t="shared" ref="B17:M17" si="1">B10</f>
        <v>5.0842783608350851E-2</v>
      </c>
      <c r="C17" s="17">
        <f t="shared" si="1"/>
        <v>7.2942281116603516E-2</v>
      </c>
      <c r="D17" s="17">
        <f t="shared" si="1"/>
        <v>0.12663869899230062</v>
      </c>
      <c r="E17" s="17">
        <f t="shared" si="1"/>
        <v>0.13178596282696517</v>
      </c>
      <c r="F17" s="17">
        <f t="shared" si="1"/>
        <v>0.1990791646533937</v>
      </c>
      <c r="G17" s="17">
        <f t="shared" si="1"/>
        <v>9.5206927868330848E-2</v>
      </c>
      <c r="H17" s="17">
        <f t="shared" si="1"/>
        <v>7.066623143639944E-2</v>
      </c>
      <c r="I17" s="17">
        <f t="shared" si="1"/>
        <v>6.1843918980419986E-2</v>
      </c>
      <c r="J17" s="17">
        <f t="shared" si="1"/>
        <v>3.9884851504942219E-2</v>
      </c>
      <c r="K17" s="17">
        <f t="shared" si="1"/>
        <v>3.501085976506229E-2</v>
      </c>
      <c r="L17" s="17">
        <f t="shared" si="1"/>
        <v>4.8054742603300983E-2</v>
      </c>
      <c r="M17" s="17">
        <f t="shared" si="1"/>
        <v>6.8043576643930598E-2</v>
      </c>
    </row>
    <row r="18" spans="1:13" ht="15" customHeight="1" x14ac:dyDescent="0.3">
      <c r="A18" s="5" t="s">
        <v>2027</v>
      </c>
      <c r="B18" s="10">
        <v>4362015.79</v>
      </c>
      <c r="C18" s="10">
        <v>3871835.6</v>
      </c>
      <c r="D18" s="10">
        <v>6615418.0866101701</v>
      </c>
      <c r="E18" s="10">
        <v>6230558.2800000003</v>
      </c>
      <c r="F18" s="10">
        <v>13044891.470000001</v>
      </c>
      <c r="G18" s="10">
        <v>4274625.5741227902</v>
      </c>
      <c r="H18" s="10">
        <v>3476461.52</v>
      </c>
      <c r="I18" s="10">
        <v>5353130.5448424499</v>
      </c>
      <c r="J18" s="10">
        <v>4071839.8106779698</v>
      </c>
      <c r="K18" s="10">
        <v>1992459.23</v>
      </c>
      <c r="L18" s="10">
        <v>2432240.9900000002</v>
      </c>
      <c r="M18" s="10">
        <v>4607690.1977966102</v>
      </c>
    </row>
    <row r="19" spans="1:13" ht="15" customHeight="1" x14ac:dyDescent="0.3">
      <c r="A19" s="5" t="s">
        <v>2028</v>
      </c>
      <c r="B19" s="10">
        <v>77019.72</v>
      </c>
      <c r="C19" s="10">
        <v>516516.52237288101</v>
      </c>
      <c r="D19" s="10">
        <v>481538.55</v>
      </c>
      <c r="E19" s="10">
        <v>1626868.75915254</v>
      </c>
      <c r="F19" s="10">
        <v>2423434.70983051</v>
      </c>
      <c r="G19" s="10">
        <v>993087.41084745806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2" spans="1:13" ht="15" customHeight="1" x14ac:dyDescent="0.3">
      <c r="A22" s="69" t="s">
        <v>2029</v>
      </c>
      <c r="B22" s="69"/>
      <c r="C22" s="69"/>
      <c r="D22" s="69"/>
      <c r="E22" s="69"/>
    </row>
    <row r="24" spans="1:13" ht="23.25" customHeight="1" x14ac:dyDescent="0.3">
      <c r="A24" s="7" t="s">
        <v>2030</v>
      </c>
      <c r="B24" s="7" t="s">
        <v>2031</v>
      </c>
      <c r="C24" s="7" t="s">
        <v>2032</v>
      </c>
      <c r="D24" s="7" t="s">
        <v>2033</v>
      </c>
      <c r="E24" s="7" t="s">
        <v>2034</v>
      </c>
    </row>
    <row r="25" spans="1:13" ht="15" customHeight="1" x14ac:dyDescent="0.3">
      <c r="A25" s="9" t="s">
        <v>2035</v>
      </c>
      <c r="B25" s="8" t="s">
        <v>2036</v>
      </c>
      <c r="C25" s="10">
        <v>6081297.3555396199</v>
      </c>
      <c r="D25" s="17">
        <v>0.247428803459464</v>
      </c>
      <c r="E25" s="8" t="s">
        <v>2037</v>
      </c>
    </row>
    <row r="26" spans="1:13" ht="15" customHeight="1" x14ac:dyDescent="0.3">
      <c r="A26" s="9" t="s">
        <v>2038</v>
      </c>
      <c r="B26" s="8" t="s">
        <v>2039</v>
      </c>
      <c r="C26" s="10">
        <v>10596933.8784119</v>
      </c>
      <c r="D26" s="17">
        <v>0.43115580715455099</v>
      </c>
      <c r="E26" s="47" t="s">
        <v>2040</v>
      </c>
    </row>
    <row r="27" spans="1:13" ht="15" customHeight="1" x14ac:dyDescent="0.3">
      <c r="A27" s="9" t="s">
        <v>2041</v>
      </c>
      <c r="B27" s="8" t="s">
        <v>2042</v>
      </c>
      <c r="C27" s="10">
        <v>4375509.3036655299</v>
      </c>
      <c r="D27" s="17">
        <v>0.17802566923413499</v>
      </c>
      <c r="E27" s="8" t="s">
        <v>2037</v>
      </c>
    </row>
    <row r="28" spans="1:13" ht="15" customHeight="1" x14ac:dyDescent="0.3">
      <c r="A28" s="9" t="s">
        <v>2043</v>
      </c>
      <c r="B28" s="8" t="s">
        <v>2044</v>
      </c>
      <c r="C28" s="10">
        <v>3524228.0356170102</v>
      </c>
      <c r="D28" s="17">
        <v>0.14338972015185</v>
      </c>
      <c r="E28" s="48" t="s">
        <v>2045</v>
      </c>
    </row>
    <row r="29" spans="1:13" ht="15" customHeight="1" x14ac:dyDescent="0.3">
      <c r="A29" s="25" t="s">
        <v>1913</v>
      </c>
      <c r="B29" s="44"/>
      <c r="C29" s="26">
        <v>24577968.5732341</v>
      </c>
      <c r="D29" s="27">
        <v>1</v>
      </c>
      <c r="E29" s="44"/>
    </row>
  </sheetData>
  <mergeCells count="3">
    <mergeCell ref="A1:N1"/>
    <mergeCell ref="A13:N13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Data Cruda</vt:lpstr>
      <vt:lpstr>OO.CC Y EEMM</vt:lpstr>
      <vt:lpstr>1. Ventas Anuales</vt:lpstr>
      <vt:lpstr>2. Análisis Anual</vt:lpstr>
      <vt:lpstr>3. Clientes 2025-2026</vt:lpstr>
      <vt:lpstr>4. Top Clientes</vt:lpstr>
      <vt:lpstr>5. Categorías Monto</vt:lpstr>
      <vt:lpstr>6. Segmentación Cartera</vt:lpstr>
      <vt:lpstr>7. Análisis por Zona</vt:lpstr>
      <vt:lpstr>8. Estacionalidad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Valeria Rodriguez Allca</cp:lastModifiedBy>
  <cp:revision>0</cp:revision>
  <dcterms:created xsi:type="dcterms:W3CDTF">2026-06-24T20:55:12Z</dcterms:created>
  <dcterms:modified xsi:type="dcterms:W3CDTF">2026-07-16T13:21:23Z</dcterms:modified>
  <dc:language>en-US</dc:language>
</cp:coreProperties>
</file>